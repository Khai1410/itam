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https://vngsol.sharepoint.com/sites/VSOLITTeam/Shared Documents/Assets Management/"/>
    </mc:Choice>
  </mc:AlternateContent>
  <xr:revisionPtr revIDLastSave="4654" documentId="13_ncr:8001_{E0DE69A0-3EC3-4EC4-BE51-2165FC7027FD}" xr6:coauthVersionLast="47" xr6:coauthVersionMax="47" xr10:uidLastSave="{E714F8B0-55A2-4C34-8A13-82C1F28F17D1}"/>
  <bookViews>
    <workbookView xWindow="22932" yWindow="-4248" windowWidth="30936" windowHeight="16896" xr2:uid="{E25B5547-5890-4D47-A457-4531F2911EDC}"/>
  </bookViews>
  <sheets>
    <sheet name="Dashboard" sheetId="3" r:id="rId1"/>
    <sheet name="Detail" sheetId="1" r:id="rId2"/>
    <sheet name="Employee" sheetId="2" r:id="rId3"/>
    <sheet name="FA Laptop Tracking" sheetId="10" r:id="rId4"/>
    <sheet name="FA Monitor Tracking" sheetId="11" r:id="rId5"/>
    <sheet name="FA IPAD-SPH-PRN-RTR-CPUTracking" sheetId="12" r:id="rId6"/>
    <sheet name="File Vault" sheetId="6" r:id="rId7"/>
    <sheet name="Backup Window Key" sheetId="7" r:id="rId8"/>
    <sheet name="Sheet1" sheetId="4" r:id="rId9"/>
  </sheets>
  <definedNames>
    <definedName name="_xlnm._FilterDatabase" localSheetId="1" hidden="1">Detail!$A$1:$AS$532</definedName>
    <definedName name="_xlnm._FilterDatabase" localSheetId="2" hidden="1">Employee!$A$2:$N$226</definedName>
    <definedName name="_xlnm._FilterDatabase" localSheetId="3" hidden="1">'FA Laptop Tracking'!$A$1:$K$110</definedName>
    <definedName name="_xlnm._FilterDatabase" localSheetId="4" hidden="1">'FA Monitor Tracking'!$A$1:$K$69</definedName>
    <definedName name="_xlnm._FilterDatabase" localSheetId="5" hidden="1">'FA IPAD-SPH-PRN-RTR-CPUTracking'!$A$1:$K$15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2" l="1" a="1"/>
  <c r="A2" i="12"/>
  <c r="B2" i="12" a="1"/>
  <c r="B2" i="12"/>
  <c r="C2" i="12" a="1"/>
  <c r="C2" i="12"/>
  <c r="D2" i="12" a="1"/>
  <c r="D2" i="12"/>
  <c r="F2" i="12" a="1"/>
  <c r="F2" i="12"/>
  <c r="J2" i="12" a="1"/>
  <c r="J2" i="12"/>
  <c r="K2" i="12" a="1"/>
  <c r="K2" i="12"/>
  <c r="A2" i="11" a="1"/>
  <c r="A2" i="11"/>
  <c r="B2" i="11" a="1"/>
  <c r="B2" i="11"/>
  <c r="C2" i="11" a="1"/>
  <c r="C2" i="11"/>
  <c r="D2" i="11" a="1"/>
  <c r="D2" i="11"/>
  <c r="F2" i="11" a="1"/>
  <c r="F2" i="11"/>
  <c r="J2" i="11" a="1"/>
  <c r="J2" i="11"/>
  <c r="K2" i="11" a="1"/>
  <c r="K2" i="11"/>
  <c r="A2" i="10" a="1"/>
  <c r="A2" i="10"/>
  <c r="B2" i="10" a="1"/>
  <c r="B2" i="10"/>
  <c r="C2" i="10" a="1"/>
  <c r="C2" i="10"/>
  <c r="D2" i="10" a="1"/>
  <c r="D2" i="10"/>
  <c r="F2" i="10" a="1"/>
  <c r="F2" i="10"/>
  <c r="J2" i="10" a="1"/>
  <c r="J2" i="10"/>
  <c r="K2" i="10" a="1"/>
  <c r="K2" i="10"/>
  <c r="H21" i="3"/>
  <c r="H20" i="3"/>
  <c r="H19" i="3"/>
  <c r="H18" i="3"/>
  <c r="H17" i="3"/>
  <c r="H16" i="3"/>
  <c r="H15" i="3"/>
  <c r="H14" i="3"/>
  <c r="H13" i="3"/>
  <c r="H12" i="3"/>
  <c r="H11" i="3"/>
  <c r="H10" i="3"/>
  <c r="D6" i="1"/>
  <c r="D3" i="1"/>
  <c r="G21" i="3"/>
  <c r="F21" i="3"/>
  <c r="G20" i="3"/>
  <c r="F20" i="3"/>
  <c r="G19" i="3"/>
  <c r="F19" i="3"/>
  <c r="G18" i="3"/>
  <c r="F18" i="3"/>
  <c r="G17" i="3"/>
  <c r="F17" i="3"/>
  <c r="G16" i="3"/>
  <c r="F16" i="3"/>
  <c r="G15" i="3"/>
  <c r="F15" i="3"/>
  <c r="G14" i="3"/>
  <c r="F14" i="3"/>
  <c r="G13" i="3"/>
  <c r="F13" i="3"/>
  <c r="G12" i="3"/>
  <c r="F12" i="3"/>
  <c r="G11" i="3"/>
  <c r="F11" i="3"/>
  <c r="G10" i="3"/>
  <c r="F10" i="3"/>
  <c r="J45" i="3"/>
  <c r="P36" i="3"/>
  <c r="O36" i="3"/>
  <c r="N36" i="3"/>
  <c r="M36" i="3"/>
  <c r="L36" i="3"/>
  <c r="K36" i="3"/>
  <c r="P35" i="3"/>
  <c r="O35" i="3"/>
  <c r="N35" i="3"/>
  <c r="M35" i="3"/>
  <c r="L35" i="3"/>
  <c r="K35" i="3"/>
  <c r="P34" i="3"/>
  <c r="O34" i="3"/>
  <c r="N34" i="3"/>
  <c r="M34" i="3"/>
  <c r="L34" i="3"/>
  <c r="K34" i="3"/>
  <c r="P31" i="3"/>
  <c r="O31" i="3"/>
  <c r="N31" i="3"/>
  <c r="M31" i="3"/>
  <c r="L31" i="3"/>
  <c r="K31" i="3"/>
  <c r="P30" i="3"/>
  <c r="O30" i="3"/>
  <c r="N30" i="3"/>
  <c r="M30" i="3"/>
  <c r="L30" i="3"/>
  <c r="K30" i="3"/>
  <c r="P29" i="3"/>
  <c r="O29" i="3"/>
  <c r="N29" i="3"/>
  <c r="M29" i="3"/>
  <c r="L29" i="3"/>
  <c r="K29" i="3"/>
  <c r="P28" i="3"/>
  <c r="O28" i="3"/>
  <c r="N28" i="3"/>
  <c r="M28" i="3"/>
  <c r="L28" i="3"/>
  <c r="K28" i="3"/>
  <c r="P27" i="3"/>
  <c r="O27" i="3"/>
  <c r="N27" i="3"/>
  <c r="M27" i="3"/>
  <c r="L27" i="3"/>
  <c r="K27" i="3"/>
  <c r="P26" i="3"/>
  <c r="O26" i="3"/>
  <c r="N26" i="3"/>
  <c r="M26" i="3"/>
  <c r="L26" i="3"/>
  <c r="K26" i="3"/>
  <c r="P11" i="3"/>
  <c r="O11" i="3"/>
  <c r="N11" i="3"/>
  <c r="M11" i="3"/>
  <c r="L11" i="3"/>
  <c r="K11" i="3"/>
  <c r="P10" i="3"/>
  <c r="P12" i="3" s="1"/>
  <c r="O10" i="3"/>
  <c r="O12" i="3" s="1"/>
  <c r="N10" i="3"/>
  <c r="N12" i="3" s="1"/>
  <c r="M10" i="3"/>
  <c r="M12" i="3" s="1"/>
  <c r="L10" i="3"/>
  <c r="L12" i="3" s="1"/>
  <c r="K10" i="3"/>
  <c r="K12" i="3" s="1"/>
  <c r="L6" i="3"/>
  <c r="A2" i="3"/>
  <c r="A6" i="3"/>
  <c r="C6" i="3"/>
  <c r="E6" i="3"/>
  <c r="G6" i="3"/>
  <c r="J6" i="3"/>
  <c r="B10" i="3"/>
  <c r="C10" i="3"/>
  <c r="D10" i="3"/>
  <c r="E10" i="3"/>
  <c r="B11" i="3"/>
  <c r="C11" i="3"/>
  <c r="D11" i="3"/>
  <c r="E11" i="3"/>
  <c r="B12" i="3"/>
  <c r="C12" i="3"/>
  <c r="D12" i="3"/>
  <c r="E12" i="3"/>
  <c r="B13" i="3"/>
  <c r="C13" i="3"/>
  <c r="D13" i="3"/>
  <c r="E13" i="3"/>
  <c r="B14" i="3"/>
  <c r="C14" i="3"/>
  <c r="D14" i="3"/>
  <c r="E14" i="3"/>
  <c r="B15" i="3"/>
  <c r="C15" i="3"/>
  <c r="D15" i="3"/>
  <c r="E15" i="3"/>
  <c r="B16" i="3"/>
  <c r="C16" i="3"/>
  <c r="D16" i="3"/>
  <c r="E16" i="3"/>
  <c r="B17" i="3"/>
  <c r="C17" i="3"/>
  <c r="D17" i="3"/>
  <c r="E17" i="3"/>
  <c r="B18" i="3"/>
  <c r="C18" i="3"/>
  <c r="D18" i="3"/>
  <c r="E18" i="3"/>
  <c r="B19" i="3"/>
  <c r="C19" i="3"/>
  <c r="D19" i="3"/>
  <c r="E19" i="3"/>
  <c r="B20" i="3"/>
  <c r="C20" i="3"/>
  <c r="D20" i="3"/>
  <c r="E20" i="3"/>
  <c r="B21" i="3"/>
  <c r="C21" i="3"/>
  <c r="D21" i="3"/>
  <c r="E21" i="3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2" i="1"/>
  <c r="D2" i="1"/>
  <c r="D4" i="1"/>
  <c r="D5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E2" i="1"/>
  <c r="E4" i="1"/>
  <c r="AJ472" i="1"/>
  <c r="X532" i="1"/>
  <c r="W532" i="1"/>
  <c r="V532" i="1"/>
  <c r="T532" i="1"/>
  <c r="AN531" i="1"/>
  <c r="AM531" i="1"/>
  <c r="AL531" i="1"/>
  <c r="AJ531" i="1"/>
  <c r="X531" i="1"/>
  <c r="W531" i="1"/>
  <c r="V531" i="1"/>
  <c r="T531" i="1"/>
  <c r="E531" i="1"/>
  <c r="A531" i="1"/>
  <c r="AN530" i="1"/>
  <c r="AM530" i="1"/>
  <c r="AL530" i="1"/>
  <c r="AJ530" i="1"/>
  <c r="X530" i="1"/>
  <c r="W530" i="1"/>
  <c r="V530" i="1"/>
  <c r="T530" i="1"/>
  <c r="E530" i="1"/>
  <c r="A530" i="1"/>
  <c r="A3" i="1"/>
  <c r="E3" i="1"/>
  <c r="AF3" i="1"/>
  <c r="AH3" i="1"/>
  <c r="AI3" i="1"/>
  <c r="AJ3" i="1"/>
  <c r="AL3" i="1"/>
  <c r="AM3" i="1"/>
  <c r="AN3" i="1"/>
  <c r="A4" i="1"/>
  <c r="AF4" i="1"/>
  <c r="AH4" i="1"/>
  <c r="AI4" i="1"/>
  <c r="AJ4" i="1"/>
  <c r="AL4" i="1"/>
  <c r="AM4" i="1"/>
  <c r="AN4" i="1"/>
  <c r="A6" i="1"/>
  <c r="E6" i="1"/>
  <c r="AF6" i="1"/>
  <c r="AH6" i="1"/>
  <c r="AI6" i="1"/>
  <c r="AJ6" i="1"/>
  <c r="AL6" i="1"/>
  <c r="AM6" i="1"/>
  <c r="AN6" i="1"/>
  <c r="A9" i="1"/>
  <c r="E9" i="1"/>
  <c r="AF9" i="1"/>
  <c r="AH9" i="1"/>
  <c r="AI9" i="1"/>
  <c r="AJ9" i="1"/>
  <c r="AL9" i="1"/>
  <c r="AM9" i="1"/>
  <c r="AN9" i="1"/>
  <c r="A13" i="1"/>
  <c r="E13" i="1"/>
  <c r="AF13" i="1"/>
  <c r="AH13" i="1"/>
  <c r="AI13" i="1"/>
  <c r="AJ13" i="1"/>
  <c r="AL13" i="1"/>
  <c r="AM13" i="1"/>
  <c r="AN13" i="1"/>
  <c r="A17" i="1"/>
  <c r="E17" i="1"/>
  <c r="AF17" i="1"/>
  <c r="AH17" i="1"/>
  <c r="AI17" i="1"/>
  <c r="AJ17" i="1"/>
  <c r="AL17" i="1"/>
  <c r="AM17" i="1"/>
  <c r="AN17" i="1"/>
  <c r="A21" i="1"/>
  <c r="E21" i="1"/>
  <c r="M21" i="1"/>
  <c r="AF21" i="1"/>
  <c r="AH21" i="1"/>
  <c r="AI21" i="1"/>
  <c r="AJ21" i="1"/>
  <c r="AL21" i="1"/>
  <c r="AM21" i="1"/>
  <c r="AN21" i="1"/>
  <c r="A22" i="1"/>
  <c r="E22" i="1"/>
  <c r="AF22" i="1"/>
  <c r="AH22" i="1"/>
  <c r="AI22" i="1"/>
  <c r="AJ22" i="1"/>
  <c r="AL22" i="1"/>
  <c r="AM22" i="1"/>
  <c r="AN22" i="1"/>
  <c r="A26" i="1"/>
  <c r="E26" i="1"/>
  <c r="M26" i="1"/>
  <c r="AF26" i="1"/>
  <c r="AH26" i="1"/>
  <c r="AI26" i="1"/>
  <c r="AJ26" i="1"/>
  <c r="AL26" i="1"/>
  <c r="AM26" i="1"/>
  <c r="AN26" i="1"/>
  <c r="A28" i="1"/>
  <c r="E28" i="1"/>
  <c r="M28" i="1"/>
  <c r="AF28" i="1"/>
  <c r="AH28" i="1"/>
  <c r="AI28" i="1"/>
  <c r="AJ28" i="1"/>
  <c r="AL28" i="1"/>
  <c r="AM28" i="1"/>
  <c r="AN28" i="1"/>
  <c r="A35" i="1"/>
  <c r="E35" i="1"/>
  <c r="AF35" i="1"/>
  <c r="AH35" i="1"/>
  <c r="AI35" i="1"/>
  <c r="AJ35" i="1"/>
  <c r="AL35" i="1"/>
  <c r="AM35" i="1"/>
  <c r="AN35" i="1"/>
  <c r="A37" i="1"/>
  <c r="E37" i="1"/>
  <c r="AF37" i="1"/>
  <c r="AH37" i="1"/>
  <c r="AI37" i="1"/>
  <c r="AJ37" i="1"/>
  <c r="AL37" i="1"/>
  <c r="AM37" i="1"/>
  <c r="AN37" i="1"/>
  <c r="A39" i="1"/>
  <c r="E39" i="1"/>
  <c r="M39" i="1"/>
  <c r="AF39" i="1"/>
  <c r="AH39" i="1"/>
  <c r="AI39" i="1"/>
  <c r="AJ39" i="1"/>
  <c r="AL39" i="1"/>
  <c r="AM39" i="1"/>
  <c r="AN39" i="1"/>
  <c r="A51" i="1"/>
  <c r="E51" i="1"/>
  <c r="M51" i="1"/>
  <c r="AF51" i="1"/>
  <c r="AH51" i="1"/>
  <c r="AI51" i="1"/>
  <c r="AJ51" i="1"/>
  <c r="AL51" i="1"/>
  <c r="AM51" i="1"/>
  <c r="AN51" i="1"/>
  <c r="A75" i="1"/>
  <c r="E75" i="1"/>
  <c r="M75" i="1"/>
  <c r="AF75" i="1"/>
  <c r="AH75" i="1"/>
  <c r="AI75" i="1"/>
  <c r="AJ75" i="1"/>
  <c r="AL75" i="1"/>
  <c r="AM75" i="1"/>
  <c r="AN75" i="1"/>
  <c r="A79" i="1"/>
  <c r="E79" i="1"/>
  <c r="M79" i="1"/>
  <c r="AF79" i="1"/>
  <c r="AH79" i="1"/>
  <c r="AI79" i="1"/>
  <c r="AJ79" i="1"/>
  <c r="AL79" i="1"/>
  <c r="AM79" i="1"/>
  <c r="AN79" i="1"/>
  <c r="A83" i="1"/>
  <c r="E83" i="1"/>
  <c r="M83" i="1"/>
  <c r="AF83" i="1"/>
  <c r="AH83" i="1"/>
  <c r="AI83" i="1"/>
  <c r="AJ83" i="1"/>
  <c r="AL83" i="1"/>
  <c r="AM83" i="1"/>
  <c r="AN83" i="1"/>
  <c r="A85" i="1"/>
  <c r="E85" i="1"/>
  <c r="M85" i="1"/>
  <c r="AF85" i="1"/>
  <c r="AH85" i="1"/>
  <c r="AI85" i="1"/>
  <c r="AJ85" i="1"/>
  <c r="AL85" i="1"/>
  <c r="AM85" i="1"/>
  <c r="AN85" i="1"/>
  <c r="A87" i="1"/>
  <c r="E87" i="1"/>
  <c r="M87" i="1"/>
  <c r="AF87" i="1"/>
  <c r="AH87" i="1"/>
  <c r="AI87" i="1"/>
  <c r="AJ87" i="1"/>
  <c r="AL87" i="1"/>
  <c r="AM87" i="1"/>
  <c r="AN87" i="1"/>
  <c r="A88" i="1"/>
  <c r="E88" i="1"/>
  <c r="AF88" i="1"/>
  <c r="AH88" i="1"/>
  <c r="AI88" i="1"/>
  <c r="AJ88" i="1"/>
  <c r="AL88" i="1"/>
  <c r="AM88" i="1"/>
  <c r="AN88" i="1"/>
  <c r="A89" i="1"/>
  <c r="E89" i="1"/>
  <c r="AF89" i="1"/>
  <c r="AH89" i="1"/>
  <c r="AI89" i="1"/>
  <c r="AJ89" i="1"/>
  <c r="AL89" i="1"/>
  <c r="AM89" i="1"/>
  <c r="AN89" i="1"/>
  <c r="A90" i="1"/>
  <c r="E90" i="1"/>
  <c r="AF90" i="1"/>
  <c r="AH90" i="1"/>
  <c r="AI90" i="1"/>
  <c r="AJ90" i="1"/>
  <c r="AL90" i="1"/>
  <c r="AM90" i="1"/>
  <c r="AN90" i="1"/>
  <c r="A92" i="1"/>
  <c r="E92" i="1"/>
  <c r="AF92" i="1"/>
  <c r="AH92" i="1"/>
  <c r="AI92" i="1"/>
  <c r="AJ92" i="1"/>
  <c r="AL92" i="1"/>
  <c r="AM92" i="1"/>
  <c r="AN92" i="1"/>
  <c r="A94" i="1"/>
  <c r="E94" i="1"/>
  <c r="AF94" i="1"/>
  <c r="AH94" i="1"/>
  <c r="AI94" i="1"/>
  <c r="AJ94" i="1"/>
  <c r="AL94" i="1"/>
  <c r="AM94" i="1"/>
  <c r="AN94" i="1"/>
  <c r="A95" i="1"/>
  <c r="E95" i="1"/>
  <c r="AF95" i="1"/>
  <c r="AH95" i="1"/>
  <c r="AI95" i="1"/>
  <c r="AJ95" i="1"/>
  <c r="AL95" i="1"/>
  <c r="AM95" i="1"/>
  <c r="AN95" i="1"/>
  <c r="A97" i="1"/>
  <c r="E97" i="1"/>
  <c r="AF97" i="1"/>
  <c r="AH97" i="1"/>
  <c r="AI97" i="1"/>
  <c r="AJ97" i="1"/>
  <c r="AL97" i="1"/>
  <c r="AM97" i="1"/>
  <c r="AN97" i="1"/>
  <c r="A98" i="1"/>
  <c r="E98" i="1"/>
  <c r="AF98" i="1"/>
  <c r="AH98" i="1"/>
  <c r="AI98" i="1"/>
  <c r="AJ98" i="1"/>
  <c r="AL98" i="1"/>
  <c r="AM98" i="1"/>
  <c r="AN98" i="1"/>
  <c r="A99" i="1"/>
  <c r="E99" i="1"/>
  <c r="AF99" i="1"/>
  <c r="AH99" i="1"/>
  <c r="AI99" i="1"/>
  <c r="AJ99" i="1"/>
  <c r="AL99" i="1"/>
  <c r="AM99" i="1"/>
  <c r="AN99" i="1"/>
  <c r="A100" i="1"/>
  <c r="E100" i="1"/>
  <c r="AF100" i="1"/>
  <c r="AH100" i="1"/>
  <c r="AI100" i="1"/>
  <c r="AJ100" i="1"/>
  <c r="AL100" i="1"/>
  <c r="AM100" i="1"/>
  <c r="AN100" i="1"/>
  <c r="A102" i="1"/>
  <c r="E102" i="1"/>
  <c r="M102" i="1"/>
  <c r="AF102" i="1"/>
  <c r="AH102" i="1"/>
  <c r="AI102" i="1"/>
  <c r="AJ102" i="1"/>
  <c r="AL102" i="1"/>
  <c r="AM102" i="1"/>
  <c r="AN102" i="1"/>
  <c r="A106" i="1"/>
  <c r="E106" i="1"/>
  <c r="AF106" i="1"/>
  <c r="AH106" i="1"/>
  <c r="AI106" i="1"/>
  <c r="AJ106" i="1"/>
  <c r="AL106" i="1"/>
  <c r="AM106" i="1"/>
  <c r="AN106" i="1"/>
  <c r="A107" i="1"/>
  <c r="E107" i="1"/>
  <c r="M107" i="1"/>
  <c r="AF107" i="1"/>
  <c r="AH107" i="1"/>
  <c r="AI107" i="1"/>
  <c r="AJ107" i="1"/>
  <c r="AL107" i="1"/>
  <c r="AM107" i="1"/>
  <c r="AN107" i="1"/>
  <c r="A108" i="1"/>
  <c r="E108" i="1"/>
  <c r="AF108" i="1"/>
  <c r="AH108" i="1"/>
  <c r="AI108" i="1"/>
  <c r="AJ108" i="1"/>
  <c r="AL108" i="1"/>
  <c r="AM108" i="1"/>
  <c r="AN108" i="1"/>
  <c r="A109" i="1"/>
  <c r="E109" i="1"/>
  <c r="AF109" i="1"/>
  <c r="AH109" i="1"/>
  <c r="AI109" i="1"/>
  <c r="AJ109" i="1"/>
  <c r="AL109" i="1"/>
  <c r="AM109" i="1"/>
  <c r="AN109" i="1"/>
  <c r="A112" i="1"/>
  <c r="E112" i="1"/>
  <c r="AF112" i="1"/>
  <c r="AH112" i="1"/>
  <c r="AI112" i="1"/>
  <c r="AJ112" i="1"/>
  <c r="AL112" i="1"/>
  <c r="AM112" i="1"/>
  <c r="AN112" i="1"/>
  <c r="A114" i="1"/>
  <c r="E114" i="1"/>
  <c r="AF114" i="1"/>
  <c r="AH114" i="1"/>
  <c r="AI114" i="1"/>
  <c r="AJ114" i="1"/>
  <c r="AL114" i="1"/>
  <c r="AM114" i="1"/>
  <c r="AN114" i="1"/>
  <c r="A115" i="1"/>
  <c r="E115" i="1"/>
  <c r="AF115" i="1"/>
  <c r="AH115" i="1"/>
  <c r="AI115" i="1"/>
  <c r="AJ115" i="1"/>
  <c r="AL115" i="1"/>
  <c r="AM115" i="1"/>
  <c r="AN115" i="1"/>
  <c r="A121" i="1"/>
  <c r="E121" i="1"/>
  <c r="AF121" i="1"/>
  <c r="AH121" i="1"/>
  <c r="AI121" i="1"/>
  <c r="AJ121" i="1"/>
  <c r="AL121" i="1"/>
  <c r="AM121" i="1"/>
  <c r="AN121" i="1"/>
  <c r="A122" i="1"/>
  <c r="E122" i="1"/>
  <c r="AF122" i="1"/>
  <c r="AH122" i="1"/>
  <c r="AI122" i="1"/>
  <c r="AJ122" i="1"/>
  <c r="AL122" i="1"/>
  <c r="AM122" i="1"/>
  <c r="AN122" i="1"/>
  <c r="A123" i="1"/>
  <c r="E123" i="1"/>
  <c r="AF123" i="1"/>
  <c r="AH123" i="1"/>
  <c r="AI123" i="1"/>
  <c r="AJ123" i="1"/>
  <c r="AL123" i="1"/>
  <c r="AM123" i="1"/>
  <c r="AN123" i="1"/>
  <c r="A124" i="1"/>
  <c r="E124" i="1"/>
  <c r="AF124" i="1"/>
  <c r="AH124" i="1"/>
  <c r="AI124" i="1"/>
  <c r="AJ124" i="1"/>
  <c r="AL124" i="1"/>
  <c r="AM124" i="1"/>
  <c r="AN124" i="1"/>
  <c r="A130" i="1"/>
  <c r="E130" i="1"/>
  <c r="AF130" i="1"/>
  <c r="AH130" i="1"/>
  <c r="AI130" i="1"/>
  <c r="AJ130" i="1"/>
  <c r="AL130" i="1"/>
  <c r="AM130" i="1"/>
  <c r="AN130" i="1"/>
  <c r="A131" i="1"/>
  <c r="E131" i="1"/>
  <c r="AF131" i="1"/>
  <c r="AH131" i="1"/>
  <c r="AI131" i="1"/>
  <c r="AJ131" i="1"/>
  <c r="AL131" i="1"/>
  <c r="AM131" i="1"/>
  <c r="AN131" i="1"/>
  <c r="A133" i="1"/>
  <c r="E133" i="1"/>
  <c r="AF133" i="1"/>
  <c r="AH133" i="1"/>
  <c r="AI133" i="1"/>
  <c r="AJ133" i="1"/>
  <c r="AL133" i="1"/>
  <c r="AM133" i="1"/>
  <c r="AN133" i="1"/>
  <c r="A134" i="1"/>
  <c r="E134" i="1"/>
  <c r="AF134" i="1"/>
  <c r="AH134" i="1"/>
  <c r="AI134" i="1"/>
  <c r="AJ134" i="1"/>
  <c r="AL134" i="1"/>
  <c r="AM134" i="1"/>
  <c r="AN134" i="1"/>
  <c r="A136" i="1"/>
  <c r="E136" i="1"/>
  <c r="AF136" i="1"/>
  <c r="AH136" i="1"/>
  <c r="AI136" i="1"/>
  <c r="AJ136" i="1"/>
  <c r="AL136" i="1"/>
  <c r="AM136" i="1"/>
  <c r="AN136" i="1"/>
  <c r="A140" i="1"/>
  <c r="E140" i="1"/>
  <c r="AF140" i="1"/>
  <c r="AH140" i="1"/>
  <c r="AI140" i="1"/>
  <c r="AJ140" i="1"/>
  <c r="AL140" i="1"/>
  <c r="AM140" i="1"/>
  <c r="AN140" i="1"/>
  <c r="A141" i="1"/>
  <c r="E141" i="1"/>
  <c r="AF141" i="1"/>
  <c r="AH141" i="1"/>
  <c r="AI141" i="1"/>
  <c r="AJ141" i="1"/>
  <c r="AL141" i="1"/>
  <c r="AM141" i="1"/>
  <c r="AN141" i="1"/>
  <c r="A142" i="1"/>
  <c r="E142" i="1"/>
  <c r="AF142" i="1"/>
  <c r="AH142" i="1"/>
  <c r="AI142" i="1"/>
  <c r="AJ142" i="1"/>
  <c r="AL142" i="1"/>
  <c r="AM142" i="1"/>
  <c r="AN142" i="1"/>
  <c r="A143" i="1"/>
  <c r="E143" i="1"/>
  <c r="AF143" i="1"/>
  <c r="AH143" i="1"/>
  <c r="AI143" i="1"/>
  <c r="AJ143" i="1"/>
  <c r="AL143" i="1"/>
  <c r="AM143" i="1"/>
  <c r="AN143" i="1"/>
  <c r="A144" i="1"/>
  <c r="E144" i="1"/>
  <c r="AF144" i="1"/>
  <c r="AH144" i="1"/>
  <c r="AI144" i="1"/>
  <c r="AJ144" i="1"/>
  <c r="AL144" i="1"/>
  <c r="AM144" i="1"/>
  <c r="AN144" i="1"/>
  <c r="A145" i="1"/>
  <c r="E145" i="1"/>
  <c r="AF145" i="1"/>
  <c r="AH145" i="1"/>
  <c r="AI145" i="1"/>
  <c r="AJ145" i="1"/>
  <c r="AL145" i="1"/>
  <c r="AM145" i="1"/>
  <c r="AN145" i="1"/>
  <c r="A146" i="1"/>
  <c r="E146" i="1"/>
  <c r="AF146" i="1"/>
  <c r="AH146" i="1"/>
  <c r="AI146" i="1"/>
  <c r="AJ146" i="1"/>
  <c r="AL146" i="1"/>
  <c r="AM146" i="1"/>
  <c r="AN146" i="1"/>
  <c r="A147" i="1"/>
  <c r="E147" i="1"/>
  <c r="AF147" i="1"/>
  <c r="AH147" i="1"/>
  <c r="AI147" i="1"/>
  <c r="AJ147" i="1"/>
  <c r="AL147" i="1"/>
  <c r="AM147" i="1"/>
  <c r="AN147" i="1"/>
  <c r="A149" i="1"/>
  <c r="E149" i="1"/>
  <c r="AF149" i="1"/>
  <c r="AH149" i="1"/>
  <c r="AI149" i="1"/>
  <c r="AJ149" i="1"/>
  <c r="AL149" i="1"/>
  <c r="AM149" i="1"/>
  <c r="AN149" i="1"/>
  <c r="A150" i="1"/>
  <c r="E150" i="1"/>
  <c r="T150" i="1"/>
  <c r="V150" i="1"/>
  <c r="W150" i="1"/>
  <c r="X150" i="1"/>
  <c r="AJ150" i="1"/>
  <c r="AL150" i="1"/>
  <c r="AM150" i="1"/>
  <c r="AN150" i="1"/>
  <c r="A151" i="1"/>
  <c r="E151" i="1"/>
  <c r="T151" i="1"/>
  <c r="V151" i="1"/>
  <c r="W151" i="1"/>
  <c r="X151" i="1"/>
  <c r="AJ151" i="1"/>
  <c r="AL151" i="1"/>
  <c r="AM151" i="1"/>
  <c r="AN151" i="1"/>
  <c r="A158" i="1"/>
  <c r="E158" i="1"/>
  <c r="T158" i="1"/>
  <c r="V158" i="1"/>
  <c r="W158" i="1"/>
  <c r="X158" i="1"/>
  <c r="AJ158" i="1"/>
  <c r="AL158" i="1"/>
  <c r="AM158" i="1"/>
  <c r="AN158" i="1"/>
  <c r="A159" i="1"/>
  <c r="E159" i="1"/>
  <c r="T159" i="1"/>
  <c r="V159" i="1"/>
  <c r="W159" i="1"/>
  <c r="X159" i="1"/>
  <c r="AJ159" i="1"/>
  <c r="AL159" i="1"/>
  <c r="AM159" i="1"/>
  <c r="AN159" i="1"/>
  <c r="A160" i="1"/>
  <c r="E160" i="1"/>
  <c r="T160" i="1"/>
  <c r="V160" i="1"/>
  <c r="W160" i="1"/>
  <c r="X160" i="1"/>
  <c r="AJ160" i="1"/>
  <c r="AL160" i="1"/>
  <c r="AM160" i="1"/>
  <c r="AN160" i="1"/>
  <c r="A161" i="1"/>
  <c r="E161" i="1"/>
  <c r="T161" i="1"/>
  <c r="V161" i="1"/>
  <c r="W161" i="1"/>
  <c r="X161" i="1"/>
  <c r="AJ161" i="1"/>
  <c r="AL161" i="1"/>
  <c r="AM161" i="1"/>
  <c r="AN161" i="1"/>
  <c r="A162" i="1"/>
  <c r="E162" i="1"/>
  <c r="T162" i="1"/>
  <c r="V162" i="1"/>
  <c r="W162" i="1"/>
  <c r="X162" i="1"/>
  <c r="AJ162" i="1"/>
  <c r="AL162" i="1"/>
  <c r="AM162" i="1"/>
  <c r="AN162" i="1"/>
  <c r="A163" i="1"/>
  <c r="E163" i="1"/>
  <c r="T163" i="1"/>
  <c r="V163" i="1"/>
  <c r="W163" i="1"/>
  <c r="X163" i="1"/>
  <c r="AJ163" i="1"/>
  <c r="AL163" i="1"/>
  <c r="AM163" i="1"/>
  <c r="AN163" i="1"/>
  <c r="A164" i="1"/>
  <c r="E164" i="1"/>
  <c r="T164" i="1"/>
  <c r="V164" i="1"/>
  <c r="W164" i="1"/>
  <c r="X164" i="1"/>
  <c r="AJ164" i="1"/>
  <c r="AL164" i="1"/>
  <c r="AM164" i="1"/>
  <c r="AN164" i="1"/>
  <c r="A165" i="1"/>
  <c r="E165" i="1"/>
  <c r="T165" i="1"/>
  <c r="V165" i="1"/>
  <c r="W165" i="1"/>
  <c r="X165" i="1"/>
  <c r="AJ165" i="1"/>
  <c r="AL165" i="1"/>
  <c r="AM165" i="1"/>
  <c r="AN165" i="1"/>
  <c r="A167" i="1"/>
  <c r="E167" i="1"/>
  <c r="T167" i="1"/>
  <c r="V167" i="1"/>
  <c r="W167" i="1"/>
  <c r="X167" i="1"/>
  <c r="AJ167" i="1"/>
  <c r="AL167" i="1"/>
  <c r="AM167" i="1"/>
  <c r="AN167" i="1"/>
  <c r="A169" i="1"/>
  <c r="E169" i="1"/>
  <c r="T169" i="1"/>
  <c r="V169" i="1"/>
  <c r="W169" i="1"/>
  <c r="X169" i="1"/>
  <c r="AJ169" i="1"/>
  <c r="AL169" i="1"/>
  <c r="AM169" i="1"/>
  <c r="AN169" i="1"/>
  <c r="A170" i="1"/>
  <c r="E170" i="1"/>
  <c r="T170" i="1"/>
  <c r="V170" i="1"/>
  <c r="W170" i="1"/>
  <c r="X170" i="1"/>
  <c r="AJ170" i="1"/>
  <c r="AL170" i="1"/>
  <c r="AM170" i="1"/>
  <c r="AN170" i="1"/>
  <c r="A173" i="1"/>
  <c r="E173" i="1"/>
  <c r="T173" i="1"/>
  <c r="V173" i="1"/>
  <c r="W173" i="1"/>
  <c r="X173" i="1"/>
  <c r="AJ173" i="1"/>
  <c r="AL173" i="1"/>
  <c r="AM173" i="1"/>
  <c r="AN173" i="1"/>
  <c r="A175" i="1"/>
  <c r="E175" i="1"/>
  <c r="T175" i="1"/>
  <c r="V175" i="1"/>
  <c r="W175" i="1"/>
  <c r="X175" i="1"/>
  <c r="AJ175" i="1"/>
  <c r="AL175" i="1"/>
  <c r="AM175" i="1"/>
  <c r="AN175" i="1"/>
  <c r="A176" i="1"/>
  <c r="E176" i="1"/>
  <c r="T176" i="1"/>
  <c r="V176" i="1"/>
  <c r="W176" i="1"/>
  <c r="X176" i="1"/>
  <c r="AJ176" i="1"/>
  <c r="AL176" i="1"/>
  <c r="AM176" i="1"/>
  <c r="AN176" i="1"/>
  <c r="A180" i="1"/>
  <c r="E180" i="1"/>
  <c r="T180" i="1"/>
  <c r="V180" i="1"/>
  <c r="W180" i="1"/>
  <c r="X180" i="1"/>
  <c r="AJ180" i="1"/>
  <c r="AL180" i="1"/>
  <c r="AM180" i="1"/>
  <c r="AN180" i="1"/>
  <c r="A181" i="1"/>
  <c r="E181" i="1"/>
  <c r="T181" i="1"/>
  <c r="V181" i="1"/>
  <c r="W181" i="1"/>
  <c r="X181" i="1"/>
  <c r="AJ181" i="1"/>
  <c r="AL181" i="1"/>
  <c r="AM181" i="1"/>
  <c r="AN181" i="1"/>
  <c r="A183" i="1"/>
  <c r="E183" i="1"/>
  <c r="T183" i="1"/>
  <c r="V183" i="1"/>
  <c r="W183" i="1"/>
  <c r="X183" i="1"/>
  <c r="AJ183" i="1"/>
  <c r="AL183" i="1"/>
  <c r="AM183" i="1"/>
  <c r="AN183" i="1"/>
  <c r="A184" i="1"/>
  <c r="E184" i="1"/>
  <c r="T184" i="1"/>
  <c r="V184" i="1"/>
  <c r="W184" i="1"/>
  <c r="X184" i="1"/>
  <c r="AJ184" i="1"/>
  <c r="AL184" i="1"/>
  <c r="AM184" i="1"/>
  <c r="AN184" i="1"/>
  <c r="A185" i="1"/>
  <c r="E185" i="1"/>
  <c r="T185" i="1"/>
  <c r="V185" i="1"/>
  <c r="W185" i="1"/>
  <c r="X185" i="1"/>
  <c r="AJ185" i="1"/>
  <c r="AL185" i="1"/>
  <c r="AM185" i="1"/>
  <c r="AN185" i="1"/>
  <c r="A186" i="1"/>
  <c r="E186" i="1"/>
  <c r="T186" i="1"/>
  <c r="V186" i="1"/>
  <c r="W186" i="1"/>
  <c r="X186" i="1"/>
  <c r="AJ186" i="1"/>
  <c r="AL186" i="1"/>
  <c r="AM186" i="1"/>
  <c r="AN186" i="1"/>
  <c r="A187" i="1"/>
  <c r="E187" i="1"/>
  <c r="T187" i="1"/>
  <c r="V187" i="1"/>
  <c r="W187" i="1"/>
  <c r="X187" i="1"/>
  <c r="AJ187" i="1"/>
  <c r="AL187" i="1"/>
  <c r="AM187" i="1"/>
  <c r="AN187" i="1"/>
  <c r="A189" i="1"/>
  <c r="E189" i="1"/>
  <c r="T189" i="1"/>
  <c r="V189" i="1"/>
  <c r="W189" i="1"/>
  <c r="X189" i="1"/>
  <c r="AJ189" i="1"/>
  <c r="AL189" i="1"/>
  <c r="AM189" i="1"/>
  <c r="AN189" i="1"/>
  <c r="A190" i="1"/>
  <c r="E190" i="1"/>
  <c r="T190" i="1"/>
  <c r="V190" i="1"/>
  <c r="W190" i="1"/>
  <c r="X190" i="1"/>
  <c r="AJ190" i="1"/>
  <c r="AL190" i="1"/>
  <c r="AM190" i="1"/>
  <c r="AN190" i="1"/>
  <c r="A191" i="1"/>
  <c r="E191" i="1"/>
  <c r="M191" i="1"/>
  <c r="T191" i="1"/>
  <c r="V191" i="1"/>
  <c r="W191" i="1"/>
  <c r="X191" i="1"/>
  <c r="AJ191" i="1"/>
  <c r="AL191" i="1"/>
  <c r="AM191" i="1"/>
  <c r="AN191" i="1"/>
  <c r="A193" i="1"/>
  <c r="E193" i="1"/>
  <c r="M193" i="1"/>
  <c r="T193" i="1"/>
  <c r="V193" i="1"/>
  <c r="W193" i="1"/>
  <c r="X193" i="1"/>
  <c r="AJ193" i="1"/>
  <c r="AL193" i="1"/>
  <c r="AM193" i="1"/>
  <c r="AN193" i="1"/>
  <c r="A194" i="1"/>
  <c r="E194" i="1"/>
  <c r="M194" i="1"/>
  <c r="T194" i="1"/>
  <c r="V194" i="1"/>
  <c r="W194" i="1"/>
  <c r="X194" i="1"/>
  <c r="AJ194" i="1"/>
  <c r="AL194" i="1"/>
  <c r="AM194" i="1"/>
  <c r="AN194" i="1"/>
  <c r="A195" i="1"/>
  <c r="E195" i="1"/>
  <c r="M195" i="1"/>
  <c r="T195" i="1"/>
  <c r="V195" i="1"/>
  <c r="W195" i="1"/>
  <c r="X195" i="1"/>
  <c r="AJ195" i="1"/>
  <c r="AL195" i="1"/>
  <c r="AM195" i="1"/>
  <c r="AN195" i="1"/>
  <c r="A196" i="1"/>
  <c r="E196" i="1"/>
  <c r="M196" i="1"/>
  <c r="T196" i="1"/>
  <c r="V196" i="1"/>
  <c r="W196" i="1"/>
  <c r="X196" i="1"/>
  <c r="AJ196" i="1"/>
  <c r="AL196" i="1"/>
  <c r="AM196" i="1"/>
  <c r="AN196" i="1"/>
  <c r="A197" i="1"/>
  <c r="E197" i="1"/>
  <c r="M197" i="1"/>
  <c r="T197" i="1"/>
  <c r="V197" i="1"/>
  <c r="W197" i="1"/>
  <c r="X197" i="1"/>
  <c r="AJ197" i="1"/>
  <c r="AL197" i="1"/>
  <c r="AM197" i="1"/>
  <c r="AN197" i="1"/>
  <c r="A198" i="1"/>
  <c r="E198" i="1"/>
  <c r="M198" i="1"/>
  <c r="T198" i="1"/>
  <c r="V198" i="1"/>
  <c r="W198" i="1"/>
  <c r="X198" i="1"/>
  <c r="AJ198" i="1"/>
  <c r="AL198" i="1"/>
  <c r="AM198" i="1"/>
  <c r="AN198" i="1"/>
  <c r="A199" i="1"/>
  <c r="E199" i="1"/>
  <c r="T199" i="1"/>
  <c r="V199" i="1"/>
  <c r="W199" i="1"/>
  <c r="X199" i="1"/>
  <c r="AJ199" i="1"/>
  <c r="AL199" i="1"/>
  <c r="AM199" i="1"/>
  <c r="AN199" i="1"/>
  <c r="A200" i="1"/>
  <c r="E200" i="1"/>
  <c r="T200" i="1"/>
  <c r="V200" i="1"/>
  <c r="W200" i="1"/>
  <c r="X200" i="1"/>
  <c r="AJ200" i="1"/>
  <c r="AL200" i="1"/>
  <c r="AM200" i="1"/>
  <c r="AN200" i="1"/>
  <c r="A201" i="1"/>
  <c r="E201" i="1"/>
  <c r="T201" i="1"/>
  <c r="V201" i="1"/>
  <c r="W201" i="1"/>
  <c r="X201" i="1"/>
  <c r="AJ201" i="1"/>
  <c r="AL201" i="1"/>
  <c r="AM201" i="1"/>
  <c r="AN201" i="1"/>
  <c r="A202" i="1"/>
  <c r="E202" i="1"/>
  <c r="T202" i="1"/>
  <c r="V202" i="1"/>
  <c r="W202" i="1"/>
  <c r="X202" i="1"/>
  <c r="AJ202" i="1"/>
  <c r="AL202" i="1"/>
  <c r="AM202" i="1"/>
  <c r="AN202" i="1"/>
  <c r="A203" i="1"/>
  <c r="E203" i="1"/>
  <c r="T203" i="1"/>
  <c r="V203" i="1"/>
  <c r="W203" i="1"/>
  <c r="X203" i="1"/>
  <c r="AJ203" i="1"/>
  <c r="AL203" i="1"/>
  <c r="AM203" i="1"/>
  <c r="AN203" i="1"/>
  <c r="A204" i="1"/>
  <c r="E204" i="1"/>
  <c r="T204" i="1"/>
  <c r="V204" i="1"/>
  <c r="W204" i="1"/>
  <c r="X204" i="1"/>
  <c r="AJ204" i="1"/>
  <c r="AL204" i="1"/>
  <c r="AM204" i="1"/>
  <c r="AN204" i="1"/>
  <c r="A205" i="1"/>
  <c r="E205" i="1"/>
  <c r="T205" i="1"/>
  <c r="V205" i="1"/>
  <c r="W205" i="1"/>
  <c r="X205" i="1"/>
  <c r="AJ205" i="1"/>
  <c r="AL205" i="1"/>
  <c r="AM205" i="1"/>
  <c r="AN205" i="1"/>
  <c r="A206" i="1"/>
  <c r="E206" i="1"/>
  <c r="T206" i="1"/>
  <c r="V206" i="1"/>
  <c r="W206" i="1"/>
  <c r="X206" i="1"/>
  <c r="AJ206" i="1"/>
  <c r="AL206" i="1"/>
  <c r="AM206" i="1"/>
  <c r="AN206" i="1"/>
  <c r="A207" i="1"/>
  <c r="E207" i="1"/>
  <c r="T207" i="1"/>
  <c r="V207" i="1"/>
  <c r="W207" i="1"/>
  <c r="X207" i="1"/>
  <c r="AJ207" i="1"/>
  <c r="AL207" i="1"/>
  <c r="AM207" i="1"/>
  <c r="AN207" i="1"/>
  <c r="A208" i="1"/>
  <c r="E208" i="1"/>
  <c r="T208" i="1"/>
  <c r="V208" i="1"/>
  <c r="W208" i="1"/>
  <c r="X208" i="1"/>
  <c r="AJ208" i="1"/>
  <c r="AL208" i="1"/>
  <c r="AM208" i="1"/>
  <c r="AN208" i="1"/>
  <c r="A209" i="1"/>
  <c r="E209" i="1"/>
  <c r="T209" i="1"/>
  <c r="V209" i="1"/>
  <c r="W209" i="1"/>
  <c r="X209" i="1"/>
  <c r="AJ209" i="1"/>
  <c r="AL209" i="1"/>
  <c r="AM209" i="1"/>
  <c r="AN209" i="1"/>
  <c r="A210" i="1"/>
  <c r="E210" i="1"/>
  <c r="T210" i="1"/>
  <c r="V210" i="1"/>
  <c r="W210" i="1"/>
  <c r="X210" i="1"/>
  <c r="AJ210" i="1"/>
  <c r="AL210" i="1"/>
  <c r="AM210" i="1"/>
  <c r="AN210" i="1"/>
  <c r="A212" i="1"/>
  <c r="E212" i="1"/>
  <c r="T212" i="1"/>
  <c r="V212" i="1"/>
  <c r="W212" i="1"/>
  <c r="X212" i="1"/>
  <c r="AJ212" i="1"/>
  <c r="AL212" i="1"/>
  <c r="AM212" i="1"/>
  <c r="AN212" i="1"/>
  <c r="A213" i="1"/>
  <c r="E213" i="1"/>
  <c r="T213" i="1"/>
  <c r="V213" i="1"/>
  <c r="W213" i="1"/>
  <c r="X213" i="1"/>
  <c r="AJ213" i="1"/>
  <c r="AL213" i="1"/>
  <c r="AM213" i="1"/>
  <c r="AN213" i="1"/>
  <c r="A214" i="1"/>
  <c r="E214" i="1"/>
  <c r="T214" i="1"/>
  <c r="V214" i="1"/>
  <c r="W214" i="1"/>
  <c r="X214" i="1"/>
  <c r="AJ214" i="1"/>
  <c r="AL214" i="1"/>
  <c r="AM214" i="1"/>
  <c r="AN214" i="1"/>
  <c r="A215" i="1"/>
  <c r="E215" i="1"/>
  <c r="T215" i="1"/>
  <c r="V215" i="1"/>
  <c r="W215" i="1"/>
  <c r="X215" i="1"/>
  <c r="AJ215" i="1"/>
  <c r="AL215" i="1"/>
  <c r="AM215" i="1"/>
  <c r="AN215" i="1"/>
  <c r="A216" i="1"/>
  <c r="E216" i="1"/>
  <c r="T216" i="1"/>
  <c r="V216" i="1"/>
  <c r="W216" i="1"/>
  <c r="X216" i="1"/>
  <c r="AJ216" i="1"/>
  <c r="AL216" i="1"/>
  <c r="AM216" i="1"/>
  <c r="AN216" i="1"/>
  <c r="A217" i="1"/>
  <c r="E217" i="1"/>
  <c r="T217" i="1"/>
  <c r="V217" i="1"/>
  <c r="W217" i="1"/>
  <c r="X217" i="1"/>
  <c r="AJ217" i="1"/>
  <c r="AL217" i="1"/>
  <c r="AM217" i="1"/>
  <c r="AN217" i="1"/>
  <c r="A218" i="1"/>
  <c r="E218" i="1"/>
  <c r="T218" i="1"/>
  <c r="V218" i="1"/>
  <c r="W218" i="1"/>
  <c r="X218" i="1"/>
  <c r="AJ218" i="1"/>
  <c r="AL218" i="1"/>
  <c r="AM218" i="1"/>
  <c r="AN218" i="1"/>
  <c r="A219" i="1"/>
  <c r="E219" i="1"/>
  <c r="T219" i="1"/>
  <c r="V219" i="1"/>
  <c r="W219" i="1"/>
  <c r="X219" i="1"/>
  <c r="AJ219" i="1"/>
  <c r="AL219" i="1"/>
  <c r="AM219" i="1"/>
  <c r="AN219" i="1"/>
  <c r="A220" i="1"/>
  <c r="E220" i="1"/>
  <c r="T220" i="1"/>
  <c r="V220" i="1"/>
  <c r="W220" i="1"/>
  <c r="X220" i="1"/>
  <c r="AJ220" i="1"/>
  <c r="AL220" i="1"/>
  <c r="AM220" i="1"/>
  <c r="AN220" i="1"/>
  <c r="A221" i="1"/>
  <c r="E221" i="1"/>
  <c r="T221" i="1"/>
  <c r="V221" i="1"/>
  <c r="W221" i="1"/>
  <c r="X221" i="1"/>
  <c r="AJ221" i="1"/>
  <c r="AL221" i="1"/>
  <c r="AM221" i="1"/>
  <c r="AN221" i="1"/>
  <c r="A222" i="1"/>
  <c r="E222" i="1"/>
  <c r="T222" i="1"/>
  <c r="V222" i="1"/>
  <c r="W222" i="1"/>
  <c r="X222" i="1"/>
  <c r="AJ222" i="1"/>
  <c r="AL222" i="1"/>
  <c r="AM222" i="1"/>
  <c r="AN222" i="1"/>
  <c r="A223" i="1"/>
  <c r="E223" i="1"/>
  <c r="T223" i="1"/>
  <c r="V223" i="1"/>
  <c r="W223" i="1"/>
  <c r="X223" i="1"/>
  <c r="AJ223" i="1"/>
  <c r="AL223" i="1"/>
  <c r="AM223" i="1"/>
  <c r="AN223" i="1"/>
  <c r="A224" i="1"/>
  <c r="E224" i="1"/>
  <c r="T224" i="1"/>
  <c r="V224" i="1"/>
  <c r="W224" i="1"/>
  <c r="X224" i="1"/>
  <c r="AJ224" i="1"/>
  <c r="AL224" i="1"/>
  <c r="AM224" i="1"/>
  <c r="AN224" i="1"/>
  <c r="A225" i="1"/>
  <c r="E225" i="1"/>
  <c r="T225" i="1"/>
  <c r="V225" i="1"/>
  <c r="W225" i="1"/>
  <c r="X225" i="1"/>
  <c r="AJ225" i="1"/>
  <c r="AL225" i="1"/>
  <c r="AM225" i="1"/>
  <c r="AN225" i="1"/>
  <c r="A226" i="1"/>
  <c r="E226" i="1"/>
  <c r="T226" i="1"/>
  <c r="V226" i="1"/>
  <c r="W226" i="1"/>
  <c r="X226" i="1"/>
  <c r="AJ226" i="1"/>
  <c r="AL226" i="1"/>
  <c r="AM226" i="1"/>
  <c r="AN226" i="1"/>
  <c r="A227" i="1"/>
  <c r="E227" i="1"/>
  <c r="T227" i="1"/>
  <c r="V227" i="1"/>
  <c r="W227" i="1"/>
  <c r="X227" i="1"/>
  <c r="AJ227" i="1"/>
  <c r="AL227" i="1"/>
  <c r="AM227" i="1"/>
  <c r="AN227" i="1"/>
  <c r="A228" i="1"/>
  <c r="E228" i="1"/>
  <c r="T228" i="1"/>
  <c r="V228" i="1"/>
  <c r="W228" i="1"/>
  <c r="X228" i="1"/>
  <c r="AJ228" i="1"/>
  <c r="AL228" i="1"/>
  <c r="AM228" i="1"/>
  <c r="AN228" i="1"/>
  <c r="A229" i="1"/>
  <c r="E229" i="1"/>
  <c r="T229" i="1"/>
  <c r="V229" i="1"/>
  <c r="W229" i="1"/>
  <c r="X229" i="1"/>
  <c r="AJ229" i="1"/>
  <c r="AL229" i="1"/>
  <c r="AM229" i="1"/>
  <c r="AN229" i="1"/>
  <c r="A230" i="1"/>
  <c r="E230" i="1"/>
  <c r="T230" i="1"/>
  <c r="V230" i="1"/>
  <c r="W230" i="1"/>
  <c r="X230" i="1"/>
  <c r="AJ230" i="1"/>
  <c r="AL230" i="1"/>
  <c r="AM230" i="1"/>
  <c r="AN230" i="1"/>
  <c r="A231" i="1"/>
  <c r="E231" i="1"/>
  <c r="T231" i="1"/>
  <c r="V231" i="1"/>
  <c r="W231" i="1"/>
  <c r="X231" i="1"/>
  <c r="AJ231" i="1"/>
  <c r="AL231" i="1"/>
  <c r="AM231" i="1"/>
  <c r="AN231" i="1"/>
  <c r="A232" i="1"/>
  <c r="E232" i="1"/>
  <c r="T232" i="1"/>
  <c r="V232" i="1"/>
  <c r="W232" i="1"/>
  <c r="X232" i="1"/>
  <c r="AJ232" i="1"/>
  <c r="AL232" i="1"/>
  <c r="AM232" i="1"/>
  <c r="AN232" i="1"/>
  <c r="A234" i="1"/>
  <c r="E234" i="1"/>
  <c r="T234" i="1"/>
  <c r="V234" i="1"/>
  <c r="W234" i="1"/>
  <c r="X234" i="1"/>
  <c r="AJ234" i="1"/>
  <c r="AL234" i="1"/>
  <c r="AM234" i="1"/>
  <c r="AN234" i="1"/>
  <c r="A235" i="1"/>
  <c r="E235" i="1"/>
  <c r="T235" i="1"/>
  <c r="V235" i="1"/>
  <c r="W235" i="1"/>
  <c r="X235" i="1"/>
  <c r="AJ235" i="1"/>
  <c r="AL235" i="1"/>
  <c r="AM235" i="1"/>
  <c r="AN235" i="1"/>
  <c r="A236" i="1"/>
  <c r="E236" i="1"/>
  <c r="T236" i="1"/>
  <c r="V236" i="1"/>
  <c r="W236" i="1"/>
  <c r="X236" i="1"/>
  <c r="AJ236" i="1"/>
  <c r="AL236" i="1"/>
  <c r="AM236" i="1"/>
  <c r="AN236" i="1"/>
  <c r="A237" i="1"/>
  <c r="E237" i="1"/>
  <c r="T237" i="1"/>
  <c r="V237" i="1"/>
  <c r="W237" i="1"/>
  <c r="X237" i="1"/>
  <c r="AJ237" i="1"/>
  <c r="AL237" i="1"/>
  <c r="AM237" i="1"/>
  <c r="AN237" i="1"/>
  <c r="A238" i="1"/>
  <c r="E238" i="1"/>
  <c r="T238" i="1"/>
  <c r="V238" i="1"/>
  <c r="W238" i="1"/>
  <c r="X238" i="1"/>
  <c r="AJ238" i="1"/>
  <c r="AL238" i="1"/>
  <c r="AM238" i="1"/>
  <c r="AN238" i="1"/>
  <c r="A240" i="1"/>
  <c r="E240" i="1"/>
  <c r="T240" i="1"/>
  <c r="V240" i="1"/>
  <c r="W240" i="1"/>
  <c r="X240" i="1"/>
  <c r="AJ240" i="1"/>
  <c r="AL240" i="1"/>
  <c r="AM240" i="1"/>
  <c r="AN240" i="1"/>
  <c r="A241" i="1"/>
  <c r="E241" i="1"/>
  <c r="T241" i="1"/>
  <c r="V241" i="1"/>
  <c r="W241" i="1"/>
  <c r="X241" i="1"/>
  <c r="AJ241" i="1"/>
  <c r="AL241" i="1"/>
  <c r="AM241" i="1"/>
  <c r="AN241" i="1"/>
  <c r="A242" i="1"/>
  <c r="E242" i="1"/>
  <c r="T242" i="1"/>
  <c r="V242" i="1"/>
  <c r="W242" i="1"/>
  <c r="X242" i="1"/>
  <c r="AJ242" i="1"/>
  <c r="AL242" i="1"/>
  <c r="AM242" i="1"/>
  <c r="AN242" i="1"/>
  <c r="A243" i="1"/>
  <c r="E243" i="1"/>
  <c r="T243" i="1"/>
  <c r="V243" i="1"/>
  <c r="W243" i="1"/>
  <c r="X243" i="1"/>
  <c r="AJ243" i="1"/>
  <c r="AL243" i="1"/>
  <c r="AM243" i="1"/>
  <c r="AN243" i="1"/>
  <c r="A244" i="1"/>
  <c r="E244" i="1"/>
  <c r="T244" i="1"/>
  <c r="V244" i="1"/>
  <c r="W244" i="1"/>
  <c r="X244" i="1"/>
  <c r="AJ244" i="1"/>
  <c r="AL244" i="1"/>
  <c r="AM244" i="1"/>
  <c r="AN244" i="1"/>
  <c r="A245" i="1"/>
  <c r="E245" i="1"/>
  <c r="T245" i="1"/>
  <c r="V245" i="1"/>
  <c r="W245" i="1"/>
  <c r="X245" i="1"/>
  <c r="AJ245" i="1"/>
  <c r="AL245" i="1"/>
  <c r="AM245" i="1"/>
  <c r="AN245" i="1"/>
  <c r="A246" i="1"/>
  <c r="E246" i="1"/>
  <c r="T246" i="1"/>
  <c r="V246" i="1"/>
  <c r="W246" i="1"/>
  <c r="X246" i="1"/>
  <c r="AJ246" i="1"/>
  <c r="AL246" i="1"/>
  <c r="AM246" i="1"/>
  <c r="AN246" i="1"/>
  <c r="A247" i="1"/>
  <c r="E247" i="1"/>
  <c r="T247" i="1"/>
  <c r="V247" i="1"/>
  <c r="W247" i="1"/>
  <c r="X247" i="1"/>
  <c r="AJ247" i="1"/>
  <c r="AL247" i="1"/>
  <c r="AM247" i="1"/>
  <c r="AN247" i="1"/>
  <c r="A248" i="1"/>
  <c r="E248" i="1"/>
  <c r="T248" i="1"/>
  <c r="V248" i="1"/>
  <c r="W248" i="1"/>
  <c r="X248" i="1"/>
  <c r="AJ248" i="1"/>
  <c r="AL248" i="1"/>
  <c r="AM248" i="1"/>
  <c r="AN248" i="1"/>
  <c r="A249" i="1"/>
  <c r="E249" i="1"/>
  <c r="T249" i="1"/>
  <c r="V249" i="1"/>
  <c r="W249" i="1"/>
  <c r="X249" i="1"/>
  <c r="AJ249" i="1"/>
  <c r="AL249" i="1"/>
  <c r="AM249" i="1"/>
  <c r="AN249" i="1"/>
  <c r="A250" i="1"/>
  <c r="E250" i="1"/>
  <c r="T250" i="1"/>
  <c r="V250" i="1"/>
  <c r="W250" i="1"/>
  <c r="X250" i="1"/>
  <c r="AJ250" i="1"/>
  <c r="AL250" i="1"/>
  <c r="AM250" i="1"/>
  <c r="AN250" i="1"/>
  <c r="A251" i="1"/>
  <c r="E251" i="1"/>
  <c r="T251" i="1"/>
  <c r="V251" i="1"/>
  <c r="W251" i="1"/>
  <c r="X251" i="1"/>
  <c r="AJ251" i="1"/>
  <c r="AL251" i="1"/>
  <c r="AM251" i="1"/>
  <c r="AN251" i="1"/>
  <c r="A252" i="1"/>
  <c r="E252" i="1"/>
  <c r="T252" i="1"/>
  <c r="V252" i="1"/>
  <c r="W252" i="1"/>
  <c r="X252" i="1"/>
  <c r="AJ252" i="1"/>
  <c r="AL252" i="1"/>
  <c r="AM252" i="1"/>
  <c r="AN252" i="1"/>
  <c r="A253" i="1"/>
  <c r="E253" i="1"/>
  <c r="T253" i="1"/>
  <c r="V253" i="1"/>
  <c r="W253" i="1"/>
  <c r="X253" i="1"/>
  <c r="AJ253" i="1"/>
  <c r="AL253" i="1"/>
  <c r="AM253" i="1"/>
  <c r="AN253" i="1"/>
  <c r="A254" i="1"/>
  <c r="E254" i="1"/>
  <c r="T254" i="1"/>
  <c r="V254" i="1"/>
  <c r="W254" i="1"/>
  <c r="X254" i="1"/>
  <c r="AJ254" i="1"/>
  <c r="AL254" i="1"/>
  <c r="AM254" i="1"/>
  <c r="AN254" i="1"/>
  <c r="A255" i="1"/>
  <c r="E255" i="1"/>
  <c r="T255" i="1"/>
  <c r="V255" i="1"/>
  <c r="W255" i="1"/>
  <c r="X255" i="1"/>
  <c r="AJ255" i="1"/>
  <c r="AL255" i="1"/>
  <c r="AM255" i="1"/>
  <c r="AN255" i="1"/>
  <c r="A256" i="1"/>
  <c r="E256" i="1"/>
  <c r="I256" i="1"/>
  <c r="T256" i="1"/>
  <c r="V256" i="1"/>
  <c r="W256" i="1"/>
  <c r="X256" i="1"/>
  <c r="AJ256" i="1"/>
  <c r="AL256" i="1"/>
  <c r="AM256" i="1"/>
  <c r="AN256" i="1"/>
  <c r="A257" i="1"/>
  <c r="E257" i="1"/>
  <c r="I257" i="1"/>
  <c r="T257" i="1"/>
  <c r="V257" i="1"/>
  <c r="W257" i="1"/>
  <c r="X257" i="1"/>
  <c r="AJ257" i="1"/>
  <c r="AL257" i="1"/>
  <c r="AM257" i="1"/>
  <c r="AN257" i="1"/>
  <c r="A258" i="1"/>
  <c r="E258" i="1"/>
  <c r="I258" i="1"/>
  <c r="T258" i="1"/>
  <c r="V258" i="1"/>
  <c r="W258" i="1"/>
  <c r="X258" i="1"/>
  <c r="AJ258" i="1"/>
  <c r="AL258" i="1"/>
  <c r="AM258" i="1"/>
  <c r="AN258" i="1"/>
  <c r="A259" i="1"/>
  <c r="E259" i="1"/>
  <c r="I259" i="1"/>
  <c r="T259" i="1"/>
  <c r="V259" i="1"/>
  <c r="W259" i="1"/>
  <c r="X259" i="1"/>
  <c r="AJ259" i="1"/>
  <c r="AL259" i="1"/>
  <c r="AM259" i="1"/>
  <c r="AN259" i="1"/>
  <c r="A260" i="1"/>
  <c r="E260" i="1"/>
  <c r="I260" i="1"/>
  <c r="T260" i="1"/>
  <c r="V260" i="1"/>
  <c r="W260" i="1"/>
  <c r="X260" i="1"/>
  <c r="AJ260" i="1"/>
  <c r="AL260" i="1"/>
  <c r="AM260" i="1"/>
  <c r="AN260" i="1"/>
  <c r="A261" i="1"/>
  <c r="E261" i="1"/>
  <c r="I261" i="1"/>
  <c r="T261" i="1"/>
  <c r="V261" i="1"/>
  <c r="W261" i="1"/>
  <c r="X261" i="1"/>
  <c r="AJ261" i="1"/>
  <c r="AL261" i="1"/>
  <c r="AM261" i="1"/>
  <c r="AN261" i="1"/>
  <c r="A262" i="1"/>
  <c r="E262" i="1"/>
  <c r="I262" i="1"/>
  <c r="T262" i="1"/>
  <c r="V262" i="1"/>
  <c r="W262" i="1"/>
  <c r="X262" i="1"/>
  <c r="AJ262" i="1"/>
  <c r="AL262" i="1"/>
  <c r="AM262" i="1"/>
  <c r="AN262" i="1"/>
  <c r="A263" i="1"/>
  <c r="E263" i="1"/>
  <c r="I263" i="1"/>
  <c r="T263" i="1"/>
  <c r="V263" i="1"/>
  <c r="W263" i="1"/>
  <c r="X263" i="1"/>
  <c r="AJ263" i="1"/>
  <c r="AL263" i="1"/>
  <c r="AM263" i="1"/>
  <c r="AN263" i="1"/>
  <c r="A264" i="1"/>
  <c r="E264" i="1"/>
  <c r="I264" i="1"/>
  <c r="T264" i="1"/>
  <c r="V264" i="1"/>
  <c r="W264" i="1"/>
  <c r="X264" i="1"/>
  <c r="AJ264" i="1"/>
  <c r="AL264" i="1"/>
  <c r="AM264" i="1"/>
  <c r="AN264" i="1"/>
  <c r="A265" i="1"/>
  <c r="E265" i="1"/>
  <c r="I265" i="1"/>
  <c r="T265" i="1"/>
  <c r="V265" i="1"/>
  <c r="W265" i="1"/>
  <c r="X265" i="1"/>
  <c r="AJ265" i="1"/>
  <c r="AL265" i="1"/>
  <c r="AM265" i="1"/>
  <c r="AN265" i="1"/>
  <c r="A266" i="1"/>
  <c r="E266" i="1"/>
  <c r="I266" i="1"/>
  <c r="T266" i="1"/>
  <c r="V266" i="1"/>
  <c r="W266" i="1"/>
  <c r="X266" i="1"/>
  <c r="AJ266" i="1"/>
  <c r="AL266" i="1"/>
  <c r="AM266" i="1"/>
  <c r="AN266" i="1"/>
  <c r="A267" i="1"/>
  <c r="E267" i="1"/>
  <c r="I267" i="1"/>
  <c r="T267" i="1"/>
  <c r="V267" i="1"/>
  <c r="W267" i="1"/>
  <c r="X267" i="1"/>
  <c r="AJ267" i="1"/>
  <c r="AL267" i="1"/>
  <c r="AM267" i="1"/>
  <c r="AN267" i="1"/>
  <c r="A268" i="1"/>
  <c r="E268" i="1"/>
  <c r="I268" i="1"/>
  <c r="T268" i="1"/>
  <c r="V268" i="1"/>
  <c r="W268" i="1"/>
  <c r="X268" i="1"/>
  <c r="AJ268" i="1"/>
  <c r="AL268" i="1"/>
  <c r="AM268" i="1"/>
  <c r="AN268" i="1"/>
  <c r="A269" i="1"/>
  <c r="E269" i="1"/>
  <c r="I269" i="1"/>
  <c r="T269" i="1"/>
  <c r="V269" i="1"/>
  <c r="W269" i="1"/>
  <c r="X269" i="1"/>
  <c r="AJ269" i="1"/>
  <c r="AL269" i="1"/>
  <c r="AM269" i="1"/>
  <c r="AN269" i="1"/>
  <c r="A271" i="1"/>
  <c r="E271" i="1"/>
  <c r="T271" i="1"/>
  <c r="V271" i="1"/>
  <c r="W271" i="1"/>
  <c r="X271" i="1"/>
  <c r="AJ271" i="1"/>
  <c r="AL271" i="1"/>
  <c r="AM271" i="1"/>
  <c r="AN271" i="1"/>
  <c r="A272" i="1"/>
  <c r="E272" i="1"/>
  <c r="T272" i="1"/>
  <c r="V272" i="1"/>
  <c r="W272" i="1"/>
  <c r="X272" i="1"/>
  <c r="AJ272" i="1"/>
  <c r="AL272" i="1"/>
  <c r="AM272" i="1"/>
  <c r="AN272" i="1"/>
  <c r="A273" i="1"/>
  <c r="E273" i="1"/>
  <c r="T273" i="1"/>
  <c r="V273" i="1"/>
  <c r="W273" i="1"/>
  <c r="X273" i="1"/>
  <c r="AJ273" i="1"/>
  <c r="AL273" i="1"/>
  <c r="AM273" i="1"/>
  <c r="AN273" i="1"/>
  <c r="A274" i="1"/>
  <c r="E274" i="1"/>
  <c r="T274" i="1"/>
  <c r="V274" i="1"/>
  <c r="W274" i="1"/>
  <c r="X274" i="1"/>
  <c r="AJ274" i="1"/>
  <c r="AL274" i="1"/>
  <c r="AM274" i="1"/>
  <c r="AN274" i="1"/>
  <c r="A275" i="1"/>
  <c r="E275" i="1"/>
  <c r="T275" i="1"/>
  <c r="V275" i="1"/>
  <c r="W275" i="1"/>
  <c r="X275" i="1"/>
  <c r="AJ275" i="1"/>
  <c r="AL275" i="1"/>
  <c r="AM275" i="1"/>
  <c r="AN275" i="1"/>
  <c r="A276" i="1"/>
  <c r="E276" i="1"/>
  <c r="T276" i="1"/>
  <c r="V276" i="1"/>
  <c r="W276" i="1"/>
  <c r="X276" i="1"/>
  <c r="AJ276" i="1"/>
  <c r="AL276" i="1"/>
  <c r="AM276" i="1"/>
  <c r="AN276" i="1"/>
  <c r="A277" i="1"/>
  <c r="E277" i="1"/>
  <c r="T277" i="1"/>
  <c r="V277" i="1"/>
  <c r="W277" i="1"/>
  <c r="X277" i="1"/>
  <c r="AJ277" i="1"/>
  <c r="AL277" i="1"/>
  <c r="AM277" i="1"/>
  <c r="AN277" i="1"/>
  <c r="A278" i="1"/>
  <c r="E278" i="1"/>
  <c r="T278" i="1"/>
  <c r="V278" i="1"/>
  <c r="W278" i="1"/>
  <c r="X278" i="1"/>
  <c r="AJ278" i="1"/>
  <c r="AL278" i="1"/>
  <c r="AM278" i="1"/>
  <c r="AN278" i="1"/>
  <c r="A279" i="1"/>
  <c r="E279" i="1"/>
  <c r="T279" i="1"/>
  <c r="V279" i="1"/>
  <c r="W279" i="1"/>
  <c r="X279" i="1"/>
  <c r="AJ279" i="1"/>
  <c r="AL279" i="1"/>
  <c r="AM279" i="1"/>
  <c r="AN279" i="1"/>
  <c r="A280" i="1"/>
  <c r="E280" i="1"/>
  <c r="T280" i="1"/>
  <c r="V280" i="1"/>
  <c r="W280" i="1"/>
  <c r="X280" i="1"/>
  <c r="AJ280" i="1"/>
  <c r="AL280" i="1"/>
  <c r="AM280" i="1"/>
  <c r="AN280" i="1"/>
  <c r="A281" i="1"/>
  <c r="E281" i="1"/>
  <c r="T281" i="1"/>
  <c r="V281" i="1"/>
  <c r="W281" i="1"/>
  <c r="X281" i="1"/>
  <c r="AJ281" i="1"/>
  <c r="AL281" i="1"/>
  <c r="AM281" i="1"/>
  <c r="AN281" i="1"/>
  <c r="A282" i="1"/>
  <c r="E282" i="1"/>
  <c r="T282" i="1"/>
  <c r="V282" i="1"/>
  <c r="W282" i="1"/>
  <c r="X282" i="1"/>
  <c r="AJ282" i="1"/>
  <c r="AL282" i="1"/>
  <c r="AM282" i="1"/>
  <c r="AN282" i="1"/>
  <c r="A283" i="1"/>
  <c r="E283" i="1"/>
  <c r="T283" i="1"/>
  <c r="V283" i="1"/>
  <c r="W283" i="1"/>
  <c r="X283" i="1"/>
  <c r="AJ283" i="1"/>
  <c r="AL283" i="1"/>
  <c r="AM283" i="1"/>
  <c r="AN283" i="1"/>
  <c r="A284" i="1"/>
  <c r="E284" i="1"/>
  <c r="T284" i="1"/>
  <c r="V284" i="1"/>
  <c r="W284" i="1"/>
  <c r="X284" i="1"/>
  <c r="AJ284" i="1"/>
  <c r="AL284" i="1"/>
  <c r="AM284" i="1"/>
  <c r="AN284" i="1"/>
  <c r="A285" i="1"/>
  <c r="E285" i="1"/>
  <c r="T285" i="1"/>
  <c r="V285" i="1"/>
  <c r="W285" i="1"/>
  <c r="X285" i="1"/>
  <c r="AJ285" i="1"/>
  <c r="AL285" i="1"/>
  <c r="AM285" i="1"/>
  <c r="AN285" i="1"/>
  <c r="A286" i="1"/>
  <c r="E286" i="1"/>
  <c r="T286" i="1"/>
  <c r="V286" i="1"/>
  <c r="W286" i="1"/>
  <c r="X286" i="1"/>
  <c r="AJ286" i="1"/>
  <c r="AL286" i="1"/>
  <c r="AM286" i="1"/>
  <c r="AN286" i="1"/>
  <c r="A287" i="1"/>
  <c r="E287" i="1"/>
  <c r="T287" i="1"/>
  <c r="V287" i="1"/>
  <c r="W287" i="1"/>
  <c r="X287" i="1"/>
  <c r="AJ287" i="1"/>
  <c r="AL287" i="1"/>
  <c r="AM287" i="1"/>
  <c r="AN287" i="1"/>
  <c r="A288" i="1"/>
  <c r="E288" i="1"/>
  <c r="T288" i="1"/>
  <c r="V288" i="1"/>
  <c r="W288" i="1"/>
  <c r="X288" i="1"/>
  <c r="AJ288" i="1"/>
  <c r="AL288" i="1"/>
  <c r="AM288" i="1"/>
  <c r="AN288" i="1"/>
  <c r="A289" i="1"/>
  <c r="E289" i="1"/>
  <c r="T289" i="1"/>
  <c r="V289" i="1"/>
  <c r="W289" i="1"/>
  <c r="X289" i="1"/>
  <c r="AJ289" i="1"/>
  <c r="AL289" i="1"/>
  <c r="AM289" i="1"/>
  <c r="AN289" i="1"/>
  <c r="A290" i="1"/>
  <c r="E290" i="1"/>
  <c r="T290" i="1"/>
  <c r="V290" i="1"/>
  <c r="W290" i="1"/>
  <c r="X290" i="1"/>
  <c r="AJ290" i="1"/>
  <c r="AL290" i="1"/>
  <c r="AM290" i="1"/>
  <c r="AN290" i="1"/>
  <c r="A291" i="1"/>
  <c r="E291" i="1"/>
  <c r="T291" i="1"/>
  <c r="V291" i="1"/>
  <c r="W291" i="1"/>
  <c r="X291" i="1"/>
  <c r="AJ291" i="1"/>
  <c r="AL291" i="1"/>
  <c r="AM291" i="1"/>
  <c r="AN291" i="1"/>
  <c r="A292" i="1"/>
  <c r="E292" i="1"/>
  <c r="M292" i="1"/>
  <c r="T292" i="1"/>
  <c r="V292" i="1"/>
  <c r="W292" i="1"/>
  <c r="X292" i="1"/>
  <c r="AJ292" i="1"/>
  <c r="AL292" i="1"/>
  <c r="AM292" i="1"/>
  <c r="AN292" i="1"/>
  <c r="A293" i="1"/>
  <c r="E293" i="1"/>
  <c r="I293" i="1"/>
  <c r="M293" i="1"/>
  <c r="T293" i="1"/>
  <c r="V293" i="1"/>
  <c r="W293" i="1"/>
  <c r="X293" i="1"/>
  <c r="AJ293" i="1"/>
  <c r="AL293" i="1"/>
  <c r="AM293" i="1"/>
  <c r="AN293" i="1"/>
  <c r="A294" i="1"/>
  <c r="E294" i="1"/>
  <c r="I294" i="1"/>
  <c r="M294" i="1"/>
  <c r="T294" i="1"/>
  <c r="V294" i="1"/>
  <c r="W294" i="1"/>
  <c r="X294" i="1"/>
  <c r="AJ294" i="1"/>
  <c r="AL294" i="1"/>
  <c r="AM294" i="1"/>
  <c r="AN294" i="1"/>
  <c r="A296" i="1"/>
  <c r="E296" i="1"/>
  <c r="M296" i="1"/>
  <c r="T296" i="1"/>
  <c r="V296" i="1"/>
  <c r="W296" i="1"/>
  <c r="X296" i="1"/>
  <c r="AJ296" i="1"/>
  <c r="AL296" i="1"/>
  <c r="AM296" i="1"/>
  <c r="AN296" i="1"/>
  <c r="A297" i="1"/>
  <c r="E297" i="1"/>
  <c r="M297" i="1"/>
  <c r="T297" i="1"/>
  <c r="V297" i="1"/>
  <c r="W297" i="1"/>
  <c r="X297" i="1"/>
  <c r="AJ297" i="1"/>
  <c r="AL297" i="1"/>
  <c r="AM297" i="1"/>
  <c r="AN297" i="1"/>
  <c r="A298" i="1"/>
  <c r="E298" i="1"/>
  <c r="T298" i="1"/>
  <c r="V298" i="1"/>
  <c r="W298" i="1"/>
  <c r="X298" i="1"/>
  <c r="AJ298" i="1"/>
  <c r="AL298" i="1"/>
  <c r="AM298" i="1"/>
  <c r="AN298" i="1"/>
  <c r="A299" i="1"/>
  <c r="E299" i="1"/>
  <c r="T299" i="1"/>
  <c r="V299" i="1"/>
  <c r="W299" i="1"/>
  <c r="X299" i="1"/>
  <c r="AJ299" i="1"/>
  <c r="AL299" i="1"/>
  <c r="AM299" i="1"/>
  <c r="AN299" i="1"/>
  <c r="A300" i="1"/>
  <c r="E300" i="1"/>
  <c r="T300" i="1"/>
  <c r="V300" i="1"/>
  <c r="W300" i="1"/>
  <c r="X300" i="1"/>
  <c r="AJ300" i="1"/>
  <c r="AL300" i="1"/>
  <c r="AM300" i="1"/>
  <c r="AN300" i="1"/>
  <c r="A301" i="1"/>
  <c r="E301" i="1"/>
  <c r="T301" i="1"/>
  <c r="V301" i="1"/>
  <c r="W301" i="1"/>
  <c r="X301" i="1"/>
  <c r="AJ301" i="1"/>
  <c r="AL301" i="1"/>
  <c r="AM301" i="1"/>
  <c r="AN301" i="1"/>
  <c r="A302" i="1"/>
  <c r="E302" i="1"/>
  <c r="T302" i="1"/>
  <c r="V302" i="1"/>
  <c r="W302" i="1"/>
  <c r="X302" i="1"/>
  <c r="AJ302" i="1"/>
  <c r="AL302" i="1"/>
  <c r="AM302" i="1"/>
  <c r="AN302" i="1"/>
  <c r="A303" i="1"/>
  <c r="E303" i="1"/>
  <c r="T303" i="1"/>
  <c r="V303" i="1"/>
  <c r="W303" i="1"/>
  <c r="X303" i="1"/>
  <c r="AJ303" i="1"/>
  <c r="AL303" i="1"/>
  <c r="AM303" i="1"/>
  <c r="AN303" i="1"/>
  <c r="A304" i="1"/>
  <c r="E304" i="1"/>
  <c r="T304" i="1"/>
  <c r="V304" i="1"/>
  <c r="W304" i="1"/>
  <c r="X304" i="1"/>
  <c r="AJ304" i="1"/>
  <c r="AL304" i="1"/>
  <c r="AM304" i="1"/>
  <c r="AN304" i="1"/>
  <c r="A305" i="1"/>
  <c r="E305" i="1"/>
  <c r="T305" i="1"/>
  <c r="V305" i="1"/>
  <c r="W305" i="1"/>
  <c r="X305" i="1"/>
  <c r="AJ305" i="1"/>
  <c r="AL305" i="1"/>
  <c r="AM305" i="1"/>
  <c r="AN305" i="1"/>
  <c r="A306" i="1"/>
  <c r="E306" i="1"/>
  <c r="T306" i="1"/>
  <c r="V306" i="1"/>
  <c r="W306" i="1"/>
  <c r="X306" i="1"/>
  <c r="AJ306" i="1"/>
  <c r="AL306" i="1"/>
  <c r="AM306" i="1"/>
  <c r="AN306" i="1"/>
  <c r="A307" i="1"/>
  <c r="E307" i="1"/>
  <c r="T307" i="1"/>
  <c r="V307" i="1"/>
  <c r="W307" i="1"/>
  <c r="X307" i="1"/>
  <c r="AJ307" i="1"/>
  <c r="AL307" i="1"/>
  <c r="AM307" i="1"/>
  <c r="AN307" i="1"/>
  <c r="A308" i="1"/>
  <c r="E308" i="1"/>
  <c r="T308" i="1"/>
  <c r="V308" i="1"/>
  <c r="W308" i="1"/>
  <c r="X308" i="1"/>
  <c r="AJ308" i="1"/>
  <c r="AL308" i="1"/>
  <c r="AM308" i="1"/>
  <c r="AN308" i="1"/>
  <c r="A309" i="1"/>
  <c r="E309" i="1"/>
  <c r="T309" i="1"/>
  <c r="V309" i="1"/>
  <c r="W309" i="1"/>
  <c r="X309" i="1"/>
  <c r="AJ309" i="1"/>
  <c r="AL309" i="1"/>
  <c r="AM309" i="1"/>
  <c r="AN309" i="1"/>
  <c r="A310" i="1"/>
  <c r="E310" i="1"/>
  <c r="T310" i="1"/>
  <c r="V310" i="1"/>
  <c r="W310" i="1"/>
  <c r="X310" i="1"/>
  <c r="AJ310" i="1"/>
  <c r="AL310" i="1"/>
  <c r="AM310" i="1"/>
  <c r="AN310" i="1"/>
  <c r="A311" i="1"/>
  <c r="E311" i="1"/>
  <c r="T311" i="1"/>
  <c r="V311" i="1"/>
  <c r="W311" i="1"/>
  <c r="X311" i="1"/>
  <c r="AJ311" i="1"/>
  <c r="AL311" i="1"/>
  <c r="AM311" i="1"/>
  <c r="AN311" i="1"/>
  <c r="A312" i="1"/>
  <c r="E312" i="1"/>
  <c r="T312" i="1"/>
  <c r="V312" i="1"/>
  <c r="W312" i="1"/>
  <c r="X312" i="1"/>
  <c r="AJ312" i="1"/>
  <c r="AL312" i="1"/>
  <c r="AM312" i="1"/>
  <c r="AN312" i="1"/>
  <c r="A313" i="1"/>
  <c r="E313" i="1"/>
  <c r="T313" i="1"/>
  <c r="V313" i="1"/>
  <c r="W313" i="1"/>
  <c r="X313" i="1"/>
  <c r="AJ313" i="1"/>
  <c r="AL313" i="1"/>
  <c r="AM313" i="1"/>
  <c r="AN313" i="1"/>
  <c r="A314" i="1"/>
  <c r="E314" i="1"/>
  <c r="T314" i="1"/>
  <c r="V314" i="1"/>
  <c r="W314" i="1"/>
  <c r="X314" i="1"/>
  <c r="AJ314" i="1"/>
  <c r="AL314" i="1"/>
  <c r="AM314" i="1"/>
  <c r="AN314" i="1"/>
  <c r="A315" i="1"/>
  <c r="E315" i="1"/>
  <c r="T315" i="1"/>
  <c r="V315" i="1"/>
  <c r="W315" i="1"/>
  <c r="X315" i="1"/>
  <c r="AJ315" i="1"/>
  <c r="AL315" i="1"/>
  <c r="AM315" i="1"/>
  <c r="AN315" i="1"/>
  <c r="A316" i="1"/>
  <c r="E316" i="1"/>
  <c r="M316" i="1"/>
  <c r="T316" i="1"/>
  <c r="V316" i="1"/>
  <c r="W316" i="1"/>
  <c r="X316" i="1"/>
  <c r="AJ316" i="1"/>
  <c r="AL316" i="1"/>
  <c r="AM316" i="1"/>
  <c r="AN316" i="1"/>
  <c r="A317" i="1"/>
  <c r="E317" i="1"/>
  <c r="I317" i="1"/>
  <c r="M317" i="1"/>
  <c r="T317" i="1"/>
  <c r="V317" i="1"/>
  <c r="W317" i="1"/>
  <c r="X317" i="1"/>
  <c r="AJ317" i="1"/>
  <c r="AL317" i="1"/>
  <c r="AM317" i="1"/>
  <c r="AN317" i="1"/>
  <c r="A319" i="1"/>
  <c r="E319" i="1"/>
  <c r="M319" i="1"/>
  <c r="T319" i="1"/>
  <c r="V319" i="1"/>
  <c r="W319" i="1"/>
  <c r="X319" i="1"/>
  <c r="AJ319" i="1"/>
  <c r="AL319" i="1"/>
  <c r="AM319" i="1"/>
  <c r="AN319" i="1"/>
  <c r="A320" i="1"/>
  <c r="E320" i="1"/>
  <c r="M320" i="1"/>
  <c r="T320" i="1"/>
  <c r="V320" i="1"/>
  <c r="W320" i="1"/>
  <c r="X320" i="1"/>
  <c r="AJ320" i="1"/>
  <c r="AL320" i="1"/>
  <c r="AM320" i="1"/>
  <c r="AN320" i="1"/>
  <c r="A321" i="1"/>
  <c r="E321" i="1"/>
  <c r="M321" i="1"/>
  <c r="T321" i="1"/>
  <c r="V321" i="1"/>
  <c r="W321" i="1"/>
  <c r="X321" i="1"/>
  <c r="AJ321" i="1"/>
  <c r="AL321" i="1"/>
  <c r="AM321" i="1"/>
  <c r="AN321" i="1"/>
  <c r="A322" i="1"/>
  <c r="E322" i="1"/>
  <c r="M322" i="1"/>
  <c r="T322" i="1"/>
  <c r="V322" i="1"/>
  <c r="W322" i="1"/>
  <c r="X322" i="1"/>
  <c r="AJ322" i="1"/>
  <c r="AL322" i="1"/>
  <c r="AM322" i="1"/>
  <c r="AN322" i="1"/>
  <c r="A323" i="1"/>
  <c r="E323" i="1"/>
  <c r="M323" i="1"/>
  <c r="T323" i="1"/>
  <c r="V323" i="1"/>
  <c r="W323" i="1"/>
  <c r="X323" i="1"/>
  <c r="AJ323" i="1"/>
  <c r="AL323" i="1"/>
  <c r="AM323" i="1"/>
  <c r="AN323" i="1"/>
  <c r="A324" i="1"/>
  <c r="E324" i="1"/>
  <c r="M324" i="1"/>
  <c r="T324" i="1"/>
  <c r="V324" i="1"/>
  <c r="W324" i="1"/>
  <c r="X324" i="1"/>
  <c r="AJ324" i="1"/>
  <c r="AL324" i="1"/>
  <c r="AM324" i="1"/>
  <c r="AN324" i="1"/>
  <c r="A325" i="1"/>
  <c r="E325" i="1"/>
  <c r="M325" i="1"/>
  <c r="T325" i="1"/>
  <c r="V325" i="1"/>
  <c r="W325" i="1"/>
  <c r="X325" i="1"/>
  <c r="AJ325" i="1"/>
  <c r="AL325" i="1"/>
  <c r="AM325" i="1"/>
  <c r="AN325" i="1"/>
  <c r="A326" i="1"/>
  <c r="E326" i="1"/>
  <c r="M326" i="1"/>
  <c r="T326" i="1"/>
  <c r="V326" i="1"/>
  <c r="W326" i="1"/>
  <c r="X326" i="1"/>
  <c r="AJ326" i="1"/>
  <c r="AL326" i="1"/>
  <c r="AM326" i="1"/>
  <c r="AN326" i="1"/>
  <c r="A327" i="1"/>
  <c r="E327" i="1"/>
  <c r="M327" i="1"/>
  <c r="T327" i="1"/>
  <c r="V327" i="1"/>
  <c r="W327" i="1"/>
  <c r="X327" i="1"/>
  <c r="AJ327" i="1"/>
  <c r="AL327" i="1"/>
  <c r="AM327" i="1"/>
  <c r="AN327" i="1"/>
  <c r="A328" i="1"/>
  <c r="E328" i="1"/>
  <c r="M328" i="1"/>
  <c r="T328" i="1"/>
  <c r="V328" i="1"/>
  <c r="W328" i="1"/>
  <c r="X328" i="1"/>
  <c r="AJ328" i="1"/>
  <c r="AL328" i="1"/>
  <c r="AM328" i="1"/>
  <c r="AN328" i="1"/>
  <c r="A329" i="1"/>
  <c r="E329" i="1"/>
  <c r="M329" i="1"/>
  <c r="T329" i="1"/>
  <c r="V329" i="1"/>
  <c r="W329" i="1"/>
  <c r="X329" i="1"/>
  <c r="AJ329" i="1"/>
  <c r="AL329" i="1"/>
  <c r="AM329" i="1"/>
  <c r="AN329" i="1"/>
  <c r="A330" i="1"/>
  <c r="E330" i="1"/>
  <c r="M330" i="1"/>
  <c r="T330" i="1"/>
  <c r="V330" i="1"/>
  <c r="W330" i="1"/>
  <c r="X330" i="1"/>
  <c r="AJ330" i="1"/>
  <c r="AL330" i="1"/>
  <c r="AM330" i="1"/>
  <c r="AN330" i="1"/>
  <c r="A331" i="1"/>
  <c r="E331" i="1"/>
  <c r="M331" i="1"/>
  <c r="T331" i="1"/>
  <c r="V331" i="1"/>
  <c r="W331" i="1"/>
  <c r="X331" i="1"/>
  <c r="AJ331" i="1"/>
  <c r="AL331" i="1"/>
  <c r="AM331" i="1"/>
  <c r="AN331" i="1"/>
  <c r="A332" i="1"/>
  <c r="E332" i="1"/>
  <c r="M332" i="1"/>
  <c r="T332" i="1"/>
  <c r="V332" i="1"/>
  <c r="W332" i="1"/>
  <c r="X332" i="1"/>
  <c r="AJ332" i="1"/>
  <c r="AL332" i="1"/>
  <c r="AM332" i="1"/>
  <c r="AN332" i="1"/>
  <c r="A333" i="1"/>
  <c r="E333" i="1"/>
  <c r="M333" i="1"/>
  <c r="T333" i="1"/>
  <c r="V333" i="1"/>
  <c r="W333" i="1"/>
  <c r="X333" i="1"/>
  <c r="AJ333" i="1"/>
  <c r="AL333" i="1"/>
  <c r="AM333" i="1"/>
  <c r="AN333" i="1"/>
  <c r="A334" i="1"/>
  <c r="E334" i="1"/>
  <c r="M334" i="1"/>
  <c r="T334" i="1"/>
  <c r="V334" i="1"/>
  <c r="W334" i="1"/>
  <c r="X334" i="1"/>
  <c r="AJ334" i="1"/>
  <c r="AL334" i="1"/>
  <c r="AM334" i="1"/>
  <c r="AN334" i="1"/>
  <c r="A335" i="1"/>
  <c r="E335" i="1"/>
  <c r="M335" i="1"/>
  <c r="T335" i="1"/>
  <c r="V335" i="1"/>
  <c r="W335" i="1"/>
  <c r="X335" i="1"/>
  <c r="AJ335" i="1"/>
  <c r="AL335" i="1"/>
  <c r="AM335" i="1"/>
  <c r="AN335" i="1"/>
  <c r="A336" i="1"/>
  <c r="E336" i="1"/>
  <c r="M336" i="1"/>
  <c r="T336" i="1"/>
  <c r="V336" i="1"/>
  <c r="W336" i="1"/>
  <c r="X336" i="1"/>
  <c r="AJ336" i="1"/>
  <c r="AL336" i="1"/>
  <c r="AM336" i="1"/>
  <c r="AN336" i="1"/>
  <c r="A338" i="1"/>
  <c r="E338" i="1"/>
  <c r="M338" i="1"/>
  <c r="T338" i="1"/>
  <c r="V338" i="1"/>
  <c r="W338" i="1"/>
  <c r="X338" i="1"/>
  <c r="AJ338" i="1"/>
  <c r="AL338" i="1"/>
  <c r="AM338" i="1"/>
  <c r="AN338" i="1"/>
  <c r="A339" i="1"/>
  <c r="E339" i="1"/>
  <c r="M339" i="1"/>
  <c r="T339" i="1"/>
  <c r="V339" i="1"/>
  <c r="W339" i="1"/>
  <c r="X339" i="1"/>
  <c r="AJ339" i="1"/>
  <c r="AL339" i="1"/>
  <c r="AM339" i="1"/>
  <c r="AN339" i="1"/>
  <c r="A340" i="1"/>
  <c r="E340" i="1"/>
  <c r="M340" i="1"/>
  <c r="T340" i="1"/>
  <c r="V340" i="1"/>
  <c r="W340" i="1"/>
  <c r="X340" i="1"/>
  <c r="AJ340" i="1"/>
  <c r="AL340" i="1"/>
  <c r="AM340" i="1"/>
  <c r="AN340" i="1"/>
  <c r="A341" i="1"/>
  <c r="E341" i="1"/>
  <c r="M341" i="1"/>
  <c r="T341" i="1"/>
  <c r="V341" i="1"/>
  <c r="W341" i="1"/>
  <c r="X341" i="1"/>
  <c r="AJ341" i="1"/>
  <c r="AL341" i="1"/>
  <c r="AM341" i="1"/>
  <c r="AN341" i="1"/>
  <c r="A342" i="1"/>
  <c r="E342" i="1"/>
  <c r="M342" i="1"/>
  <c r="T342" i="1"/>
  <c r="V342" i="1"/>
  <c r="W342" i="1"/>
  <c r="X342" i="1"/>
  <c r="AJ342" i="1"/>
  <c r="AL342" i="1"/>
  <c r="AM342" i="1"/>
  <c r="AN342" i="1"/>
  <c r="A343" i="1"/>
  <c r="E343" i="1"/>
  <c r="M343" i="1"/>
  <c r="T343" i="1"/>
  <c r="V343" i="1"/>
  <c r="W343" i="1"/>
  <c r="X343" i="1"/>
  <c r="AJ343" i="1"/>
  <c r="AL343" i="1"/>
  <c r="AM343" i="1"/>
  <c r="AN343" i="1"/>
  <c r="A344" i="1"/>
  <c r="E344" i="1"/>
  <c r="M344" i="1"/>
  <c r="T344" i="1"/>
  <c r="V344" i="1"/>
  <c r="W344" i="1"/>
  <c r="X344" i="1"/>
  <c r="AJ344" i="1"/>
  <c r="AL344" i="1"/>
  <c r="AM344" i="1"/>
  <c r="AN344" i="1"/>
  <c r="A345" i="1"/>
  <c r="E345" i="1"/>
  <c r="M345" i="1"/>
  <c r="T345" i="1"/>
  <c r="V345" i="1"/>
  <c r="W345" i="1"/>
  <c r="X345" i="1"/>
  <c r="AJ345" i="1"/>
  <c r="AL345" i="1"/>
  <c r="AM345" i="1"/>
  <c r="AN345" i="1"/>
  <c r="A346" i="1"/>
  <c r="E346" i="1"/>
  <c r="M346" i="1"/>
  <c r="T346" i="1"/>
  <c r="V346" i="1"/>
  <c r="W346" i="1"/>
  <c r="X346" i="1"/>
  <c r="AJ346" i="1"/>
  <c r="AL346" i="1"/>
  <c r="AM346" i="1"/>
  <c r="AN346" i="1"/>
  <c r="A347" i="1"/>
  <c r="E347" i="1"/>
  <c r="M347" i="1"/>
  <c r="T347" i="1"/>
  <c r="V347" i="1"/>
  <c r="W347" i="1"/>
  <c r="X347" i="1"/>
  <c r="AJ347" i="1"/>
  <c r="AL347" i="1"/>
  <c r="AM347" i="1"/>
  <c r="AN347" i="1"/>
  <c r="A348" i="1"/>
  <c r="E348" i="1"/>
  <c r="M348" i="1"/>
  <c r="T348" i="1"/>
  <c r="V348" i="1"/>
  <c r="W348" i="1"/>
  <c r="X348" i="1"/>
  <c r="AJ348" i="1"/>
  <c r="AL348" i="1"/>
  <c r="AM348" i="1"/>
  <c r="AN348" i="1"/>
  <c r="A349" i="1"/>
  <c r="E349" i="1"/>
  <c r="M349" i="1"/>
  <c r="T349" i="1"/>
  <c r="V349" i="1"/>
  <c r="W349" i="1"/>
  <c r="X349" i="1"/>
  <c r="AJ349" i="1"/>
  <c r="AL349" i="1"/>
  <c r="AM349" i="1"/>
  <c r="AN349" i="1"/>
  <c r="A350" i="1"/>
  <c r="E350" i="1"/>
  <c r="M350" i="1"/>
  <c r="T350" i="1"/>
  <c r="V350" i="1"/>
  <c r="W350" i="1"/>
  <c r="X350" i="1"/>
  <c r="AJ350" i="1"/>
  <c r="AL350" i="1"/>
  <c r="AM350" i="1"/>
  <c r="AN350" i="1"/>
  <c r="A351" i="1"/>
  <c r="E351" i="1"/>
  <c r="M351" i="1"/>
  <c r="T351" i="1"/>
  <c r="V351" i="1"/>
  <c r="W351" i="1"/>
  <c r="X351" i="1"/>
  <c r="AJ351" i="1"/>
  <c r="AL351" i="1"/>
  <c r="AM351" i="1"/>
  <c r="AN351" i="1"/>
  <c r="A352" i="1"/>
  <c r="E352" i="1"/>
  <c r="M352" i="1"/>
  <c r="T352" i="1"/>
  <c r="V352" i="1"/>
  <c r="W352" i="1"/>
  <c r="X352" i="1"/>
  <c r="AJ352" i="1"/>
  <c r="AL352" i="1"/>
  <c r="AM352" i="1"/>
  <c r="AN352" i="1"/>
  <c r="A354" i="1"/>
  <c r="E354" i="1"/>
  <c r="M354" i="1"/>
  <c r="T354" i="1"/>
  <c r="V354" i="1"/>
  <c r="W354" i="1"/>
  <c r="X354" i="1"/>
  <c r="AJ354" i="1"/>
  <c r="AL354" i="1"/>
  <c r="AM354" i="1"/>
  <c r="AN354" i="1"/>
  <c r="A355" i="1"/>
  <c r="E355" i="1"/>
  <c r="M355" i="1"/>
  <c r="T355" i="1"/>
  <c r="V355" i="1"/>
  <c r="W355" i="1"/>
  <c r="X355" i="1"/>
  <c r="AJ355" i="1"/>
  <c r="AL355" i="1"/>
  <c r="AM355" i="1"/>
  <c r="AN355" i="1"/>
  <c r="A356" i="1"/>
  <c r="E356" i="1"/>
  <c r="T356" i="1"/>
  <c r="V356" i="1"/>
  <c r="W356" i="1"/>
  <c r="X356" i="1"/>
  <c r="AJ356" i="1"/>
  <c r="AL356" i="1"/>
  <c r="AM356" i="1"/>
  <c r="AN356" i="1"/>
  <c r="A357" i="1"/>
  <c r="E357" i="1"/>
  <c r="I357" i="1"/>
  <c r="T357" i="1"/>
  <c r="V357" i="1"/>
  <c r="W357" i="1"/>
  <c r="X357" i="1"/>
  <c r="AJ357" i="1"/>
  <c r="AL357" i="1"/>
  <c r="AM357" i="1"/>
  <c r="AN357" i="1"/>
  <c r="A358" i="1"/>
  <c r="E358" i="1"/>
  <c r="I358" i="1"/>
  <c r="T358" i="1"/>
  <c r="V358" i="1"/>
  <c r="W358" i="1"/>
  <c r="X358" i="1"/>
  <c r="AJ358" i="1"/>
  <c r="AL358" i="1"/>
  <c r="AM358" i="1"/>
  <c r="AN358" i="1"/>
  <c r="A359" i="1"/>
  <c r="E359" i="1"/>
  <c r="I359" i="1"/>
  <c r="T359" i="1"/>
  <c r="V359" i="1"/>
  <c r="W359" i="1"/>
  <c r="X359" i="1"/>
  <c r="AJ359" i="1"/>
  <c r="AL359" i="1"/>
  <c r="AM359" i="1"/>
  <c r="AN359" i="1"/>
  <c r="A360" i="1"/>
  <c r="E360" i="1"/>
  <c r="I360" i="1"/>
  <c r="T360" i="1"/>
  <c r="V360" i="1"/>
  <c r="W360" i="1"/>
  <c r="X360" i="1"/>
  <c r="AJ360" i="1"/>
  <c r="AL360" i="1"/>
  <c r="AM360" i="1"/>
  <c r="AN360" i="1"/>
  <c r="A361" i="1"/>
  <c r="E361" i="1"/>
  <c r="I361" i="1"/>
  <c r="T361" i="1"/>
  <c r="V361" i="1"/>
  <c r="W361" i="1"/>
  <c r="X361" i="1"/>
  <c r="AJ361" i="1"/>
  <c r="AL361" i="1"/>
  <c r="AM361" i="1"/>
  <c r="AN361" i="1"/>
  <c r="A362" i="1"/>
  <c r="E362" i="1"/>
  <c r="I362" i="1"/>
  <c r="T362" i="1"/>
  <c r="V362" i="1"/>
  <c r="W362" i="1"/>
  <c r="X362" i="1"/>
  <c r="AJ362" i="1"/>
  <c r="AL362" i="1"/>
  <c r="AM362" i="1"/>
  <c r="AN362" i="1"/>
  <c r="A363" i="1"/>
  <c r="E363" i="1"/>
  <c r="I363" i="1"/>
  <c r="T363" i="1"/>
  <c r="V363" i="1"/>
  <c r="W363" i="1"/>
  <c r="X363" i="1"/>
  <c r="AJ363" i="1"/>
  <c r="AL363" i="1"/>
  <c r="AM363" i="1"/>
  <c r="AN363" i="1"/>
  <c r="A364" i="1"/>
  <c r="E364" i="1"/>
  <c r="I364" i="1"/>
  <c r="T364" i="1"/>
  <c r="V364" i="1"/>
  <c r="W364" i="1"/>
  <c r="X364" i="1"/>
  <c r="AJ364" i="1"/>
  <c r="AL364" i="1"/>
  <c r="AM364" i="1"/>
  <c r="AN364" i="1"/>
  <c r="A365" i="1"/>
  <c r="E365" i="1"/>
  <c r="I365" i="1"/>
  <c r="T365" i="1"/>
  <c r="V365" i="1"/>
  <c r="W365" i="1"/>
  <c r="X365" i="1"/>
  <c r="AJ365" i="1"/>
  <c r="AL365" i="1"/>
  <c r="AM365" i="1"/>
  <c r="AN365" i="1"/>
  <c r="A366" i="1"/>
  <c r="E366" i="1"/>
  <c r="I366" i="1"/>
  <c r="T366" i="1"/>
  <c r="V366" i="1"/>
  <c r="W366" i="1"/>
  <c r="X366" i="1"/>
  <c r="AJ366" i="1"/>
  <c r="AL366" i="1"/>
  <c r="AM366" i="1"/>
  <c r="AN366" i="1"/>
  <c r="A367" i="1"/>
  <c r="E367" i="1"/>
  <c r="I367" i="1"/>
  <c r="T367" i="1"/>
  <c r="V367" i="1"/>
  <c r="W367" i="1"/>
  <c r="X367" i="1"/>
  <c r="AJ367" i="1"/>
  <c r="AL367" i="1"/>
  <c r="AM367" i="1"/>
  <c r="AN367" i="1"/>
  <c r="A368" i="1"/>
  <c r="E368" i="1"/>
  <c r="I368" i="1"/>
  <c r="T368" i="1"/>
  <c r="V368" i="1"/>
  <c r="W368" i="1"/>
  <c r="X368" i="1"/>
  <c r="AJ368" i="1"/>
  <c r="AL368" i="1"/>
  <c r="AM368" i="1"/>
  <c r="AN368" i="1"/>
  <c r="A369" i="1"/>
  <c r="E369" i="1"/>
  <c r="I369" i="1"/>
  <c r="T369" i="1"/>
  <c r="V369" i="1"/>
  <c r="W369" i="1"/>
  <c r="X369" i="1"/>
  <c r="AJ369" i="1"/>
  <c r="AL369" i="1"/>
  <c r="AM369" i="1"/>
  <c r="AN369" i="1"/>
  <c r="A370" i="1"/>
  <c r="E370" i="1"/>
  <c r="I370" i="1"/>
  <c r="T370" i="1"/>
  <c r="V370" i="1"/>
  <c r="W370" i="1"/>
  <c r="X370" i="1"/>
  <c r="AJ370" i="1"/>
  <c r="AL370" i="1"/>
  <c r="AM370" i="1"/>
  <c r="AN370" i="1"/>
  <c r="A371" i="1"/>
  <c r="E371" i="1"/>
  <c r="I371" i="1"/>
  <c r="T371" i="1"/>
  <c r="V371" i="1"/>
  <c r="W371" i="1"/>
  <c r="X371" i="1"/>
  <c r="AJ371" i="1"/>
  <c r="AL371" i="1"/>
  <c r="AM371" i="1"/>
  <c r="AN371" i="1"/>
  <c r="A372" i="1"/>
  <c r="E372" i="1"/>
  <c r="I372" i="1"/>
  <c r="T372" i="1"/>
  <c r="V372" i="1"/>
  <c r="W372" i="1"/>
  <c r="X372" i="1"/>
  <c r="AJ372" i="1"/>
  <c r="AL372" i="1"/>
  <c r="AM372" i="1"/>
  <c r="AN372" i="1"/>
  <c r="A373" i="1"/>
  <c r="E373" i="1"/>
  <c r="I373" i="1"/>
  <c r="T373" i="1"/>
  <c r="V373" i="1"/>
  <c r="W373" i="1"/>
  <c r="X373" i="1"/>
  <c r="AJ373" i="1"/>
  <c r="AL373" i="1"/>
  <c r="AM373" i="1"/>
  <c r="AN373" i="1"/>
  <c r="A374" i="1"/>
  <c r="E374" i="1"/>
  <c r="I374" i="1"/>
  <c r="T374" i="1"/>
  <c r="V374" i="1"/>
  <c r="W374" i="1"/>
  <c r="X374" i="1"/>
  <c r="AJ374" i="1"/>
  <c r="AL374" i="1"/>
  <c r="AM374" i="1"/>
  <c r="AN374" i="1"/>
  <c r="A375" i="1"/>
  <c r="E375" i="1"/>
  <c r="I375" i="1"/>
  <c r="T375" i="1"/>
  <c r="V375" i="1"/>
  <c r="W375" i="1"/>
  <c r="X375" i="1"/>
  <c r="AJ375" i="1"/>
  <c r="AL375" i="1"/>
  <c r="AM375" i="1"/>
  <c r="AN375" i="1"/>
  <c r="A376" i="1"/>
  <c r="E376" i="1"/>
  <c r="I376" i="1"/>
  <c r="T376" i="1"/>
  <c r="V376" i="1"/>
  <c r="W376" i="1"/>
  <c r="X376" i="1"/>
  <c r="AJ376" i="1"/>
  <c r="AL376" i="1"/>
  <c r="AM376" i="1"/>
  <c r="AN376" i="1"/>
  <c r="A377" i="1"/>
  <c r="E377" i="1"/>
  <c r="I377" i="1"/>
  <c r="T377" i="1"/>
  <c r="V377" i="1"/>
  <c r="W377" i="1"/>
  <c r="X377" i="1"/>
  <c r="AJ377" i="1"/>
  <c r="AL377" i="1"/>
  <c r="AM377" i="1"/>
  <c r="AN377" i="1"/>
  <c r="A378" i="1"/>
  <c r="E378" i="1"/>
  <c r="I378" i="1"/>
  <c r="T378" i="1"/>
  <c r="V378" i="1"/>
  <c r="W378" i="1"/>
  <c r="X378" i="1"/>
  <c r="AJ378" i="1"/>
  <c r="AL378" i="1"/>
  <c r="AM378" i="1"/>
  <c r="AN378" i="1"/>
  <c r="A379" i="1"/>
  <c r="E379" i="1"/>
  <c r="I379" i="1"/>
  <c r="T379" i="1"/>
  <c r="V379" i="1"/>
  <c r="W379" i="1"/>
  <c r="X379" i="1"/>
  <c r="AJ379" i="1"/>
  <c r="AL379" i="1"/>
  <c r="AM379" i="1"/>
  <c r="AN379" i="1"/>
  <c r="A380" i="1"/>
  <c r="E380" i="1"/>
  <c r="T380" i="1"/>
  <c r="V380" i="1"/>
  <c r="W380" i="1"/>
  <c r="X380" i="1"/>
  <c r="AJ380" i="1"/>
  <c r="AL380" i="1"/>
  <c r="AM380" i="1"/>
  <c r="AN380" i="1"/>
  <c r="A381" i="1"/>
  <c r="E381" i="1"/>
  <c r="I381" i="1"/>
  <c r="T381" i="1"/>
  <c r="V381" i="1"/>
  <c r="W381" i="1"/>
  <c r="X381" i="1"/>
  <c r="AJ381" i="1"/>
  <c r="AL381" i="1"/>
  <c r="AM381" i="1"/>
  <c r="AN381" i="1"/>
  <c r="A382" i="1"/>
  <c r="E382" i="1"/>
  <c r="I382" i="1"/>
  <c r="T382" i="1"/>
  <c r="V382" i="1"/>
  <c r="W382" i="1"/>
  <c r="X382" i="1"/>
  <c r="AJ382" i="1"/>
  <c r="AL382" i="1"/>
  <c r="AM382" i="1"/>
  <c r="AN382" i="1"/>
  <c r="A383" i="1"/>
  <c r="E383" i="1"/>
  <c r="I383" i="1"/>
  <c r="T383" i="1"/>
  <c r="V383" i="1"/>
  <c r="W383" i="1"/>
  <c r="X383" i="1"/>
  <c r="AJ383" i="1"/>
  <c r="AL383" i="1"/>
  <c r="AM383" i="1"/>
  <c r="AN383" i="1"/>
  <c r="A384" i="1"/>
  <c r="E384" i="1"/>
  <c r="I384" i="1"/>
  <c r="T384" i="1"/>
  <c r="V384" i="1"/>
  <c r="W384" i="1"/>
  <c r="X384" i="1"/>
  <c r="AJ384" i="1"/>
  <c r="AL384" i="1"/>
  <c r="AM384" i="1"/>
  <c r="AN384" i="1"/>
  <c r="A385" i="1"/>
  <c r="E385" i="1"/>
  <c r="I385" i="1"/>
  <c r="T385" i="1"/>
  <c r="V385" i="1"/>
  <c r="W385" i="1"/>
  <c r="X385" i="1"/>
  <c r="AJ385" i="1"/>
  <c r="AL385" i="1"/>
  <c r="AM385" i="1"/>
  <c r="AN385" i="1"/>
  <c r="A386" i="1"/>
  <c r="E386" i="1"/>
  <c r="I386" i="1"/>
  <c r="T386" i="1"/>
  <c r="V386" i="1"/>
  <c r="W386" i="1"/>
  <c r="X386" i="1"/>
  <c r="AJ386" i="1"/>
  <c r="AL386" i="1"/>
  <c r="AM386" i="1"/>
  <c r="AN386" i="1"/>
  <c r="A387" i="1"/>
  <c r="E387" i="1"/>
  <c r="I387" i="1"/>
  <c r="T387" i="1"/>
  <c r="V387" i="1"/>
  <c r="W387" i="1"/>
  <c r="X387" i="1"/>
  <c r="AJ387" i="1"/>
  <c r="AL387" i="1"/>
  <c r="AM387" i="1"/>
  <c r="AN387" i="1"/>
  <c r="A388" i="1"/>
  <c r="E388" i="1"/>
  <c r="I388" i="1"/>
  <c r="T388" i="1"/>
  <c r="V388" i="1"/>
  <c r="W388" i="1"/>
  <c r="X388" i="1"/>
  <c r="AJ388" i="1"/>
  <c r="AL388" i="1"/>
  <c r="AM388" i="1"/>
  <c r="AN388" i="1"/>
  <c r="A389" i="1"/>
  <c r="E389" i="1"/>
  <c r="I389" i="1"/>
  <c r="T389" i="1"/>
  <c r="V389" i="1"/>
  <c r="W389" i="1"/>
  <c r="X389" i="1"/>
  <c r="AJ389" i="1"/>
  <c r="AL389" i="1"/>
  <c r="AM389" i="1"/>
  <c r="AN389" i="1"/>
  <c r="A390" i="1"/>
  <c r="E390" i="1"/>
  <c r="I390" i="1"/>
  <c r="T390" i="1"/>
  <c r="V390" i="1"/>
  <c r="W390" i="1"/>
  <c r="X390" i="1"/>
  <c r="AJ390" i="1"/>
  <c r="AL390" i="1"/>
  <c r="AM390" i="1"/>
  <c r="AN390" i="1"/>
  <c r="A391" i="1"/>
  <c r="E391" i="1"/>
  <c r="I391" i="1"/>
  <c r="T391" i="1"/>
  <c r="V391" i="1"/>
  <c r="W391" i="1"/>
  <c r="X391" i="1"/>
  <c r="AJ391" i="1"/>
  <c r="AL391" i="1"/>
  <c r="AM391" i="1"/>
  <c r="AN391" i="1"/>
  <c r="A392" i="1"/>
  <c r="E392" i="1"/>
  <c r="I392" i="1"/>
  <c r="T392" i="1"/>
  <c r="V392" i="1"/>
  <c r="W392" i="1"/>
  <c r="X392" i="1"/>
  <c r="AJ392" i="1"/>
  <c r="AL392" i="1"/>
  <c r="AM392" i="1"/>
  <c r="AN392" i="1"/>
  <c r="A393" i="1"/>
  <c r="E393" i="1"/>
  <c r="I393" i="1"/>
  <c r="T393" i="1"/>
  <c r="V393" i="1"/>
  <c r="W393" i="1"/>
  <c r="X393" i="1"/>
  <c r="AJ393" i="1"/>
  <c r="AL393" i="1"/>
  <c r="AM393" i="1"/>
  <c r="AN393" i="1"/>
  <c r="A394" i="1"/>
  <c r="E394" i="1"/>
  <c r="I394" i="1"/>
  <c r="T394" i="1"/>
  <c r="V394" i="1"/>
  <c r="W394" i="1"/>
  <c r="X394" i="1"/>
  <c r="AJ394" i="1"/>
  <c r="AL394" i="1"/>
  <c r="AM394" i="1"/>
  <c r="AN394" i="1"/>
  <c r="A395" i="1"/>
  <c r="E395" i="1"/>
  <c r="I395" i="1"/>
  <c r="T395" i="1"/>
  <c r="V395" i="1"/>
  <c r="W395" i="1"/>
  <c r="X395" i="1"/>
  <c r="AJ395" i="1"/>
  <c r="AL395" i="1"/>
  <c r="AM395" i="1"/>
  <c r="AN395" i="1"/>
  <c r="A396" i="1"/>
  <c r="E396" i="1"/>
  <c r="I396" i="1"/>
  <c r="T396" i="1"/>
  <c r="V396" i="1"/>
  <c r="W396" i="1"/>
  <c r="X396" i="1"/>
  <c r="AJ396" i="1"/>
  <c r="AL396" i="1"/>
  <c r="AM396" i="1"/>
  <c r="AN396" i="1"/>
  <c r="A397" i="1"/>
  <c r="E397" i="1"/>
  <c r="I397" i="1"/>
  <c r="T397" i="1"/>
  <c r="V397" i="1"/>
  <c r="W397" i="1"/>
  <c r="X397" i="1"/>
  <c r="AJ397" i="1"/>
  <c r="AL397" i="1"/>
  <c r="AM397" i="1"/>
  <c r="AN397" i="1"/>
  <c r="A398" i="1"/>
  <c r="E398" i="1"/>
  <c r="I398" i="1"/>
  <c r="T398" i="1"/>
  <c r="V398" i="1"/>
  <c r="W398" i="1"/>
  <c r="X398" i="1"/>
  <c r="AJ398" i="1"/>
  <c r="AL398" i="1"/>
  <c r="AM398" i="1"/>
  <c r="AN398" i="1"/>
  <c r="A399" i="1"/>
  <c r="E399" i="1"/>
  <c r="I399" i="1"/>
  <c r="T399" i="1"/>
  <c r="V399" i="1"/>
  <c r="W399" i="1"/>
  <c r="X399" i="1"/>
  <c r="AJ399" i="1"/>
  <c r="AL399" i="1"/>
  <c r="AM399" i="1"/>
  <c r="AN399" i="1"/>
  <c r="A400" i="1"/>
  <c r="E400" i="1"/>
  <c r="I400" i="1"/>
  <c r="T400" i="1"/>
  <c r="V400" i="1"/>
  <c r="W400" i="1"/>
  <c r="X400" i="1"/>
  <c r="AJ400" i="1"/>
  <c r="AL400" i="1"/>
  <c r="AM400" i="1"/>
  <c r="AN400" i="1"/>
  <c r="A401" i="1"/>
  <c r="E401" i="1"/>
  <c r="I401" i="1"/>
  <c r="T401" i="1"/>
  <c r="V401" i="1"/>
  <c r="W401" i="1"/>
  <c r="X401" i="1"/>
  <c r="AJ401" i="1"/>
  <c r="AL401" i="1"/>
  <c r="AM401" i="1"/>
  <c r="AN401" i="1"/>
  <c r="A402" i="1"/>
  <c r="E402" i="1"/>
  <c r="I402" i="1"/>
  <c r="T402" i="1"/>
  <c r="V402" i="1"/>
  <c r="W402" i="1"/>
  <c r="X402" i="1"/>
  <c r="AJ402" i="1"/>
  <c r="AL402" i="1"/>
  <c r="AM402" i="1"/>
  <c r="AN402" i="1"/>
  <c r="A403" i="1"/>
  <c r="E403" i="1"/>
  <c r="I403" i="1"/>
  <c r="T403" i="1"/>
  <c r="V403" i="1"/>
  <c r="W403" i="1"/>
  <c r="X403" i="1"/>
  <c r="AJ403" i="1"/>
  <c r="AL403" i="1"/>
  <c r="AM403" i="1"/>
  <c r="AN403" i="1"/>
  <c r="A404" i="1"/>
  <c r="E404" i="1"/>
  <c r="I404" i="1"/>
  <c r="T404" i="1"/>
  <c r="V404" i="1"/>
  <c r="W404" i="1"/>
  <c r="X404" i="1"/>
  <c r="AJ404" i="1"/>
  <c r="AL404" i="1"/>
  <c r="AM404" i="1"/>
  <c r="AN404" i="1"/>
  <c r="A405" i="1"/>
  <c r="E405" i="1"/>
  <c r="I405" i="1"/>
  <c r="T405" i="1"/>
  <c r="V405" i="1"/>
  <c r="W405" i="1"/>
  <c r="X405" i="1"/>
  <c r="AJ405" i="1"/>
  <c r="AL405" i="1"/>
  <c r="AM405" i="1"/>
  <c r="AN405" i="1"/>
  <c r="A406" i="1"/>
  <c r="E406" i="1"/>
  <c r="I406" i="1"/>
  <c r="T406" i="1"/>
  <c r="V406" i="1"/>
  <c r="W406" i="1"/>
  <c r="X406" i="1"/>
  <c r="AJ406" i="1"/>
  <c r="AL406" i="1"/>
  <c r="AM406" i="1"/>
  <c r="AN406" i="1"/>
  <c r="A407" i="1"/>
  <c r="E407" i="1"/>
  <c r="I407" i="1"/>
  <c r="T407" i="1"/>
  <c r="V407" i="1"/>
  <c r="W407" i="1"/>
  <c r="X407" i="1"/>
  <c r="AJ407" i="1"/>
  <c r="AL407" i="1"/>
  <c r="AM407" i="1"/>
  <c r="AN407" i="1"/>
  <c r="A408" i="1"/>
  <c r="E408" i="1"/>
  <c r="I408" i="1"/>
  <c r="T408" i="1"/>
  <c r="V408" i="1"/>
  <c r="W408" i="1"/>
  <c r="X408" i="1"/>
  <c r="AJ408" i="1"/>
  <c r="AL408" i="1"/>
  <c r="AM408" i="1"/>
  <c r="AN408" i="1"/>
  <c r="A409" i="1"/>
  <c r="E409" i="1"/>
  <c r="I409" i="1"/>
  <c r="T409" i="1"/>
  <c r="V409" i="1"/>
  <c r="W409" i="1"/>
  <c r="X409" i="1"/>
  <c r="AJ409" i="1"/>
  <c r="AL409" i="1"/>
  <c r="AM409" i="1"/>
  <c r="AN409" i="1"/>
  <c r="A410" i="1"/>
  <c r="E410" i="1"/>
  <c r="I410" i="1"/>
  <c r="T410" i="1"/>
  <c r="V410" i="1"/>
  <c r="W410" i="1"/>
  <c r="X410" i="1"/>
  <c r="AJ410" i="1"/>
  <c r="AL410" i="1"/>
  <c r="AM410" i="1"/>
  <c r="AN410" i="1"/>
  <c r="A411" i="1"/>
  <c r="E411" i="1"/>
  <c r="I411" i="1"/>
  <c r="T411" i="1"/>
  <c r="V411" i="1"/>
  <c r="W411" i="1"/>
  <c r="X411" i="1"/>
  <c r="AJ411" i="1"/>
  <c r="AL411" i="1"/>
  <c r="AM411" i="1"/>
  <c r="AN411" i="1"/>
  <c r="A412" i="1"/>
  <c r="E412" i="1"/>
  <c r="I412" i="1"/>
  <c r="T412" i="1"/>
  <c r="V412" i="1"/>
  <c r="W412" i="1"/>
  <c r="X412" i="1"/>
  <c r="AJ412" i="1"/>
  <c r="AL412" i="1"/>
  <c r="AM412" i="1"/>
  <c r="AN412" i="1"/>
  <c r="A413" i="1"/>
  <c r="E413" i="1"/>
  <c r="I413" i="1"/>
  <c r="T413" i="1"/>
  <c r="V413" i="1"/>
  <c r="W413" i="1"/>
  <c r="X413" i="1"/>
  <c r="AJ413" i="1"/>
  <c r="AL413" i="1"/>
  <c r="AM413" i="1"/>
  <c r="AN413" i="1"/>
  <c r="A414" i="1"/>
  <c r="E414" i="1"/>
  <c r="I414" i="1"/>
  <c r="T414" i="1"/>
  <c r="V414" i="1"/>
  <c r="W414" i="1"/>
  <c r="X414" i="1"/>
  <c r="AJ414" i="1"/>
  <c r="AL414" i="1"/>
  <c r="AM414" i="1"/>
  <c r="AN414" i="1"/>
  <c r="A415" i="1"/>
  <c r="E415" i="1"/>
  <c r="I415" i="1"/>
  <c r="T415" i="1"/>
  <c r="V415" i="1"/>
  <c r="W415" i="1"/>
  <c r="X415" i="1"/>
  <c r="AJ415" i="1"/>
  <c r="AL415" i="1"/>
  <c r="AM415" i="1"/>
  <c r="AN415" i="1"/>
  <c r="A416" i="1"/>
  <c r="E416" i="1"/>
  <c r="I416" i="1"/>
  <c r="T416" i="1"/>
  <c r="V416" i="1"/>
  <c r="W416" i="1"/>
  <c r="X416" i="1"/>
  <c r="AJ416" i="1"/>
  <c r="AL416" i="1"/>
  <c r="AM416" i="1"/>
  <c r="AN416" i="1"/>
  <c r="A417" i="1"/>
  <c r="E417" i="1"/>
  <c r="I417" i="1"/>
  <c r="T417" i="1"/>
  <c r="V417" i="1"/>
  <c r="W417" i="1"/>
  <c r="X417" i="1"/>
  <c r="AJ417" i="1"/>
  <c r="AL417" i="1"/>
  <c r="AM417" i="1"/>
  <c r="AN417" i="1"/>
  <c r="A418" i="1"/>
  <c r="E418" i="1"/>
  <c r="I418" i="1"/>
  <c r="T418" i="1"/>
  <c r="V418" i="1"/>
  <c r="W418" i="1"/>
  <c r="X418" i="1"/>
  <c r="AJ418" i="1"/>
  <c r="AL418" i="1"/>
  <c r="AM418" i="1"/>
  <c r="AN418" i="1"/>
  <c r="A419" i="1"/>
  <c r="E419" i="1"/>
  <c r="I419" i="1"/>
  <c r="T419" i="1"/>
  <c r="V419" i="1"/>
  <c r="W419" i="1"/>
  <c r="X419" i="1"/>
  <c r="AJ419" i="1"/>
  <c r="AL419" i="1"/>
  <c r="AM419" i="1"/>
  <c r="AN419" i="1"/>
  <c r="A420" i="1"/>
  <c r="E420" i="1"/>
  <c r="I420" i="1"/>
  <c r="T420" i="1"/>
  <c r="V420" i="1"/>
  <c r="W420" i="1"/>
  <c r="X420" i="1"/>
  <c r="AJ420" i="1"/>
  <c r="AL420" i="1"/>
  <c r="AM420" i="1"/>
  <c r="AN420" i="1"/>
  <c r="A421" i="1"/>
  <c r="E421" i="1"/>
  <c r="I421" i="1"/>
  <c r="T421" i="1"/>
  <c r="V421" i="1"/>
  <c r="W421" i="1"/>
  <c r="X421" i="1"/>
  <c r="AJ421" i="1"/>
  <c r="AL421" i="1"/>
  <c r="AM421" i="1"/>
  <c r="AN421" i="1"/>
  <c r="A422" i="1"/>
  <c r="E422" i="1"/>
  <c r="I422" i="1"/>
  <c r="T422" i="1"/>
  <c r="V422" i="1"/>
  <c r="W422" i="1"/>
  <c r="X422" i="1"/>
  <c r="AJ422" i="1"/>
  <c r="AL422" i="1"/>
  <c r="AM422" i="1"/>
  <c r="AN422" i="1"/>
  <c r="A423" i="1"/>
  <c r="E423" i="1"/>
  <c r="I423" i="1"/>
  <c r="T423" i="1"/>
  <c r="V423" i="1"/>
  <c r="W423" i="1"/>
  <c r="X423" i="1"/>
  <c r="AJ423" i="1"/>
  <c r="AL423" i="1"/>
  <c r="AM423" i="1"/>
  <c r="AN423" i="1"/>
  <c r="A424" i="1"/>
  <c r="E424" i="1"/>
  <c r="I424" i="1"/>
  <c r="T424" i="1"/>
  <c r="V424" i="1"/>
  <c r="W424" i="1"/>
  <c r="X424" i="1"/>
  <c r="AJ424" i="1"/>
  <c r="AL424" i="1"/>
  <c r="AM424" i="1"/>
  <c r="AN424" i="1"/>
  <c r="A425" i="1"/>
  <c r="E425" i="1"/>
  <c r="I425" i="1"/>
  <c r="T425" i="1"/>
  <c r="V425" i="1"/>
  <c r="W425" i="1"/>
  <c r="X425" i="1"/>
  <c r="AJ425" i="1"/>
  <c r="AL425" i="1"/>
  <c r="AM425" i="1"/>
  <c r="AN425" i="1"/>
  <c r="A426" i="1"/>
  <c r="E426" i="1"/>
  <c r="I426" i="1"/>
  <c r="T426" i="1"/>
  <c r="V426" i="1"/>
  <c r="W426" i="1"/>
  <c r="X426" i="1"/>
  <c r="AJ426" i="1"/>
  <c r="AL426" i="1"/>
  <c r="AM426" i="1"/>
  <c r="AN426" i="1"/>
  <c r="A427" i="1"/>
  <c r="E427" i="1"/>
  <c r="I427" i="1"/>
  <c r="T427" i="1"/>
  <c r="V427" i="1"/>
  <c r="W427" i="1"/>
  <c r="X427" i="1"/>
  <c r="AJ427" i="1"/>
  <c r="AL427" i="1"/>
  <c r="AM427" i="1"/>
  <c r="AN427" i="1"/>
  <c r="A428" i="1"/>
  <c r="E428" i="1"/>
  <c r="I428" i="1"/>
  <c r="T428" i="1"/>
  <c r="V428" i="1"/>
  <c r="W428" i="1"/>
  <c r="X428" i="1"/>
  <c r="AJ428" i="1"/>
  <c r="AL428" i="1"/>
  <c r="AM428" i="1"/>
  <c r="AN428" i="1"/>
  <c r="A429" i="1"/>
  <c r="E429" i="1"/>
  <c r="I429" i="1"/>
  <c r="T429" i="1"/>
  <c r="V429" i="1"/>
  <c r="W429" i="1"/>
  <c r="X429" i="1"/>
  <c r="AJ429" i="1"/>
  <c r="AL429" i="1"/>
  <c r="AM429" i="1"/>
  <c r="AN429" i="1"/>
  <c r="A430" i="1"/>
  <c r="E430" i="1"/>
  <c r="I430" i="1"/>
  <c r="T430" i="1"/>
  <c r="V430" i="1"/>
  <c r="W430" i="1"/>
  <c r="X430" i="1"/>
  <c r="AJ430" i="1"/>
  <c r="AL430" i="1"/>
  <c r="AM430" i="1"/>
  <c r="AN430" i="1"/>
  <c r="A431" i="1"/>
  <c r="E431" i="1"/>
  <c r="I431" i="1"/>
  <c r="T431" i="1"/>
  <c r="V431" i="1"/>
  <c r="W431" i="1"/>
  <c r="X431" i="1"/>
  <c r="AJ431" i="1"/>
  <c r="AL431" i="1"/>
  <c r="AM431" i="1"/>
  <c r="AN431" i="1"/>
  <c r="A432" i="1"/>
  <c r="E432" i="1"/>
  <c r="I432" i="1"/>
  <c r="T432" i="1"/>
  <c r="V432" i="1"/>
  <c r="W432" i="1"/>
  <c r="X432" i="1"/>
  <c r="AJ432" i="1"/>
  <c r="AL432" i="1"/>
  <c r="AM432" i="1"/>
  <c r="AN432" i="1"/>
  <c r="A433" i="1"/>
  <c r="E433" i="1"/>
  <c r="I433" i="1"/>
  <c r="T433" i="1"/>
  <c r="V433" i="1"/>
  <c r="W433" i="1"/>
  <c r="X433" i="1"/>
  <c r="AJ433" i="1"/>
  <c r="AL433" i="1"/>
  <c r="AM433" i="1"/>
  <c r="AN433" i="1"/>
  <c r="A434" i="1"/>
  <c r="E434" i="1"/>
  <c r="I434" i="1"/>
  <c r="T434" i="1"/>
  <c r="V434" i="1"/>
  <c r="W434" i="1"/>
  <c r="X434" i="1"/>
  <c r="AJ434" i="1"/>
  <c r="AL434" i="1"/>
  <c r="AM434" i="1"/>
  <c r="AN434" i="1"/>
  <c r="A435" i="1"/>
  <c r="E435" i="1"/>
  <c r="I435" i="1"/>
  <c r="T435" i="1"/>
  <c r="V435" i="1"/>
  <c r="W435" i="1"/>
  <c r="X435" i="1"/>
  <c r="AJ435" i="1"/>
  <c r="AL435" i="1"/>
  <c r="AM435" i="1"/>
  <c r="AN435" i="1"/>
  <c r="A436" i="1"/>
  <c r="E436" i="1"/>
  <c r="I436" i="1"/>
  <c r="T436" i="1"/>
  <c r="V436" i="1"/>
  <c r="W436" i="1"/>
  <c r="X436" i="1"/>
  <c r="AJ436" i="1"/>
  <c r="AL436" i="1"/>
  <c r="AM436" i="1"/>
  <c r="AN436" i="1"/>
  <c r="A437" i="1"/>
  <c r="E437" i="1"/>
  <c r="I437" i="1"/>
  <c r="T437" i="1"/>
  <c r="V437" i="1"/>
  <c r="W437" i="1"/>
  <c r="X437" i="1"/>
  <c r="AJ437" i="1"/>
  <c r="AL437" i="1"/>
  <c r="AM437" i="1"/>
  <c r="AN437" i="1"/>
  <c r="A438" i="1"/>
  <c r="E438" i="1"/>
  <c r="I438" i="1"/>
  <c r="T438" i="1"/>
  <c r="V438" i="1"/>
  <c r="W438" i="1"/>
  <c r="X438" i="1"/>
  <c r="AJ438" i="1"/>
  <c r="AL438" i="1"/>
  <c r="AM438" i="1"/>
  <c r="AN438" i="1"/>
  <c r="A439" i="1"/>
  <c r="E439" i="1"/>
  <c r="I439" i="1"/>
  <c r="T439" i="1"/>
  <c r="V439" i="1"/>
  <c r="W439" i="1"/>
  <c r="X439" i="1"/>
  <c r="AJ439" i="1"/>
  <c r="AL439" i="1"/>
  <c r="AM439" i="1"/>
  <c r="AN439" i="1"/>
  <c r="A440" i="1"/>
  <c r="E440" i="1"/>
  <c r="AF440" i="1"/>
  <c r="AH440" i="1"/>
  <c r="AI440" i="1"/>
  <c r="AJ440" i="1"/>
  <c r="AL440" i="1"/>
  <c r="AM440" i="1"/>
  <c r="AN440" i="1"/>
  <c r="A441" i="1"/>
  <c r="E441" i="1"/>
  <c r="AF441" i="1"/>
  <c r="AH441" i="1"/>
  <c r="AI441" i="1"/>
  <c r="AJ441" i="1"/>
  <c r="AL441" i="1"/>
  <c r="AM441" i="1"/>
  <c r="AN441" i="1"/>
  <c r="A442" i="1"/>
  <c r="E442" i="1"/>
  <c r="AF442" i="1"/>
  <c r="AH442" i="1"/>
  <c r="AI442" i="1"/>
  <c r="AJ442" i="1"/>
  <c r="AL442" i="1"/>
  <c r="AM442" i="1"/>
  <c r="AN442" i="1"/>
  <c r="A443" i="1"/>
  <c r="E443" i="1"/>
  <c r="AF443" i="1"/>
  <c r="AH443" i="1"/>
  <c r="AI443" i="1"/>
  <c r="AJ443" i="1"/>
  <c r="AL443" i="1"/>
  <c r="AM443" i="1"/>
  <c r="AN443" i="1"/>
  <c r="A444" i="1"/>
  <c r="E444" i="1"/>
  <c r="AF444" i="1"/>
  <c r="AH444" i="1"/>
  <c r="AI444" i="1"/>
  <c r="AJ444" i="1"/>
  <c r="AL444" i="1"/>
  <c r="AM444" i="1"/>
  <c r="AN444" i="1"/>
  <c r="A445" i="1"/>
  <c r="E445" i="1"/>
  <c r="AF445" i="1"/>
  <c r="AH445" i="1"/>
  <c r="AI445" i="1"/>
  <c r="AJ445" i="1"/>
  <c r="AL445" i="1"/>
  <c r="AM445" i="1"/>
  <c r="AN445" i="1"/>
  <c r="A446" i="1"/>
  <c r="E446" i="1"/>
  <c r="AF446" i="1"/>
  <c r="AH446" i="1"/>
  <c r="AI446" i="1"/>
  <c r="AJ446" i="1"/>
  <c r="AL446" i="1"/>
  <c r="AM446" i="1"/>
  <c r="AN446" i="1"/>
  <c r="A447" i="1"/>
  <c r="E447" i="1"/>
  <c r="AF447" i="1"/>
  <c r="AH447" i="1"/>
  <c r="AI447" i="1"/>
  <c r="AJ447" i="1"/>
  <c r="AL447" i="1"/>
  <c r="AM447" i="1"/>
  <c r="AN447" i="1"/>
  <c r="A448" i="1"/>
  <c r="E448" i="1"/>
  <c r="AF448" i="1"/>
  <c r="AH448" i="1"/>
  <c r="AI448" i="1"/>
  <c r="AJ448" i="1"/>
  <c r="AL448" i="1"/>
  <c r="AM448" i="1"/>
  <c r="AN448" i="1"/>
  <c r="A449" i="1"/>
  <c r="E449" i="1"/>
  <c r="AF449" i="1"/>
  <c r="AH449" i="1"/>
  <c r="AI449" i="1"/>
  <c r="AJ449" i="1"/>
  <c r="AL449" i="1"/>
  <c r="AM449" i="1"/>
  <c r="AN449" i="1"/>
  <c r="A450" i="1"/>
  <c r="E450" i="1"/>
  <c r="AF450" i="1"/>
  <c r="AH450" i="1"/>
  <c r="AI450" i="1"/>
  <c r="AJ450" i="1"/>
  <c r="AL450" i="1"/>
  <c r="AM450" i="1"/>
  <c r="AN450" i="1"/>
  <c r="A451" i="1"/>
  <c r="E451" i="1"/>
  <c r="AF451" i="1"/>
  <c r="AH451" i="1"/>
  <c r="AI451" i="1"/>
  <c r="AJ451" i="1"/>
  <c r="AL451" i="1"/>
  <c r="AM451" i="1"/>
  <c r="AN451" i="1"/>
  <c r="A452" i="1"/>
  <c r="E452" i="1"/>
  <c r="AF452" i="1"/>
  <c r="AH452" i="1"/>
  <c r="AI452" i="1"/>
  <c r="AJ452" i="1"/>
  <c r="AL452" i="1"/>
  <c r="AM452" i="1"/>
  <c r="AN452" i="1"/>
  <c r="A453" i="1"/>
  <c r="E453" i="1"/>
  <c r="AF453" i="1"/>
  <c r="AH453" i="1"/>
  <c r="AI453" i="1"/>
  <c r="AJ453" i="1"/>
  <c r="AL453" i="1"/>
  <c r="AM453" i="1"/>
  <c r="AN453" i="1"/>
  <c r="A454" i="1"/>
  <c r="E454" i="1"/>
  <c r="AF454" i="1"/>
  <c r="AH454" i="1"/>
  <c r="AI454" i="1"/>
  <c r="AJ454" i="1"/>
  <c r="AL454" i="1"/>
  <c r="AM454" i="1"/>
  <c r="AN454" i="1"/>
  <c r="A455" i="1"/>
  <c r="E455" i="1"/>
  <c r="AF455" i="1"/>
  <c r="AH455" i="1"/>
  <c r="AI455" i="1"/>
  <c r="AJ455" i="1"/>
  <c r="AL455" i="1"/>
  <c r="AM455" i="1"/>
  <c r="AN455" i="1"/>
  <c r="A456" i="1"/>
  <c r="E456" i="1"/>
  <c r="AF456" i="1"/>
  <c r="AH456" i="1"/>
  <c r="AI456" i="1"/>
  <c r="AJ456" i="1"/>
  <c r="AL456" i="1"/>
  <c r="AM456" i="1"/>
  <c r="AN456" i="1"/>
  <c r="A457" i="1"/>
  <c r="E457" i="1"/>
  <c r="AF457" i="1"/>
  <c r="AH457" i="1"/>
  <c r="AI457" i="1"/>
  <c r="AJ457" i="1"/>
  <c r="AL457" i="1"/>
  <c r="AM457" i="1"/>
  <c r="AN457" i="1"/>
  <c r="A458" i="1"/>
  <c r="E458" i="1"/>
  <c r="AF458" i="1"/>
  <c r="AH458" i="1"/>
  <c r="AI458" i="1"/>
  <c r="AJ458" i="1"/>
  <c r="AL458" i="1"/>
  <c r="AM458" i="1"/>
  <c r="AN458" i="1"/>
  <c r="A459" i="1"/>
  <c r="E459" i="1"/>
  <c r="AF459" i="1"/>
  <c r="AH459" i="1"/>
  <c r="AI459" i="1"/>
  <c r="AJ459" i="1"/>
  <c r="AL459" i="1"/>
  <c r="AM459" i="1"/>
  <c r="AN459" i="1"/>
  <c r="A460" i="1"/>
  <c r="E460" i="1"/>
  <c r="AF460" i="1"/>
  <c r="AH460" i="1"/>
  <c r="AI460" i="1"/>
  <c r="AJ460" i="1"/>
  <c r="AL460" i="1"/>
  <c r="AM460" i="1"/>
  <c r="AN460" i="1"/>
  <c r="A461" i="1"/>
  <c r="E461" i="1"/>
  <c r="AF461" i="1"/>
  <c r="AH461" i="1"/>
  <c r="AI461" i="1"/>
  <c r="AJ461" i="1"/>
  <c r="AL461" i="1"/>
  <c r="AM461" i="1"/>
  <c r="AN461" i="1"/>
  <c r="A462" i="1"/>
  <c r="E462" i="1"/>
  <c r="AF462" i="1"/>
  <c r="AH462" i="1"/>
  <c r="AI462" i="1"/>
  <c r="AJ462" i="1"/>
  <c r="AL462" i="1"/>
  <c r="AM462" i="1"/>
  <c r="AN462" i="1"/>
  <c r="A463" i="1"/>
  <c r="E463" i="1"/>
  <c r="AF463" i="1"/>
  <c r="AH463" i="1"/>
  <c r="AI463" i="1"/>
  <c r="AJ463" i="1"/>
  <c r="AL463" i="1"/>
  <c r="AM463" i="1"/>
  <c r="AN463" i="1"/>
  <c r="A464" i="1"/>
  <c r="E464" i="1"/>
  <c r="AF464" i="1"/>
  <c r="AH464" i="1"/>
  <c r="AI464" i="1"/>
  <c r="AJ464" i="1"/>
  <c r="AL464" i="1"/>
  <c r="AM464" i="1"/>
  <c r="AN464" i="1"/>
  <c r="A465" i="1"/>
  <c r="E465" i="1"/>
  <c r="AF465" i="1"/>
  <c r="AH465" i="1"/>
  <c r="AI465" i="1"/>
  <c r="AJ465" i="1"/>
  <c r="AL465" i="1"/>
  <c r="AM465" i="1"/>
  <c r="AN465" i="1"/>
  <c r="A466" i="1"/>
  <c r="E466" i="1"/>
  <c r="AF466" i="1"/>
  <c r="AH466" i="1"/>
  <c r="AI466" i="1"/>
  <c r="AJ466" i="1"/>
  <c r="AL466" i="1"/>
  <c r="AM466" i="1"/>
  <c r="AN466" i="1"/>
  <c r="A467" i="1"/>
  <c r="E467" i="1"/>
  <c r="AF467" i="1"/>
  <c r="AH467" i="1"/>
  <c r="AI467" i="1"/>
  <c r="AJ467" i="1"/>
  <c r="AL467" i="1"/>
  <c r="AM467" i="1"/>
  <c r="AN467" i="1"/>
  <c r="A468" i="1"/>
  <c r="E468" i="1"/>
  <c r="AF468" i="1"/>
  <c r="AH468" i="1"/>
  <c r="AI468" i="1"/>
  <c r="AJ468" i="1"/>
  <c r="AL468" i="1"/>
  <c r="AM468" i="1"/>
  <c r="AN468" i="1"/>
  <c r="A469" i="1"/>
  <c r="E469" i="1"/>
  <c r="AF469" i="1"/>
  <c r="AH469" i="1"/>
  <c r="AI469" i="1"/>
  <c r="AJ469" i="1"/>
  <c r="AL469" i="1"/>
  <c r="AM469" i="1"/>
  <c r="AN469" i="1"/>
  <c r="A470" i="1"/>
  <c r="E470" i="1"/>
  <c r="AF470" i="1"/>
  <c r="AH470" i="1"/>
  <c r="AI470" i="1"/>
  <c r="AJ470" i="1"/>
  <c r="AL470" i="1"/>
  <c r="AM470" i="1"/>
  <c r="AN470" i="1"/>
  <c r="A471" i="1"/>
  <c r="E471" i="1"/>
  <c r="AF471" i="1"/>
  <c r="AH471" i="1"/>
  <c r="AI471" i="1"/>
  <c r="AJ471" i="1"/>
  <c r="AL471" i="1"/>
  <c r="AM471" i="1"/>
  <c r="AN471" i="1"/>
  <c r="A472" i="1"/>
  <c r="E472" i="1"/>
  <c r="AF472" i="1"/>
  <c r="AH472" i="1"/>
  <c r="AI472" i="1"/>
  <c r="AL472" i="1"/>
  <c r="AM472" i="1"/>
  <c r="AN472" i="1"/>
  <c r="A473" i="1"/>
  <c r="E473" i="1"/>
  <c r="AF473" i="1"/>
  <c r="AH473" i="1"/>
  <c r="AI473" i="1"/>
  <c r="AJ473" i="1"/>
  <c r="AL473" i="1"/>
  <c r="AM473" i="1"/>
  <c r="AN473" i="1"/>
  <c r="A474" i="1"/>
  <c r="E474" i="1"/>
  <c r="AF474" i="1"/>
  <c r="AH474" i="1"/>
  <c r="AI474" i="1"/>
  <c r="AJ474" i="1"/>
  <c r="AL474" i="1"/>
  <c r="AM474" i="1"/>
  <c r="AN474" i="1"/>
  <c r="A475" i="1"/>
  <c r="E475" i="1"/>
  <c r="AF475" i="1"/>
  <c r="AH475" i="1"/>
  <c r="AI475" i="1"/>
  <c r="AJ475" i="1"/>
  <c r="AL475" i="1"/>
  <c r="AM475" i="1"/>
  <c r="AN475" i="1"/>
  <c r="A476" i="1"/>
  <c r="E476" i="1"/>
  <c r="AF476" i="1"/>
  <c r="AH476" i="1"/>
  <c r="AI476" i="1"/>
  <c r="AJ476" i="1"/>
  <c r="AL476" i="1"/>
  <c r="AM476" i="1"/>
  <c r="AN476" i="1"/>
  <c r="A477" i="1"/>
  <c r="E477" i="1"/>
  <c r="AF477" i="1"/>
  <c r="AH477" i="1"/>
  <c r="AI477" i="1"/>
  <c r="AJ477" i="1"/>
  <c r="AL477" i="1"/>
  <c r="AM477" i="1"/>
  <c r="AN477" i="1"/>
  <c r="A478" i="1"/>
  <c r="E478" i="1"/>
  <c r="AF478" i="1"/>
  <c r="AH478" i="1"/>
  <c r="AI478" i="1"/>
  <c r="AJ478" i="1"/>
  <c r="AL478" i="1"/>
  <c r="AM478" i="1"/>
  <c r="AN478" i="1"/>
  <c r="A479" i="1"/>
  <c r="E479" i="1"/>
  <c r="AF479" i="1"/>
  <c r="AH479" i="1"/>
  <c r="AI479" i="1"/>
  <c r="AJ479" i="1"/>
  <c r="AL479" i="1"/>
  <c r="AM479" i="1"/>
  <c r="AN479" i="1"/>
  <c r="A480" i="1"/>
  <c r="E480" i="1"/>
  <c r="AF480" i="1"/>
  <c r="AH480" i="1"/>
  <c r="AI480" i="1"/>
  <c r="AJ480" i="1"/>
  <c r="AL480" i="1"/>
  <c r="AM480" i="1"/>
  <c r="AN480" i="1"/>
  <c r="A481" i="1"/>
  <c r="E481" i="1"/>
  <c r="AF481" i="1"/>
  <c r="AH481" i="1"/>
  <c r="AI481" i="1"/>
  <c r="AJ481" i="1"/>
  <c r="AL481" i="1"/>
  <c r="AM481" i="1"/>
  <c r="AN481" i="1"/>
  <c r="A482" i="1"/>
  <c r="E482" i="1"/>
  <c r="AF482" i="1"/>
  <c r="AH482" i="1"/>
  <c r="AI482" i="1"/>
  <c r="AJ482" i="1"/>
  <c r="AL482" i="1"/>
  <c r="AM482" i="1"/>
  <c r="AN482" i="1"/>
  <c r="A483" i="1"/>
  <c r="E483" i="1"/>
  <c r="AF483" i="1"/>
  <c r="AH483" i="1"/>
  <c r="AI483" i="1"/>
  <c r="AJ483" i="1"/>
  <c r="AL483" i="1"/>
  <c r="AM483" i="1"/>
  <c r="AN483" i="1"/>
  <c r="A484" i="1"/>
  <c r="E484" i="1"/>
  <c r="AF484" i="1"/>
  <c r="AH484" i="1"/>
  <c r="AI484" i="1"/>
  <c r="AJ484" i="1"/>
  <c r="AL484" i="1"/>
  <c r="AM484" i="1"/>
  <c r="AN484" i="1"/>
  <c r="A485" i="1"/>
  <c r="E485" i="1"/>
  <c r="AF485" i="1"/>
  <c r="AH485" i="1"/>
  <c r="AI485" i="1"/>
  <c r="AJ485" i="1"/>
  <c r="AL485" i="1"/>
  <c r="AM485" i="1"/>
  <c r="AN485" i="1"/>
  <c r="A486" i="1"/>
  <c r="E486" i="1"/>
  <c r="AF486" i="1"/>
  <c r="AH486" i="1"/>
  <c r="AI486" i="1"/>
  <c r="AJ486" i="1"/>
  <c r="AL486" i="1"/>
  <c r="AM486" i="1"/>
  <c r="AN486" i="1"/>
  <c r="A487" i="1"/>
  <c r="E487" i="1"/>
  <c r="AF487" i="1"/>
  <c r="AH487" i="1"/>
  <c r="AI487" i="1"/>
  <c r="AJ487" i="1"/>
  <c r="AL487" i="1"/>
  <c r="AM487" i="1"/>
  <c r="AN487" i="1"/>
  <c r="A488" i="1"/>
  <c r="E488" i="1"/>
  <c r="AF488" i="1"/>
  <c r="AH488" i="1"/>
  <c r="AI488" i="1"/>
  <c r="AJ488" i="1"/>
  <c r="AL488" i="1"/>
  <c r="AM488" i="1"/>
  <c r="AN488" i="1"/>
  <c r="A489" i="1"/>
  <c r="E489" i="1"/>
  <c r="AF489" i="1"/>
  <c r="AH489" i="1"/>
  <c r="AI489" i="1"/>
  <c r="AJ489" i="1"/>
  <c r="AL489" i="1"/>
  <c r="AM489" i="1"/>
  <c r="AN489" i="1"/>
  <c r="A490" i="1"/>
  <c r="E490" i="1"/>
  <c r="T490" i="1"/>
  <c r="V490" i="1"/>
  <c r="W490" i="1"/>
  <c r="X490" i="1"/>
  <c r="AJ490" i="1"/>
  <c r="AL490" i="1"/>
  <c r="AM490" i="1"/>
  <c r="AN490" i="1"/>
  <c r="A491" i="1"/>
  <c r="E491" i="1"/>
  <c r="I491" i="1"/>
  <c r="T491" i="1"/>
  <c r="V491" i="1"/>
  <c r="W491" i="1"/>
  <c r="X491" i="1"/>
  <c r="AJ491" i="1"/>
  <c r="AL491" i="1"/>
  <c r="AM491" i="1"/>
  <c r="AN491" i="1"/>
  <c r="A492" i="1"/>
  <c r="E492" i="1"/>
  <c r="I492" i="1"/>
  <c r="T492" i="1"/>
  <c r="V492" i="1"/>
  <c r="W492" i="1"/>
  <c r="X492" i="1"/>
  <c r="AJ492" i="1"/>
  <c r="AL492" i="1"/>
  <c r="AM492" i="1"/>
  <c r="AN492" i="1"/>
  <c r="A493" i="1"/>
  <c r="E493" i="1"/>
  <c r="I493" i="1"/>
  <c r="T493" i="1"/>
  <c r="V493" i="1"/>
  <c r="W493" i="1"/>
  <c r="X493" i="1"/>
  <c r="AJ493" i="1"/>
  <c r="AL493" i="1"/>
  <c r="AM493" i="1"/>
  <c r="AN493" i="1"/>
  <c r="A494" i="1"/>
  <c r="E494" i="1"/>
  <c r="I494" i="1"/>
  <c r="T494" i="1"/>
  <c r="V494" i="1"/>
  <c r="W494" i="1"/>
  <c r="X494" i="1"/>
  <c r="AJ494" i="1"/>
  <c r="AL494" i="1"/>
  <c r="AM494" i="1"/>
  <c r="AN494" i="1"/>
  <c r="A495" i="1"/>
  <c r="E495" i="1"/>
  <c r="I495" i="1"/>
  <c r="T495" i="1"/>
  <c r="V495" i="1"/>
  <c r="W495" i="1"/>
  <c r="X495" i="1"/>
  <c r="AJ495" i="1"/>
  <c r="AL495" i="1"/>
  <c r="AM495" i="1"/>
  <c r="AN495" i="1"/>
  <c r="A496" i="1"/>
  <c r="E496" i="1"/>
  <c r="I496" i="1"/>
  <c r="T496" i="1"/>
  <c r="V496" i="1"/>
  <c r="W496" i="1"/>
  <c r="X496" i="1"/>
  <c r="AJ496" i="1"/>
  <c r="AL496" i="1"/>
  <c r="AM496" i="1"/>
  <c r="AN496" i="1"/>
  <c r="A498" i="1"/>
  <c r="E498" i="1"/>
  <c r="T498" i="1"/>
  <c r="V498" i="1"/>
  <c r="W498" i="1"/>
  <c r="X498" i="1"/>
  <c r="AJ498" i="1"/>
  <c r="AL498" i="1"/>
  <c r="AM498" i="1"/>
  <c r="AN498" i="1"/>
  <c r="A499" i="1"/>
  <c r="E499" i="1"/>
  <c r="T499" i="1"/>
  <c r="V499" i="1"/>
  <c r="W499" i="1"/>
  <c r="X499" i="1"/>
  <c r="AJ499" i="1"/>
  <c r="AL499" i="1"/>
  <c r="AM499" i="1"/>
  <c r="AN499" i="1"/>
  <c r="A500" i="1"/>
  <c r="E500" i="1"/>
  <c r="T500" i="1"/>
  <c r="V500" i="1"/>
  <c r="W500" i="1"/>
  <c r="X500" i="1"/>
  <c r="AJ500" i="1"/>
  <c r="AL500" i="1"/>
  <c r="AM500" i="1"/>
  <c r="AN500" i="1"/>
  <c r="A501" i="1"/>
  <c r="E501" i="1"/>
  <c r="T501" i="1"/>
  <c r="V501" i="1"/>
  <c r="W501" i="1"/>
  <c r="X501" i="1"/>
  <c r="AJ501" i="1"/>
  <c r="AL501" i="1"/>
  <c r="AM501" i="1"/>
  <c r="AN501" i="1"/>
  <c r="A502" i="1"/>
  <c r="E502" i="1"/>
  <c r="T502" i="1"/>
  <c r="V502" i="1"/>
  <c r="W502" i="1"/>
  <c r="X502" i="1"/>
  <c r="AJ502" i="1"/>
  <c r="AL502" i="1"/>
  <c r="AM502" i="1"/>
  <c r="AN502" i="1"/>
  <c r="A503" i="1"/>
  <c r="E503" i="1"/>
  <c r="T503" i="1"/>
  <c r="V503" i="1"/>
  <c r="W503" i="1"/>
  <c r="X503" i="1"/>
  <c r="AJ503" i="1"/>
  <c r="AL503" i="1"/>
  <c r="AM503" i="1"/>
  <c r="AN503" i="1"/>
  <c r="A504" i="1"/>
  <c r="E504" i="1"/>
  <c r="T504" i="1"/>
  <c r="V504" i="1"/>
  <c r="W504" i="1"/>
  <c r="X504" i="1"/>
  <c r="AJ504" i="1"/>
  <c r="AL504" i="1"/>
  <c r="AM504" i="1"/>
  <c r="AN504" i="1"/>
  <c r="A505" i="1"/>
  <c r="E505" i="1"/>
  <c r="T505" i="1"/>
  <c r="V505" i="1"/>
  <c r="W505" i="1"/>
  <c r="X505" i="1"/>
  <c r="AJ505" i="1"/>
  <c r="AL505" i="1"/>
  <c r="AM505" i="1"/>
  <c r="AN505" i="1"/>
  <c r="A506" i="1"/>
  <c r="E506" i="1"/>
  <c r="T506" i="1"/>
  <c r="V506" i="1"/>
  <c r="W506" i="1"/>
  <c r="X506" i="1"/>
  <c r="AJ506" i="1"/>
  <c r="AL506" i="1"/>
  <c r="AM506" i="1"/>
  <c r="AN506" i="1"/>
  <c r="A507" i="1"/>
  <c r="E507" i="1"/>
  <c r="T507" i="1"/>
  <c r="V507" i="1"/>
  <c r="W507" i="1"/>
  <c r="X507" i="1"/>
  <c r="AJ507" i="1"/>
  <c r="AL507" i="1"/>
  <c r="AM507" i="1"/>
  <c r="AN507" i="1"/>
  <c r="A509" i="1"/>
  <c r="E509" i="1"/>
  <c r="M509" i="1"/>
  <c r="T509" i="1"/>
  <c r="V509" i="1"/>
  <c r="W509" i="1"/>
  <c r="X509" i="1"/>
  <c r="AJ509" i="1"/>
  <c r="AL509" i="1"/>
  <c r="AM509" i="1"/>
  <c r="AN509" i="1"/>
  <c r="A510" i="1"/>
  <c r="E510" i="1"/>
  <c r="I510" i="1"/>
  <c r="M510" i="1"/>
  <c r="T510" i="1"/>
  <c r="V510" i="1"/>
  <c r="W510" i="1"/>
  <c r="X510" i="1"/>
  <c r="AJ510" i="1"/>
  <c r="AL510" i="1"/>
  <c r="AM510" i="1"/>
  <c r="AN510" i="1"/>
  <c r="A511" i="1"/>
  <c r="E511" i="1"/>
  <c r="I511" i="1"/>
  <c r="M511" i="1"/>
  <c r="T511" i="1"/>
  <c r="V511" i="1"/>
  <c r="W511" i="1"/>
  <c r="X511" i="1"/>
  <c r="AJ511" i="1"/>
  <c r="AL511" i="1"/>
  <c r="AM511" i="1"/>
  <c r="AN511" i="1"/>
  <c r="A513" i="1"/>
  <c r="E513" i="1"/>
  <c r="M513" i="1"/>
  <c r="T513" i="1"/>
  <c r="V513" i="1"/>
  <c r="W513" i="1"/>
  <c r="X513" i="1"/>
  <c r="AJ513" i="1"/>
  <c r="AL513" i="1"/>
  <c r="AM513" i="1"/>
  <c r="AN513" i="1"/>
  <c r="A514" i="1"/>
  <c r="E514" i="1"/>
  <c r="M514" i="1"/>
  <c r="T514" i="1"/>
  <c r="V514" i="1"/>
  <c r="W514" i="1"/>
  <c r="X514" i="1"/>
  <c r="AJ514" i="1"/>
  <c r="AL514" i="1"/>
  <c r="AM514" i="1"/>
  <c r="AN514" i="1"/>
  <c r="A516" i="1"/>
  <c r="E516" i="1"/>
  <c r="M516" i="1"/>
  <c r="T516" i="1"/>
  <c r="V516" i="1"/>
  <c r="W516" i="1"/>
  <c r="X516" i="1"/>
  <c r="AJ516" i="1"/>
  <c r="AL516" i="1"/>
  <c r="AM516" i="1"/>
  <c r="AN516" i="1"/>
  <c r="A517" i="1"/>
  <c r="E517" i="1"/>
  <c r="M517" i="1"/>
  <c r="T517" i="1"/>
  <c r="V517" i="1"/>
  <c r="W517" i="1"/>
  <c r="X517" i="1"/>
  <c r="AJ517" i="1"/>
  <c r="AL517" i="1"/>
  <c r="AM517" i="1"/>
  <c r="AN517" i="1"/>
  <c r="A518" i="1"/>
  <c r="E518" i="1"/>
  <c r="M518" i="1"/>
  <c r="T518" i="1"/>
  <c r="V518" i="1"/>
  <c r="W518" i="1"/>
  <c r="X518" i="1"/>
  <c r="AJ518" i="1"/>
  <c r="AL518" i="1"/>
  <c r="AM518" i="1"/>
  <c r="AN518" i="1"/>
  <c r="A519" i="1"/>
  <c r="E519" i="1"/>
  <c r="M519" i="1"/>
  <c r="T519" i="1"/>
  <c r="V519" i="1"/>
  <c r="W519" i="1"/>
  <c r="X519" i="1"/>
  <c r="AJ519" i="1"/>
  <c r="AL519" i="1"/>
  <c r="AM519" i="1"/>
  <c r="AN519" i="1"/>
  <c r="A520" i="1"/>
  <c r="E520" i="1"/>
  <c r="M520" i="1"/>
  <c r="T520" i="1"/>
  <c r="V520" i="1"/>
  <c r="W520" i="1"/>
  <c r="X520" i="1"/>
  <c r="AJ520" i="1"/>
  <c r="AL520" i="1"/>
  <c r="AM520" i="1"/>
  <c r="AN520" i="1"/>
  <c r="A521" i="1"/>
  <c r="E521" i="1"/>
  <c r="M521" i="1"/>
  <c r="T521" i="1"/>
  <c r="V521" i="1"/>
  <c r="W521" i="1"/>
  <c r="X521" i="1"/>
  <c r="AJ521" i="1"/>
  <c r="AL521" i="1"/>
  <c r="AM521" i="1"/>
  <c r="AN521" i="1"/>
  <c r="A522" i="1"/>
  <c r="E522" i="1"/>
  <c r="M522" i="1"/>
  <c r="T522" i="1"/>
  <c r="V522" i="1"/>
  <c r="W522" i="1"/>
  <c r="X522" i="1"/>
  <c r="AJ522" i="1"/>
  <c r="AL522" i="1"/>
  <c r="AM522" i="1"/>
  <c r="AN522" i="1"/>
  <c r="A523" i="1"/>
  <c r="E523" i="1"/>
  <c r="M523" i="1"/>
  <c r="T523" i="1"/>
  <c r="V523" i="1"/>
  <c r="W523" i="1"/>
  <c r="X523" i="1"/>
  <c r="AJ523" i="1"/>
  <c r="AL523" i="1"/>
  <c r="AM523" i="1"/>
  <c r="AN523" i="1"/>
  <c r="A524" i="1"/>
  <c r="E524" i="1"/>
  <c r="M524" i="1"/>
  <c r="T524" i="1"/>
  <c r="V524" i="1"/>
  <c r="W524" i="1"/>
  <c r="X524" i="1"/>
  <c r="AJ524" i="1"/>
  <c r="AL524" i="1"/>
  <c r="AM524" i="1"/>
  <c r="AN524" i="1"/>
  <c r="A525" i="1"/>
  <c r="E525" i="1"/>
  <c r="M525" i="1"/>
  <c r="T525" i="1"/>
  <c r="V525" i="1"/>
  <c r="W525" i="1"/>
  <c r="X525" i="1"/>
  <c r="AJ525" i="1"/>
  <c r="AL525" i="1"/>
  <c r="AM525" i="1"/>
  <c r="AN525" i="1"/>
  <c r="A526" i="1"/>
  <c r="E526" i="1"/>
  <c r="M526" i="1"/>
  <c r="T526" i="1"/>
  <c r="V526" i="1"/>
  <c r="W526" i="1"/>
  <c r="X526" i="1"/>
  <c r="AJ526" i="1"/>
  <c r="AL526" i="1"/>
  <c r="AM526" i="1"/>
  <c r="AN526" i="1"/>
  <c r="A527" i="1"/>
  <c r="E527" i="1"/>
  <c r="M527" i="1"/>
  <c r="T527" i="1"/>
  <c r="V527" i="1"/>
  <c r="W527" i="1"/>
  <c r="X527" i="1"/>
  <c r="AJ527" i="1"/>
  <c r="AL527" i="1"/>
  <c r="AM527" i="1"/>
  <c r="AN527" i="1"/>
  <c r="A528" i="1"/>
  <c r="E528" i="1"/>
  <c r="M528" i="1"/>
  <c r="T528" i="1"/>
  <c r="V528" i="1"/>
  <c r="W528" i="1"/>
  <c r="X528" i="1"/>
  <c r="AJ528" i="1"/>
  <c r="AL528" i="1"/>
  <c r="AM528" i="1"/>
  <c r="AN528" i="1"/>
  <c r="A529" i="1"/>
  <c r="E529" i="1"/>
  <c r="T529" i="1"/>
  <c r="V529" i="1"/>
  <c r="W529" i="1"/>
  <c r="X529" i="1"/>
  <c r="AJ529" i="1"/>
  <c r="AL529" i="1"/>
  <c r="AM529" i="1"/>
  <c r="AN529" i="1"/>
  <c r="M77" i="1"/>
  <c r="M71" i="1"/>
  <c r="M44" i="1"/>
  <c r="AN515" i="1"/>
  <c r="AM515" i="1"/>
  <c r="AL515" i="1"/>
  <c r="AJ515" i="1"/>
  <c r="X515" i="1"/>
  <c r="W515" i="1"/>
  <c r="V515" i="1"/>
  <c r="T515" i="1"/>
  <c r="M515" i="1"/>
  <c r="E515" i="1"/>
  <c r="A515" i="1"/>
  <c r="AN512" i="1"/>
  <c r="AM512" i="1"/>
  <c r="AL512" i="1"/>
  <c r="AJ512" i="1"/>
  <c r="X512" i="1"/>
  <c r="W512" i="1"/>
  <c r="V512" i="1"/>
  <c r="T512" i="1"/>
  <c r="M512" i="1"/>
  <c r="E512" i="1"/>
  <c r="A512" i="1"/>
  <c r="I512" i="1"/>
  <c r="I110" i="1"/>
  <c r="I111" i="1" s="1"/>
  <c r="I192" i="1"/>
  <c r="I193" i="1" s="1"/>
  <c r="I194" i="1" s="1"/>
  <c r="I195" i="1" s="1"/>
  <c r="I196" i="1" s="1"/>
  <c r="I197" i="1" s="1"/>
  <c r="I198" i="1" s="1"/>
  <c r="I60" i="1"/>
  <c r="I61" i="1" s="1"/>
  <c r="I62" i="1" s="1"/>
  <c r="I63" i="1" s="1"/>
  <c r="I64" i="1" s="1"/>
  <c r="I65" i="1" s="1"/>
  <c r="I66" i="1" s="1"/>
  <c r="I67" i="1" s="1"/>
  <c r="I68" i="1" s="1"/>
  <c r="I69" i="1" s="1"/>
  <c r="I70" i="1" s="1"/>
  <c r="I71" i="1" s="1"/>
  <c r="I72" i="1" s="1"/>
  <c r="I73" i="1" s="1"/>
  <c r="I74" i="1" s="1"/>
  <c r="I75" i="1" s="1"/>
  <c r="I76" i="1" s="1"/>
  <c r="I50" i="1"/>
  <c r="I42" i="1"/>
  <c r="I270" i="1"/>
  <c r="I271" i="1" s="1"/>
  <c r="I272" i="1" s="1"/>
  <c r="I273" i="1" s="1"/>
  <c r="I274" i="1" s="1"/>
  <c r="I275" i="1" s="1"/>
  <c r="I276" i="1" s="1"/>
  <c r="I277" i="1" s="1"/>
  <c r="I278" i="1" s="1"/>
  <c r="I279" i="1" s="1"/>
  <c r="I280" i="1" s="1"/>
  <c r="I281" i="1" s="1"/>
  <c r="I282" i="1" s="1"/>
  <c r="I283" i="1" s="1"/>
  <c r="I284" i="1" s="1"/>
  <c r="I285" i="1" s="1"/>
  <c r="I286" i="1" s="1"/>
  <c r="I287" i="1" s="1"/>
  <c r="I288" i="1" s="1"/>
  <c r="I289" i="1" s="1"/>
  <c r="I290" i="1" s="1"/>
  <c r="I291" i="1" s="1"/>
  <c r="AN508" i="1"/>
  <c r="AM508" i="1"/>
  <c r="AL508" i="1"/>
  <c r="AJ508" i="1"/>
  <c r="X508" i="1"/>
  <c r="W508" i="1"/>
  <c r="V508" i="1"/>
  <c r="T508" i="1"/>
  <c r="E508" i="1"/>
  <c r="A508" i="1"/>
  <c r="AN497" i="1"/>
  <c r="AM497" i="1"/>
  <c r="AL497" i="1"/>
  <c r="AJ497" i="1"/>
  <c r="X497" i="1"/>
  <c r="W497" i="1"/>
  <c r="V497" i="1"/>
  <c r="T497" i="1"/>
  <c r="E497" i="1"/>
  <c r="A497" i="1"/>
  <c r="M353" i="1"/>
  <c r="M337" i="1"/>
  <c r="M318" i="1"/>
  <c r="M295" i="1"/>
  <c r="M192" i="1"/>
  <c r="M105" i="1"/>
  <c r="M104" i="1"/>
  <c r="M103" i="1"/>
  <c r="M101" i="1"/>
  <c r="M86" i="1"/>
  <c r="M84" i="1"/>
  <c r="M82" i="1"/>
  <c r="M81" i="1"/>
  <c r="M80" i="1"/>
  <c r="M78" i="1"/>
  <c r="M76" i="1"/>
  <c r="M74" i="1"/>
  <c r="M73" i="1"/>
  <c r="M72" i="1"/>
  <c r="M70" i="1"/>
  <c r="M69" i="1"/>
  <c r="M68" i="1"/>
  <c r="M67" i="1"/>
  <c r="M66" i="1"/>
  <c r="M65" i="1"/>
  <c r="M64" i="1"/>
  <c r="M63" i="1"/>
  <c r="M62" i="1"/>
  <c r="M61" i="1"/>
  <c r="M60" i="1"/>
  <c r="M59" i="1"/>
  <c r="M57" i="1"/>
  <c r="M56" i="1"/>
  <c r="M55" i="1"/>
  <c r="M54" i="1"/>
  <c r="M53" i="1"/>
  <c r="M52" i="1"/>
  <c r="M50" i="1"/>
  <c r="M49" i="1"/>
  <c r="M47" i="1"/>
  <c r="M46" i="1"/>
  <c r="M45" i="1"/>
  <c r="M43" i="1"/>
  <c r="M42" i="1"/>
  <c r="M41" i="1"/>
  <c r="M36" i="1"/>
  <c r="M34" i="1"/>
  <c r="M33" i="1"/>
  <c r="M32" i="1"/>
  <c r="M31" i="1"/>
  <c r="M30" i="1"/>
  <c r="M29" i="1"/>
  <c r="M27" i="1"/>
  <c r="M25" i="1"/>
  <c r="M23" i="1"/>
  <c r="M20" i="1"/>
  <c r="M18" i="1"/>
  <c r="M16" i="1"/>
  <c r="M14" i="1"/>
  <c r="M12" i="1"/>
  <c r="M11" i="1"/>
  <c r="M10" i="1"/>
  <c r="M8" i="1"/>
  <c r="M7" i="1"/>
  <c r="M5" i="1"/>
  <c r="M2" i="1"/>
  <c r="AN353" i="1"/>
  <c r="AM353" i="1"/>
  <c r="AL353" i="1"/>
  <c r="AJ353" i="1"/>
  <c r="X353" i="1"/>
  <c r="W353" i="1"/>
  <c r="V353" i="1"/>
  <c r="T353" i="1"/>
  <c r="E353" i="1"/>
  <c r="A353" i="1"/>
  <c r="AN337" i="1"/>
  <c r="AM337" i="1"/>
  <c r="AL337" i="1"/>
  <c r="AJ337" i="1"/>
  <c r="X337" i="1"/>
  <c r="W337" i="1"/>
  <c r="V337" i="1"/>
  <c r="T337" i="1"/>
  <c r="E337" i="1"/>
  <c r="A337" i="1"/>
  <c r="AN318" i="1"/>
  <c r="AM318" i="1"/>
  <c r="AL318" i="1"/>
  <c r="AJ318" i="1"/>
  <c r="X318" i="1"/>
  <c r="W318" i="1"/>
  <c r="V318" i="1"/>
  <c r="T318" i="1"/>
  <c r="E318" i="1"/>
  <c r="A318" i="1"/>
  <c r="AN295" i="1"/>
  <c r="AM295" i="1"/>
  <c r="AL295" i="1"/>
  <c r="AJ295" i="1"/>
  <c r="X295" i="1"/>
  <c r="W295" i="1"/>
  <c r="V295" i="1"/>
  <c r="T295" i="1"/>
  <c r="E295" i="1"/>
  <c r="A295" i="1"/>
  <c r="AN270" i="1"/>
  <c r="AM270" i="1"/>
  <c r="AL270" i="1"/>
  <c r="AJ270" i="1"/>
  <c r="AN239" i="1"/>
  <c r="AM239" i="1"/>
  <c r="AL239" i="1"/>
  <c r="AJ239" i="1"/>
  <c r="AN233" i="1"/>
  <c r="AM233" i="1"/>
  <c r="AL233" i="1"/>
  <c r="AJ233" i="1"/>
  <c r="AN211" i="1"/>
  <c r="AM211" i="1"/>
  <c r="AL211" i="1"/>
  <c r="AJ211" i="1"/>
  <c r="X270" i="1"/>
  <c r="W270" i="1"/>
  <c r="V270" i="1"/>
  <c r="T270" i="1"/>
  <c r="E270" i="1"/>
  <c r="A270" i="1"/>
  <c r="X239" i="1"/>
  <c r="W239" i="1"/>
  <c r="V239" i="1"/>
  <c r="T239" i="1"/>
  <c r="E239" i="1"/>
  <c r="A239" i="1"/>
  <c r="X233" i="1"/>
  <c r="W233" i="1"/>
  <c r="V233" i="1"/>
  <c r="T233" i="1"/>
  <c r="E233" i="1"/>
  <c r="A233" i="1"/>
  <c r="X211" i="1"/>
  <c r="W211" i="1"/>
  <c r="V211" i="1"/>
  <c r="T211" i="1"/>
  <c r="E211" i="1"/>
  <c r="A211" i="1"/>
  <c r="AN192" i="1"/>
  <c r="AM192" i="1"/>
  <c r="AL192" i="1"/>
  <c r="AJ192" i="1"/>
  <c r="X192" i="1"/>
  <c r="W192" i="1"/>
  <c r="V192" i="1"/>
  <c r="T192" i="1"/>
  <c r="E192" i="1"/>
  <c r="A192" i="1"/>
  <c r="AN188" i="1"/>
  <c r="AM188" i="1"/>
  <c r="AL188" i="1"/>
  <c r="AJ188" i="1"/>
  <c r="X188" i="1"/>
  <c r="W188" i="1"/>
  <c r="V188" i="1"/>
  <c r="T188" i="1"/>
  <c r="E188" i="1"/>
  <c r="A188" i="1"/>
  <c r="AN182" i="1"/>
  <c r="AM182" i="1"/>
  <c r="AL182" i="1"/>
  <c r="AJ182" i="1"/>
  <c r="X182" i="1"/>
  <c r="W182" i="1"/>
  <c r="V182" i="1"/>
  <c r="T182" i="1"/>
  <c r="E182" i="1"/>
  <c r="A182" i="1"/>
  <c r="AN179" i="1"/>
  <c r="AM179" i="1"/>
  <c r="AL179" i="1"/>
  <c r="AJ179" i="1"/>
  <c r="X179" i="1"/>
  <c r="W179" i="1"/>
  <c r="V179" i="1"/>
  <c r="T179" i="1"/>
  <c r="E179" i="1"/>
  <c r="A179" i="1"/>
  <c r="AN178" i="1"/>
  <c r="AM178" i="1"/>
  <c r="AL178" i="1"/>
  <c r="AJ178" i="1"/>
  <c r="X178" i="1"/>
  <c r="W178" i="1"/>
  <c r="V178" i="1"/>
  <c r="T178" i="1"/>
  <c r="E178" i="1"/>
  <c r="A178" i="1"/>
  <c r="AN177" i="1"/>
  <c r="AM177" i="1"/>
  <c r="AL177" i="1"/>
  <c r="AJ177" i="1"/>
  <c r="X177" i="1"/>
  <c r="W177" i="1"/>
  <c r="V177" i="1"/>
  <c r="T177" i="1"/>
  <c r="E177" i="1"/>
  <c r="A177" i="1"/>
  <c r="AN174" i="1"/>
  <c r="AM174" i="1"/>
  <c r="AL174" i="1"/>
  <c r="AJ174" i="1"/>
  <c r="X174" i="1"/>
  <c r="W174" i="1"/>
  <c r="V174" i="1"/>
  <c r="T174" i="1"/>
  <c r="E174" i="1"/>
  <c r="A174" i="1"/>
  <c r="AN172" i="1"/>
  <c r="AM172" i="1"/>
  <c r="AL172" i="1"/>
  <c r="AJ172" i="1"/>
  <c r="X172" i="1"/>
  <c r="W172" i="1"/>
  <c r="V172" i="1"/>
  <c r="T172" i="1"/>
  <c r="E172" i="1"/>
  <c r="A172" i="1"/>
  <c r="AN171" i="1"/>
  <c r="AM171" i="1"/>
  <c r="AL171" i="1"/>
  <c r="AJ171" i="1"/>
  <c r="X171" i="1"/>
  <c r="W171" i="1"/>
  <c r="V171" i="1"/>
  <c r="T171" i="1"/>
  <c r="E171" i="1"/>
  <c r="A171" i="1"/>
  <c r="AN168" i="1"/>
  <c r="AM168" i="1"/>
  <c r="AL168" i="1"/>
  <c r="AJ168" i="1"/>
  <c r="X168" i="1"/>
  <c r="W168" i="1"/>
  <c r="V168" i="1"/>
  <c r="T168" i="1"/>
  <c r="E168" i="1"/>
  <c r="A168" i="1"/>
  <c r="AN166" i="1"/>
  <c r="AM166" i="1"/>
  <c r="AL166" i="1"/>
  <c r="AJ166" i="1"/>
  <c r="X166" i="1"/>
  <c r="W166" i="1"/>
  <c r="V166" i="1"/>
  <c r="T166" i="1"/>
  <c r="E166" i="1"/>
  <c r="A166" i="1"/>
  <c r="AN157" i="1"/>
  <c r="AM157" i="1"/>
  <c r="AL157" i="1"/>
  <c r="AJ157" i="1"/>
  <c r="X157" i="1"/>
  <c r="W157" i="1"/>
  <c r="V157" i="1"/>
  <c r="T157" i="1"/>
  <c r="E157" i="1"/>
  <c r="A157" i="1"/>
  <c r="AN156" i="1"/>
  <c r="AM156" i="1"/>
  <c r="AL156" i="1"/>
  <c r="AJ156" i="1"/>
  <c r="X156" i="1"/>
  <c r="W156" i="1"/>
  <c r="V156" i="1"/>
  <c r="T156" i="1"/>
  <c r="E156" i="1"/>
  <c r="A156" i="1"/>
  <c r="AN155" i="1"/>
  <c r="AM155" i="1"/>
  <c r="AL155" i="1"/>
  <c r="AJ155" i="1"/>
  <c r="X155" i="1"/>
  <c r="W155" i="1"/>
  <c r="V155" i="1"/>
  <c r="T155" i="1"/>
  <c r="E155" i="1"/>
  <c r="A155" i="1"/>
  <c r="AN154" i="1"/>
  <c r="AM154" i="1"/>
  <c r="AL154" i="1"/>
  <c r="AJ154" i="1"/>
  <c r="X154" i="1"/>
  <c r="W154" i="1"/>
  <c r="V154" i="1"/>
  <c r="T154" i="1"/>
  <c r="E154" i="1"/>
  <c r="A154" i="1"/>
  <c r="AN153" i="1"/>
  <c r="AM153" i="1"/>
  <c r="AL153" i="1"/>
  <c r="AJ153" i="1"/>
  <c r="X153" i="1"/>
  <c r="W153" i="1"/>
  <c r="V153" i="1"/>
  <c r="T153" i="1"/>
  <c r="E153" i="1"/>
  <c r="A153" i="1"/>
  <c r="AN152" i="1"/>
  <c r="AM152" i="1"/>
  <c r="AL152" i="1"/>
  <c r="AJ152" i="1"/>
  <c r="X152" i="1"/>
  <c r="W152" i="1"/>
  <c r="V152" i="1"/>
  <c r="T152" i="1"/>
  <c r="E152" i="1"/>
  <c r="A152" i="1"/>
  <c r="AN148" i="1"/>
  <c r="AM148" i="1"/>
  <c r="AL148" i="1"/>
  <c r="AJ148" i="1"/>
  <c r="AI148" i="1"/>
  <c r="AH148" i="1"/>
  <c r="AF148" i="1"/>
  <c r="E148" i="1"/>
  <c r="A148" i="1"/>
  <c r="AN139" i="1"/>
  <c r="AM139" i="1"/>
  <c r="AL139" i="1"/>
  <c r="AJ139" i="1"/>
  <c r="AI139" i="1"/>
  <c r="AH139" i="1"/>
  <c r="AF139" i="1"/>
  <c r="E139" i="1"/>
  <c r="A139" i="1"/>
  <c r="AN138" i="1"/>
  <c r="AM138" i="1"/>
  <c r="AL138" i="1"/>
  <c r="AJ138" i="1"/>
  <c r="AI138" i="1"/>
  <c r="AH138" i="1"/>
  <c r="AF138" i="1"/>
  <c r="E138" i="1"/>
  <c r="A138" i="1"/>
  <c r="AN137" i="1"/>
  <c r="AM137" i="1"/>
  <c r="AL137" i="1"/>
  <c r="AJ137" i="1"/>
  <c r="AI137" i="1"/>
  <c r="AH137" i="1"/>
  <c r="AF137" i="1"/>
  <c r="E137" i="1"/>
  <c r="A137" i="1"/>
  <c r="AJ128" i="1"/>
  <c r="AN135" i="1"/>
  <c r="AM135" i="1"/>
  <c r="AL135" i="1"/>
  <c r="AJ135" i="1"/>
  <c r="AI135" i="1"/>
  <c r="AH135" i="1"/>
  <c r="AF135" i="1"/>
  <c r="E135" i="1"/>
  <c r="A135" i="1"/>
  <c r="AN132" i="1"/>
  <c r="AM132" i="1"/>
  <c r="AL132" i="1"/>
  <c r="AJ132" i="1"/>
  <c r="AI132" i="1"/>
  <c r="AH132" i="1"/>
  <c r="AF132" i="1"/>
  <c r="E132" i="1"/>
  <c r="A132" i="1"/>
  <c r="AN129" i="1"/>
  <c r="AM129" i="1"/>
  <c r="AL129" i="1"/>
  <c r="AJ129" i="1"/>
  <c r="AI129" i="1"/>
  <c r="AH129" i="1"/>
  <c r="AF129" i="1"/>
  <c r="E129" i="1"/>
  <c r="A129" i="1"/>
  <c r="AN128" i="1"/>
  <c r="AM128" i="1"/>
  <c r="AL128" i="1"/>
  <c r="AI128" i="1"/>
  <c r="AH128" i="1"/>
  <c r="AF128" i="1"/>
  <c r="E128" i="1"/>
  <c r="A128" i="1"/>
  <c r="AN127" i="1"/>
  <c r="AM127" i="1"/>
  <c r="AL127" i="1"/>
  <c r="AJ127" i="1"/>
  <c r="AI127" i="1"/>
  <c r="AH127" i="1"/>
  <c r="AF127" i="1"/>
  <c r="E127" i="1"/>
  <c r="A127" i="1"/>
  <c r="AN126" i="1"/>
  <c r="AM126" i="1"/>
  <c r="AL126" i="1"/>
  <c r="AJ126" i="1"/>
  <c r="AI126" i="1"/>
  <c r="AH126" i="1"/>
  <c r="AF126" i="1"/>
  <c r="E126" i="1"/>
  <c r="A126" i="1"/>
  <c r="AN125" i="1"/>
  <c r="AM125" i="1"/>
  <c r="AL125" i="1"/>
  <c r="AJ125" i="1"/>
  <c r="AI125" i="1"/>
  <c r="AH125" i="1"/>
  <c r="AF125" i="1"/>
  <c r="E125" i="1"/>
  <c r="A125" i="1"/>
  <c r="AN120" i="1"/>
  <c r="AM120" i="1"/>
  <c r="AL120" i="1"/>
  <c r="AJ120" i="1"/>
  <c r="AI120" i="1"/>
  <c r="AH120" i="1"/>
  <c r="AF120" i="1"/>
  <c r="E120" i="1"/>
  <c r="A120" i="1"/>
  <c r="AN119" i="1"/>
  <c r="AM119" i="1"/>
  <c r="AL119" i="1"/>
  <c r="AJ119" i="1"/>
  <c r="AI119" i="1"/>
  <c r="AH119" i="1"/>
  <c r="AF119" i="1"/>
  <c r="E119" i="1"/>
  <c r="A119" i="1"/>
  <c r="AN118" i="1"/>
  <c r="AM118" i="1"/>
  <c r="AL118" i="1"/>
  <c r="AJ118" i="1"/>
  <c r="AI118" i="1"/>
  <c r="AH118" i="1"/>
  <c r="AF118" i="1"/>
  <c r="E118" i="1"/>
  <c r="A118" i="1"/>
  <c r="AN117" i="1"/>
  <c r="AM117" i="1"/>
  <c r="AL117" i="1"/>
  <c r="AJ117" i="1"/>
  <c r="AI117" i="1"/>
  <c r="AH117" i="1"/>
  <c r="AF117" i="1"/>
  <c r="E117" i="1"/>
  <c r="A117" i="1"/>
  <c r="AN116" i="1"/>
  <c r="AM116" i="1"/>
  <c r="AL116" i="1"/>
  <c r="AJ116" i="1"/>
  <c r="AI116" i="1"/>
  <c r="AH116" i="1"/>
  <c r="AF116" i="1"/>
  <c r="E116" i="1"/>
  <c r="A116" i="1"/>
  <c r="AN113" i="1"/>
  <c r="AM113" i="1"/>
  <c r="AL113" i="1"/>
  <c r="AJ113" i="1"/>
  <c r="AI113" i="1"/>
  <c r="AH113" i="1"/>
  <c r="AF113" i="1"/>
  <c r="E113" i="1"/>
  <c r="A113" i="1"/>
  <c r="AN111" i="1"/>
  <c r="AM111" i="1"/>
  <c r="AL111" i="1"/>
  <c r="AJ111" i="1"/>
  <c r="AI111" i="1"/>
  <c r="AH111" i="1"/>
  <c r="AF111" i="1"/>
  <c r="E111" i="1"/>
  <c r="A111" i="1"/>
  <c r="AN110" i="1"/>
  <c r="AM110" i="1"/>
  <c r="AL110" i="1"/>
  <c r="AJ110" i="1"/>
  <c r="AI110" i="1"/>
  <c r="AH110" i="1"/>
  <c r="AF110" i="1"/>
  <c r="E110" i="1"/>
  <c r="A110" i="1"/>
  <c r="AN105" i="1"/>
  <c r="AM105" i="1"/>
  <c r="AL105" i="1"/>
  <c r="AJ105" i="1"/>
  <c r="AI105" i="1"/>
  <c r="AH105" i="1"/>
  <c r="AF105" i="1"/>
  <c r="E105" i="1"/>
  <c r="A105" i="1"/>
  <c r="AN104" i="1"/>
  <c r="AM104" i="1"/>
  <c r="AL104" i="1"/>
  <c r="AJ104" i="1"/>
  <c r="AI104" i="1"/>
  <c r="AH104" i="1"/>
  <c r="AF104" i="1"/>
  <c r="E104" i="1"/>
  <c r="A104" i="1"/>
  <c r="AN103" i="1"/>
  <c r="AM103" i="1"/>
  <c r="AL103" i="1"/>
  <c r="AJ103" i="1"/>
  <c r="AI103" i="1"/>
  <c r="AH103" i="1"/>
  <c r="AF103" i="1"/>
  <c r="E103" i="1"/>
  <c r="A103" i="1"/>
  <c r="AN101" i="1"/>
  <c r="AM101" i="1"/>
  <c r="AL101" i="1"/>
  <c r="AJ101" i="1"/>
  <c r="AI101" i="1"/>
  <c r="AH101" i="1"/>
  <c r="AF101" i="1"/>
  <c r="E101" i="1"/>
  <c r="A101" i="1"/>
  <c r="AN96" i="1"/>
  <c r="AM96" i="1"/>
  <c r="AL96" i="1"/>
  <c r="AJ96" i="1"/>
  <c r="AI96" i="1"/>
  <c r="AH96" i="1"/>
  <c r="AF96" i="1"/>
  <c r="E96" i="1"/>
  <c r="A96" i="1"/>
  <c r="AN93" i="1"/>
  <c r="AM93" i="1"/>
  <c r="AL93" i="1"/>
  <c r="AJ93" i="1"/>
  <c r="AI93" i="1"/>
  <c r="AH93" i="1"/>
  <c r="AF93" i="1"/>
  <c r="E93" i="1"/>
  <c r="A93" i="1"/>
  <c r="AN91" i="1"/>
  <c r="AM91" i="1"/>
  <c r="AL91" i="1"/>
  <c r="AJ91" i="1"/>
  <c r="AI91" i="1"/>
  <c r="AH91" i="1"/>
  <c r="AF91" i="1"/>
  <c r="E91" i="1"/>
  <c r="A91" i="1"/>
  <c r="AN86" i="1"/>
  <c r="AM86" i="1"/>
  <c r="AL86" i="1"/>
  <c r="AJ86" i="1"/>
  <c r="AI86" i="1"/>
  <c r="AH86" i="1"/>
  <c r="AF86" i="1"/>
  <c r="E86" i="1"/>
  <c r="A86" i="1"/>
  <c r="AN84" i="1"/>
  <c r="AM84" i="1"/>
  <c r="AL84" i="1"/>
  <c r="AJ84" i="1"/>
  <c r="AI84" i="1"/>
  <c r="AH84" i="1"/>
  <c r="AF84" i="1"/>
  <c r="E84" i="1"/>
  <c r="A84" i="1"/>
  <c r="AN82" i="1"/>
  <c r="AM82" i="1"/>
  <c r="AL82" i="1"/>
  <c r="AJ82" i="1"/>
  <c r="AI82" i="1"/>
  <c r="AH82" i="1"/>
  <c r="AF82" i="1"/>
  <c r="E82" i="1"/>
  <c r="A82" i="1"/>
  <c r="AN81" i="1"/>
  <c r="AM81" i="1"/>
  <c r="AL81" i="1"/>
  <c r="AJ81" i="1"/>
  <c r="AI81" i="1"/>
  <c r="AH81" i="1"/>
  <c r="AF81" i="1"/>
  <c r="E81" i="1"/>
  <c r="A81" i="1"/>
  <c r="AN80" i="1"/>
  <c r="AM80" i="1"/>
  <c r="AL80" i="1"/>
  <c r="AJ80" i="1"/>
  <c r="AI80" i="1"/>
  <c r="AH80" i="1"/>
  <c r="AF80" i="1"/>
  <c r="E80" i="1"/>
  <c r="A80" i="1"/>
  <c r="AN78" i="1"/>
  <c r="AM78" i="1"/>
  <c r="AL78" i="1"/>
  <c r="AJ78" i="1"/>
  <c r="AI78" i="1"/>
  <c r="AH78" i="1"/>
  <c r="AF78" i="1"/>
  <c r="E78" i="1"/>
  <c r="A78" i="1"/>
  <c r="AN77" i="1"/>
  <c r="AM77" i="1"/>
  <c r="AL77" i="1"/>
  <c r="AJ77" i="1"/>
  <c r="AI77" i="1"/>
  <c r="AH77" i="1"/>
  <c r="AF77" i="1"/>
  <c r="E77" i="1"/>
  <c r="A77" i="1"/>
  <c r="AN76" i="1"/>
  <c r="AM76" i="1"/>
  <c r="AL76" i="1"/>
  <c r="AJ76" i="1"/>
  <c r="AI76" i="1"/>
  <c r="AH76" i="1"/>
  <c r="AF76" i="1"/>
  <c r="E76" i="1"/>
  <c r="A76" i="1"/>
  <c r="AN74" i="1"/>
  <c r="AM74" i="1"/>
  <c r="AL74" i="1"/>
  <c r="AJ74" i="1"/>
  <c r="AI74" i="1"/>
  <c r="AH74" i="1"/>
  <c r="AF74" i="1"/>
  <c r="E74" i="1"/>
  <c r="A74" i="1"/>
  <c r="AN73" i="1"/>
  <c r="AM73" i="1"/>
  <c r="AL73" i="1"/>
  <c r="AJ73" i="1"/>
  <c r="AI73" i="1"/>
  <c r="AH73" i="1"/>
  <c r="AF73" i="1"/>
  <c r="E73" i="1"/>
  <c r="A73" i="1"/>
  <c r="AN72" i="1"/>
  <c r="AM72" i="1"/>
  <c r="AL72" i="1"/>
  <c r="AJ72" i="1"/>
  <c r="AI72" i="1"/>
  <c r="AH72" i="1"/>
  <c r="AF72" i="1"/>
  <c r="E72" i="1"/>
  <c r="A72" i="1"/>
  <c r="AN71" i="1"/>
  <c r="AM71" i="1"/>
  <c r="AL71" i="1"/>
  <c r="AJ71" i="1"/>
  <c r="AI71" i="1"/>
  <c r="AH71" i="1"/>
  <c r="AF71" i="1"/>
  <c r="E71" i="1"/>
  <c r="A71" i="1"/>
  <c r="AF70" i="1"/>
  <c r="AH70" i="1"/>
  <c r="AI70" i="1"/>
  <c r="AJ70" i="1"/>
  <c r="AL70" i="1"/>
  <c r="AM70" i="1"/>
  <c r="AN70" i="1"/>
  <c r="E70" i="1"/>
  <c r="A70" i="1"/>
  <c r="AN69" i="1"/>
  <c r="AM69" i="1"/>
  <c r="AL69" i="1"/>
  <c r="AJ69" i="1"/>
  <c r="AI69" i="1"/>
  <c r="AH69" i="1"/>
  <c r="AF69" i="1"/>
  <c r="E69" i="1"/>
  <c r="A69" i="1"/>
  <c r="AN68" i="1"/>
  <c r="AM68" i="1"/>
  <c r="AL68" i="1"/>
  <c r="AJ68" i="1"/>
  <c r="AI68" i="1"/>
  <c r="AH68" i="1"/>
  <c r="AF68" i="1"/>
  <c r="E68" i="1"/>
  <c r="A68" i="1"/>
  <c r="AN67" i="1"/>
  <c r="AM67" i="1"/>
  <c r="AL67" i="1"/>
  <c r="AJ67" i="1"/>
  <c r="AI67" i="1"/>
  <c r="AH67" i="1"/>
  <c r="AF67" i="1"/>
  <c r="E67" i="1"/>
  <c r="A67" i="1"/>
  <c r="AN66" i="1"/>
  <c r="AM66" i="1"/>
  <c r="AL66" i="1"/>
  <c r="AJ66" i="1"/>
  <c r="AI66" i="1"/>
  <c r="AH66" i="1"/>
  <c r="AF66" i="1"/>
  <c r="E66" i="1"/>
  <c r="A66" i="1"/>
  <c r="AN65" i="1"/>
  <c r="AM65" i="1"/>
  <c r="AL65" i="1"/>
  <c r="AJ65" i="1"/>
  <c r="AI65" i="1"/>
  <c r="AH65" i="1"/>
  <c r="AF65" i="1"/>
  <c r="E65" i="1"/>
  <c r="A65" i="1"/>
  <c r="AN64" i="1"/>
  <c r="AM64" i="1"/>
  <c r="AL64" i="1"/>
  <c r="AJ64" i="1"/>
  <c r="AI64" i="1"/>
  <c r="AH64" i="1"/>
  <c r="AF64" i="1"/>
  <c r="E64" i="1"/>
  <c r="A64" i="1"/>
  <c r="AN63" i="1"/>
  <c r="AM63" i="1"/>
  <c r="AL63" i="1"/>
  <c r="AJ63" i="1"/>
  <c r="AI63" i="1"/>
  <c r="AH63" i="1"/>
  <c r="AF63" i="1"/>
  <c r="E63" i="1"/>
  <c r="A63" i="1"/>
  <c r="AN62" i="1"/>
  <c r="AM62" i="1"/>
  <c r="AL62" i="1"/>
  <c r="AJ62" i="1"/>
  <c r="AI62" i="1"/>
  <c r="AH62" i="1"/>
  <c r="AF62" i="1"/>
  <c r="E62" i="1"/>
  <c r="A62" i="1"/>
  <c r="AN61" i="1"/>
  <c r="AM61" i="1"/>
  <c r="AL61" i="1"/>
  <c r="AJ61" i="1"/>
  <c r="AI61" i="1"/>
  <c r="AH61" i="1"/>
  <c r="AF61" i="1"/>
  <c r="E61" i="1"/>
  <c r="A61" i="1"/>
  <c r="AN60" i="1"/>
  <c r="AM60" i="1"/>
  <c r="AL60" i="1"/>
  <c r="AJ60" i="1"/>
  <c r="AI60" i="1"/>
  <c r="AH60" i="1"/>
  <c r="AF60" i="1"/>
  <c r="E60" i="1"/>
  <c r="A60" i="1"/>
  <c r="AN59" i="1"/>
  <c r="AM59" i="1"/>
  <c r="AL59" i="1"/>
  <c r="AJ59" i="1"/>
  <c r="AI59" i="1"/>
  <c r="AH59" i="1"/>
  <c r="AF59" i="1"/>
  <c r="E59" i="1"/>
  <c r="A59" i="1"/>
  <c r="AN58" i="1"/>
  <c r="AM58" i="1"/>
  <c r="AL58" i="1"/>
  <c r="AJ58" i="1"/>
  <c r="AI58" i="1"/>
  <c r="AH58" i="1"/>
  <c r="AF58" i="1"/>
  <c r="E58" i="1"/>
  <c r="A58" i="1"/>
  <c r="AN57" i="1"/>
  <c r="AM57" i="1"/>
  <c r="AL57" i="1"/>
  <c r="AJ57" i="1"/>
  <c r="AI57" i="1"/>
  <c r="AH57" i="1"/>
  <c r="AF57" i="1"/>
  <c r="E57" i="1"/>
  <c r="A57" i="1"/>
  <c r="AN56" i="1"/>
  <c r="AM56" i="1"/>
  <c r="AL56" i="1"/>
  <c r="AJ56" i="1"/>
  <c r="AI56" i="1"/>
  <c r="AH56" i="1"/>
  <c r="AF56" i="1"/>
  <c r="E56" i="1"/>
  <c r="A56" i="1"/>
  <c r="AN55" i="1"/>
  <c r="AM55" i="1"/>
  <c r="AL55" i="1"/>
  <c r="AJ55" i="1"/>
  <c r="AI55" i="1"/>
  <c r="AH55" i="1"/>
  <c r="AF55" i="1"/>
  <c r="E55" i="1"/>
  <c r="A55" i="1"/>
  <c r="AN54" i="1"/>
  <c r="AM54" i="1"/>
  <c r="AL54" i="1"/>
  <c r="AJ54" i="1"/>
  <c r="AI54" i="1"/>
  <c r="AH54" i="1"/>
  <c r="AF54" i="1"/>
  <c r="E54" i="1"/>
  <c r="A54" i="1"/>
  <c r="AN53" i="1"/>
  <c r="AM53" i="1"/>
  <c r="AL53" i="1"/>
  <c r="AJ53" i="1"/>
  <c r="AI53" i="1"/>
  <c r="AH53" i="1"/>
  <c r="AF53" i="1"/>
  <c r="E53" i="1"/>
  <c r="A53" i="1"/>
  <c r="AN52" i="1"/>
  <c r="AM52" i="1"/>
  <c r="AL52" i="1"/>
  <c r="AJ52" i="1"/>
  <c r="AI52" i="1"/>
  <c r="AH52" i="1"/>
  <c r="AF52" i="1"/>
  <c r="E52" i="1"/>
  <c r="A52" i="1"/>
  <c r="AN50" i="1"/>
  <c r="AM50" i="1"/>
  <c r="AL50" i="1"/>
  <c r="AJ50" i="1"/>
  <c r="AI50" i="1"/>
  <c r="AH50" i="1"/>
  <c r="AF50" i="1"/>
  <c r="E50" i="1"/>
  <c r="A50" i="1"/>
  <c r="AN49" i="1"/>
  <c r="AM49" i="1"/>
  <c r="AL49" i="1"/>
  <c r="AJ49" i="1"/>
  <c r="AI49" i="1"/>
  <c r="AH49" i="1"/>
  <c r="AF49" i="1"/>
  <c r="E49" i="1"/>
  <c r="A49" i="1"/>
  <c r="AN48" i="1"/>
  <c r="AM48" i="1"/>
  <c r="AL48" i="1"/>
  <c r="AJ48" i="1"/>
  <c r="AI48" i="1"/>
  <c r="AH48" i="1"/>
  <c r="AF48" i="1"/>
  <c r="E48" i="1"/>
  <c r="A48" i="1"/>
  <c r="AN47" i="1"/>
  <c r="AM47" i="1"/>
  <c r="AL47" i="1"/>
  <c r="AJ47" i="1"/>
  <c r="AI47" i="1"/>
  <c r="AH47" i="1"/>
  <c r="AF47" i="1"/>
  <c r="E47" i="1"/>
  <c r="A47" i="1"/>
  <c r="AN46" i="1"/>
  <c r="AM46" i="1"/>
  <c r="AL46" i="1"/>
  <c r="AJ46" i="1"/>
  <c r="AI46" i="1"/>
  <c r="AH46" i="1"/>
  <c r="AF46" i="1"/>
  <c r="E46" i="1"/>
  <c r="A46" i="1"/>
  <c r="AN45" i="1"/>
  <c r="AM45" i="1"/>
  <c r="AL45" i="1"/>
  <c r="AJ45" i="1"/>
  <c r="AI45" i="1"/>
  <c r="AH45" i="1"/>
  <c r="AF45" i="1"/>
  <c r="E45" i="1"/>
  <c r="A45" i="1"/>
  <c r="AN44" i="1"/>
  <c r="AM44" i="1"/>
  <c r="AL44" i="1"/>
  <c r="AJ44" i="1"/>
  <c r="AI44" i="1"/>
  <c r="AH44" i="1"/>
  <c r="AF44" i="1"/>
  <c r="E44" i="1"/>
  <c r="A44" i="1"/>
  <c r="AN43" i="1"/>
  <c r="AM43" i="1"/>
  <c r="AL43" i="1"/>
  <c r="AJ43" i="1"/>
  <c r="AI43" i="1"/>
  <c r="AH43" i="1"/>
  <c r="AF43" i="1"/>
  <c r="E43" i="1"/>
  <c r="AN42" i="1"/>
  <c r="AM42" i="1"/>
  <c r="AL42" i="1"/>
  <c r="AJ42" i="1"/>
  <c r="AI42" i="1"/>
  <c r="AH42" i="1"/>
  <c r="AF42" i="1"/>
  <c r="E42" i="1"/>
  <c r="A42" i="1"/>
  <c r="AN41" i="1"/>
  <c r="AM41" i="1"/>
  <c r="AL41" i="1"/>
  <c r="AJ41" i="1"/>
  <c r="AI41" i="1"/>
  <c r="AH41" i="1"/>
  <c r="AF41" i="1"/>
  <c r="E41" i="1"/>
  <c r="A41" i="1"/>
  <c r="AN40" i="1"/>
  <c r="AM40" i="1"/>
  <c r="AL40" i="1"/>
  <c r="AJ40" i="1"/>
  <c r="AI40" i="1"/>
  <c r="AH40" i="1"/>
  <c r="AF40" i="1"/>
  <c r="E40" i="1"/>
  <c r="A40" i="1"/>
  <c r="AN38" i="1"/>
  <c r="AM38" i="1"/>
  <c r="AL38" i="1"/>
  <c r="AJ38" i="1"/>
  <c r="AI38" i="1"/>
  <c r="AH38" i="1"/>
  <c r="AF38" i="1"/>
  <c r="E38" i="1"/>
  <c r="A38" i="1"/>
  <c r="AN36" i="1"/>
  <c r="AM36" i="1"/>
  <c r="AL36" i="1"/>
  <c r="AJ36" i="1"/>
  <c r="AI36" i="1"/>
  <c r="AH36" i="1"/>
  <c r="AF36" i="1"/>
  <c r="E36" i="1"/>
  <c r="A36" i="1"/>
  <c r="AN34" i="1"/>
  <c r="AM34" i="1"/>
  <c r="AL34" i="1"/>
  <c r="AJ34" i="1"/>
  <c r="AI34" i="1"/>
  <c r="AH34" i="1"/>
  <c r="AF34" i="1"/>
  <c r="E34" i="1"/>
  <c r="A34" i="1"/>
  <c r="AN33" i="1"/>
  <c r="AM33" i="1"/>
  <c r="AL33" i="1"/>
  <c r="AJ33" i="1"/>
  <c r="AI33" i="1"/>
  <c r="AH33" i="1"/>
  <c r="AF33" i="1"/>
  <c r="E33" i="1"/>
  <c r="A33" i="1"/>
  <c r="AN32" i="1"/>
  <c r="AM32" i="1"/>
  <c r="AL32" i="1"/>
  <c r="AJ32" i="1"/>
  <c r="AI32" i="1"/>
  <c r="AH32" i="1"/>
  <c r="AF32" i="1"/>
  <c r="E32" i="1"/>
  <c r="A32" i="1"/>
  <c r="AN31" i="1"/>
  <c r="AM31" i="1"/>
  <c r="AL31" i="1"/>
  <c r="AJ31" i="1"/>
  <c r="AI31" i="1"/>
  <c r="AH31" i="1"/>
  <c r="AF31" i="1"/>
  <c r="E31" i="1"/>
  <c r="A31" i="1"/>
  <c r="AN30" i="1"/>
  <c r="AM30" i="1"/>
  <c r="AL30" i="1"/>
  <c r="AJ30" i="1"/>
  <c r="AI30" i="1"/>
  <c r="AH30" i="1"/>
  <c r="AF30" i="1"/>
  <c r="E30" i="1"/>
  <c r="A30" i="1"/>
  <c r="AN29" i="1"/>
  <c r="AM29" i="1"/>
  <c r="AL29" i="1"/>
  <c r="AJ29" i="1"/>
  <c r="AI29" i="1"/>
  <c r="AH29" i="1"/>
  <c r="AF29" i="1"/>
  <c r="E29" i="1"/>
  <c r="A29" i="1"/>
  <c r="AN27" i="1"/>
  <c r="AM27" i="1"/>
  <c r="AL27" i="1"/>
  <c r="AJ27" i="1"/>
  <c r="AI27" i="1"/>
  <c r="AH27" i="1"/>
  <c r="AF27" i="1"/>
  <c r="E27" i="1"/>
  <c r="A27" i="1"/>
  <c r="AN25" i="1"/>
  <c r="AM25" i="1"/>
  <c r="AL25" i="1"/>
  <c r="AJ25" i="1"/>
  <c r="AI25" i="1"/>
  <c r="AH25" i="1"/>
  <c r="AF25" i="1"/>
  <c r="E25" i="1"/>
  <c r="A25" i="1"/>
  <c r="AN24" i="1"/>
  <c r="AM24" i="1"/>
  <c r="AL24" i="1"/>
  <c r="AJ24" i="1"/>
  <c r="AI24" i="1"/>
  <c r="AH24" i="1"/>
  <c r="AF24" i="1"/>
  <c r="E24" i="1"/>
  <c r="A24" i="1"/>
  <c r="AN23" i="1"/>
  <c r="AM23" i="1"/>
  <c r="AL23" i="1"/>
  <c r="AJ23" i="1"/>
  <c r="AI23" i="1"/>
  <c r="AH23" i="1"/>
  <c r="AF23" i="1"/>
  <c r="E23" i="1"/>
  <c r="A23" i="1"/>
  <c r="AN20" i="1"/>
  <c r="AM20" i="1"/>
  <c r="AL20" i="1"/>
  <c r="AJ20" i="1"/>
  <c r="AI20" i="1"/>
  <c r="AH20" i="1"/>
  <c r="AF20" i="1"/>
  <c r="E20" i="1"/>
  <c r="A20" i="1"/>
  <c r="AN19" i="1"/>
  <c r="AM19" i="1"/>
  <c r="AL19" i="1"/>
  <c r="AJ19" i="1"/>
  <c r="AI19" i="1"/>
  <c r="AH19" i="1"/>
  <c r="AF19" i="1"/>
  <c r="E19" i="1"/>
  <c r="A19" i="1"/>
  <c r="AN18" i="1"/>
  <c r="AM18" i="1"/>
  <c r="AL18" i="1"/>
  <c r="AJ18" i="1"/>
  <c r="AI18" i="1"/>
  <c r="AH18" i="1"/>
  <c r="AF18" i="1"/>
  <c r="E18" i="1"/>
  <c r="A18" i="1"/>
  <c r="AN16" i="1"/>
  <c r="AM16" i="1"/>
  <c r="AL16" i="1"/>
  <c r="AJ16" i="1"/>
  <c r="AI16" i="1"/>
  <c r="AH16" i="1"/>
  <c r="AF16" i="1"/>
  <c r="E16" i="1"/>
  <c r="A16" i="1"/>
  <c r="AN15" i="1"/>
  <c r="AM15" i="1"/>
  <c r="AL15" i="1"/>
  <c r="AJ15" i="1"/>
  <c r="AI15" i="1"/>
  <c r="AH15" i="1"/>
  <c r="AF15" i="1"/>
  <c r="E15" i="1"/>
  <c r="A15" i="1"/>
  <c r="AN14" i="1"/>
  <c r="AM14" i="1"/>
  <c r="AL14" i="1"/>
  <c r="AJ14" i="1"/>
  <c r="AI14" i="1"/>
  <c r="AH14" i="1"/>
  <c r="AF14" i="1"/>
  <c r="E14" i="1"/>
  <c r="A14" i="1"/>
  <c r="AN12" i="1"/>
  <c r="AM12" i="1"/>
  <c r="AL12" i="1"/>
  <c r="AJ12" i="1"/>
  <c r="AI12" i="1"/>
  <c r="AH12" i="1"/>
  <c r="AF12" i="1"/>
  <c r="E12" i="1"/>
  <c r="A12" i="1"/>
  <c r="AN11" i="1"/>
  <c r="AM11" i="1"/>
  <c r="AL11" i="1"/>
  <c r="AJ11" i="1"/>
  <c r="AI11" i="1"/>
  <c r="AH11" i="1"/>
  <c r="AF11" i="1"/>
  <c r="E11" i="1"/>
  <c r="A11" i="1"/>
  <c r="AN10" i="1"/>
  <c r="AM10" i="1"/>
  <c r="AL10" i="1"/>
  <c r="AJ10" i="1"/>
  <c r="AI10" i="1"/>
  <c r="AH10" i="1"/>
  <c r="AF10" i="1"/>
  <c r="E10" i="1"/>
  <c r="A10" i="1"/>
  <c r="AN8" i="1"/>
  <c r="AM8" i="1"/>
  <c r="AL8" i="1"/>
  <c r="AJ8" i="1"/>
  <c r="AI8" i="1"/>
  <c r="AH8" i="1"/>
  <c r="AF8" i="1"/>
  <c r="E8" i="1"/>
  <c r="A8" i="1"/>
  <c r="AN7" i="1"/>
  <c r="AM7" i="1"/>
  <c r="AL7" i="1"/>
  <c r="AJ7" i="1"/>
  <c r="AI7" i="1"/>
  <c r="AH7" i="1"/>
  <c r="AF7" i="1"/>
  <c r="E7" i="1"/>
  <c r="A7" i="1"/>
  <c r="E5" i="1"/>
  <c r="AL5" i="1"/>
  <c r="AM5" i="1"/>
  <c r="AN5" i="1"/>
  <c r="AJ5" i="1"/>
  <c r="A2" i="1"/>
  <c r="AI2" i="1"/>
  <c r="AN2" i="1"/>
  <c r="AL2" i="1"/>
  <c r="AM2" i="1"/>
  <c r="AH2" i="1"/>
  <c r="AJ2" i="1"/>
  <c r="AB1" i="3" s="1" a="1"/>
  <c r="AB1" i="3" s="1"/>
  <c r="AF2" i="1"/>
  <c r="A5" i="1"/>
  <c r="E2" i="10" l="1" a="1"/>
  <c r="E2" i="10" s="1"/>
  <c r="E2" i="12" a="1"/>
  <c r="E2" i="12" s="1"/>
  <c r="E2" i="11" a="1"/>
  <c r="E2" i="11" s="1"/>
  <c r="G2" i="12" a="1"/>
  <c r="G2" i="12" s="1"/>
  <c r="G2" i="10" a="1"/>
  <c r="G2" i="10" s="1"/>
  <c r="I2" i="12" a="1"/>
  <c r="I2" i="12" s="1"/>
  <c r="I2" i="10" a="1"/>
  <c r="I2" i="10" s="1"/>
  <c r="I2" i="11" a="1"/>
  <c r="I2" i="11" s="1"/>
  <c r="G2" i="11" a="1"/>
  <c r="G2" i="11" s="1"/>
  <c r="H2" i="10" a="1"/>
  <c r="H2" i="10" s="1"/>
  <c r="H2" i="12" a="1"/>
  <c r="H2" i="12" s="1"/>
  <c r="H2" i="11" a="1"/>
  <c r="H2" i="11" s="1"/>
  <c r="AC5" i="3"/>
  <c r="A27" i="3" s="1" a="1"/>
  <c r="A27" i="3" s="1"/>
  <c r="J47" i="3" a="1"/>
  <c r="J47" i="3" s="1"/>
  <c r="P41" i="3"/>
  <c r="P40" i="3"/>
  <c r="P39" i="3"/>
  <c r="P21" i="3"/>
  <c r="P20" i="3"/>
  <c r="P19" i="3"/>
  <c r="P18" i="3"/>
  <c r="P17" i="3"/>
  <c r="O41" i="3"/>
  <c r="O40" i="3"/>
  <c r="O39" i="3"/>
  <c r="O21" i="3"/>
  <c r="O20" i="3"/>
  <c r="O19" i="3"/>
  <c r="O18" i="3"/>
  <c r="O17" i="3"/>
  <c r="N41" i="3"/>
  <c r="N40" i="3"/>
  <c r="N39" i="3"/>
  <c r="N21" i="3"/>
  <c r="N20" i="3"/>
  <c r="N19" i="3"/>
  <c r="N18" i="3"/>
  <c r="N17" i="3"/>
  <c r="M41" i="3"/>
  <c r="M40" i="3"/>
  <c r="M39" i="3"/>
  <c r="P43" i="3"/>
  <c r="O43" i="3"/>
  <c r="N43" i="3"/>
  <c r="M43" i="3"/>
  <c r="L43" i="3"/>
  <c r="K43" i="3"/>
  <c r="P42" i="3"/>
  <c r="O42" i="3"/>
  <c r="N42" i="3"/>
  <c r="M42" i="3"/>
  <c r="L42" i="3"/>
  <c r="K42" i="3"/>
  <c r="L41" i="3"/>
  <c r="K41" i="3"/>
  <c r="L40" i="3"/>
  <c r="K40" i="3"/>
  <c r="L39" i="3"/>
  <c r="K39" i="3"/>
  <c r="L21" i="3"/>
  <c r="L20" i="3"/>
  <c r="L19" i="3"/>
  <c r="L18" i="3"/>
  <c r="L17" i="3"/>
  <c r="M21" i="3"/>
  <c r="K21" i="3"/>
  <c r="M20" i="3"/>
  <c r="K20" i="3"/>
  <c r="M19" i="3"/>
  <c r="K19" i="3"/>
  <c r="M18" i="3"/>
  <c r="K18" i="3"/>
  <c r="M17" i="3"/>
  <c r="K17" i="3"/>
  <c r="I43" i="1"/>
  <c r="I44" i="1" s="1"/>
  <c r="I45" i="1" s="1"/>
  <c r="I46" i="1" s="1"/>
  <c r="I47" i="1" s="1"/>
  <c r="I51" i="1"/>
  <c r="I52" i="1" s="1"/>
  <c r="I112" i="1"/>
  <c r="I113" i="1" s="1"/>
  <c r="I513" i="1"/>
  <c r="I514" i="1" s="1"/>
  <c r="I515" i="1" s="1"/>
  <c r="I516" i="1" s="1"/>
  <c r="I517" i="1" s="1"/>
  <c r="I518" i="1" s="1"/>
  <c r="I519" i="1" s="1"/>
  <c r="I520" i="1" s="1"/>
  <c r="I521" i="1" s="1"/>
  <c r="I522" i="1" s="1"/>
  <c r="I523" i="1" s="1"/>
  <c r="I524" i="1" s="1"/>
  <c r="I525" i="1" s="1"/>
  <c r="I526" i="1" s="1"/>
  <c r="I527" i="1" s="1"/>
  <c r="I528" i="1" s="1"/>
  <c r="I295" i="1"/>
  <c r="I296" i="1" s="1"/>
  <c r="I297" i="1" s="1"/>
  <c r="I77" i="1"/>
  <c r="I78" i="1" s="1"/>
  <c r="I318" i="1"/>
  <c r="I53" i="1" l="1"/>
  <c r="I54" i="1" s="1"/>
  <c r="I55" i="1" s="1"/>
  <c r="I56" i="1" s="1"/>
  <c r="I57" i="1" s="1"/>
  <c r="I319" i="1"/>
  <c r="I320" i="1" s="1"/>
  <c r="I321" i="1" s="1"/>
  <c r="I322" i="1" s="1"/>
  <c r="I323" i="1" s="1"/>
  <c r="I324" i="1" s="1"/>
  <c r="I325" i="1" s="1"/>
  <c r="I326" i="1" s="1"/>
  <c r="I327" i="1" s="1"/>
  <c r="I328" i="1" s="1"/>
  <c r="I329" i="1" s="1"/>
  <c r="I330" i="1" s="1"/>
  <c r="I331" i="1" s="1"/>
  <c r="I332" i="1" s="1"/>
  <c r="I333" i="1" s="1"/>
  <c r="I334" i="1" s="1"/>
  <c r="I335" i="1" s="1"/>
  <c r="I336" i="1" s="1"/>
  <c r="I337" i="1" s="1"/>
  <c r="I79" i="1"/>
  <c r="I114" i="1"/>
  <c r="I115" i="1" s="1"/>
  <c r="I116" i="1" s="1"/>
  <c r="I117" i="1" s="1"/>
  <c r="I118" i="1" s="1"/>
  <c r="I119" i="1" s="1"/>
  <c r="I120" i="1" s="1"/>
  <c r="I497" i="1"/>
  <c r="I498" i="1" s="1"/>
  <c r="I499" i="1" s="1"/>
  <c r="I500" i="1" s="1"/>
  <c r="I501" i="1" s="1"/>
  <c r="I502" i="1" s="1"/>
  <c r="I503" i="1" s="1"/>
  <c r="I504" i="1" s="1"/>
  <c r="I80" i="1" l="1"/>
  <c r="I81" i="1" s="1"/>
  <c r="I82" i="1" s="1"/>
  <c r="I121" i="1"/>
  <c r="I122" i="1" s="1"/>
  <c r="I123" i="1" s="1"/>
  <c r="I124" i="1" s="1"/>
  <c r="I125" i="1" s="1"/>
  <c r="I126" i="1" s="1"/>
  <c r="I127" i="1" s="1"/>
  <c r="I128" i="1" s="1"/>
  <c r="I129" i="1" s="1"/>
  <c r="I83" i="1"/>
  <c r="I338" i="1"/>
  <c r="I339" i="1" s="1"/>
  <c r="I340" i="1" s="1"/>
  <c r="I341" i="1" s="1"/>
  <c r="I342" i="1" s="1"/>
  <c r="I343" i="1" s="1"/>
  <c r="I344" i="1" s="1"/>
  <c r="I345" i="1" s="1"/>
  <c r="I346" i="1" s="1"/>
  <c r="I347" i="1" s="1"/>
  <c r="I348" i="1" s="1"/>
  <c r="I349" i="1" s="1"/>
  <c r="I350" i="1" s="1"/>
  <c r="I351" i="1" s="1"/>
  <c r="I352" i="1" s="1"/>
  <c r="I353" i="1" s="1"/>
  <c r="I354" i="1" s="1"/>
  <c r="I355" i="1" s="1"/>
  <c r="I84" i="1" l="1"/>
  <c r="I85" i="1"/>
  <c r="I130" i="1"/>
  <c r="I131" i="1" s="1"/>
  <c r="I132" i="1" s="1"/>
  <c r="I86" i="1" l="1"/>
  <c r="I87" i="1" s="1"/>
  <c r="I133" i="1"/>
  <c r="I134" i="1" s="1"/>
  <c r="I135" i="1" s="1"/>
  <c r="I136" i="1" l="1"/>
  <c r="I137" i="1" s="1"/>
  <c r="I138" i="1" s="1"/>
  <c r="I139" i="1" s="1"/>
  <c r="I140" i="1" l="1"/>
  <c r="I141" i="1" s="1"/>
  <c r="I142" i="1" s="1"/>
  <c r="I143" i="1" s="1"/>
  <c r="I144" i="1" s="1"/>
  <c r="I145" i="1" s="1"/>
  <c r="I146" i="1" s="1"/>
  <c r="I147" i="1" s="1"/>
  <c r="I148" i="1" s="1"/>
  <c r="I149" i="1" l="1"/>
  <c r="I150" i="1" s="1"/>
  <c r="I151" i="1" s="1"/>
  <c r="I152" i="1" s="1"/>
  <c r="I153" i="1" s="1"/>
  <c r="I154" i="1" s="1"/>
  <c r="I155" i="1" s="1"/>
  <c r="I157" i="1" l="1"/>
  <c r="I158" i="1"/>
  <c r="I159" i="1" s="1"/>
  <c r="I160" i="1" s="1"/>
  <c r="I161" i="1" l="1"/>
  <c r="I162" i="1" s="1"/>
  <c r="I163" i="1" s="1"/>
  <c r="I164" i="1" s="1"/>
  <c r="I165" i="1" s="1"/>
  <c r="I166" i="1" s="1"/>
  <c r="I167" i="1"/>
  <c r="I168" i="1" s="1"/>
  <c r="I169" i="1" l="1"/>
  <c r="I170" i="1" s="1"/>
  <c r="I171" i="1" s="1"/>
  <c r="I172" i="1" s="1"/>
  <c r="I173" i="1" l="1"/>
  <c r="I174" i="1" s="1"/>
  <c r="I175" i="1" l="1"/>
  <c r="I176" i="1" s="1"/>
  <c r="I177" i="1" s="1"/>
  <c r="I178" i="1" s="1"/>
  <c r="I179" i="1" s="1"/>
  <c r="I180" i="1" l="1"/>
  <c r="I181" i="1" s="1"/>
  <c r="I182" i="1" s="1"/>
  <c r="I183" i="1" l="1"/>
  <c r="I184" i="1" s="1"/>
  <c r="I185" i="1" s="1"/>
  <c r="I186" i="1" s="1"/>
  <c r="I187" i="1" s="1"/>
  <c r="I188" i="1" s="1"/>
  <c r="I189" i="1" s="1"/>
  <c r="I19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tc={038B9598-EF25-4336-8823-FF9C37EABB86}</author>
    <author>tc={A6E79C5F-96FB-48BC-8AAD-6E89DA5133CB}</author>
    <author>tc={D082B4C3-E9E6-4A05-A21B-7036352DB566}</author>
  </authors>
  <commentList>
    <comment ref="F10" authorId="0" shapeId="0" xr:uid="{038B9598-EF25-4336-8823-FF9C37EABB86}">
      <text>
        <t>[Threaded comment]
Your version of Excel allows you to read this threaded comment; however, any edits to it will get removed if the file is opened in a newer version of Excel. Learn more: https://go.microsoft.com/fwlink/?linkid=870924
Comment:
    LOST BY (HCM &amp; HN)
• LAP0088 — Ivan (Ivan)
• LAP0089 — Ali Mustafa (alim)</t>
      </text>
    </comment>
    <comment ref="G10" authorId="1" shapeId="0" xr:uid="{A6E79C5F-96FB-48BC-8AAD-6E89DA5133CB}">
      <text>
        <t>[Threaded comment]
Your version of Excel allows you to read this threaded comment; however, any edits to it will get removed if the file is opened in a newer version of Excel. Learn more: https://go.microsoft.com/fwlink/?linkid=870924
Comment:
    SOLD TO (HCM &amp; HN)
• LAP0069 — Kiết Văn (vank)
• LAP0076 — Gary Robert Charles Mckinnon (garym)</t>
      </text>
    </comment>
    <comment ref="H10" authorId="2" shapeId="0" xr:uid="{D082B4C3-E9E6-4A05-A21B-7036352DB566}">
      <text>
        <t>[Threaded comment]
Your version of Excel allows you to read this threaded comment; however, any edits to it will get removed if the file is opened in a newer version of Excel. Learn more: https://go.microsoft.com/fwlink/?linkid=870924
Comment:
    UNDER WARRANTY (HCM &amp; HN)
• LAP0091 — Unassigned — HCM
• LAP0110 — Unassigned — HCM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<sst xmlns="http://schemas.openxmlformats.org/spreadsheetml/2006/main" count="7140" uniqueCount="1592">
  <si>
    <t>VSOL IT ASSET MANAGEMENT DASHBOARD</t>
  </si>
  <si>
    <t>ASSET OVERVIEW (HCM &amp; HN)</t>
  </si>
  <si>
    <t>Total Devices</t>
  </si>
  <si>
    <t>In Use</t>
  </si>
  <si>
    <t>In Stock</t>
  </si>
  <si>
    <t>Damaged</t>
  </si>
  <si>
    <t>Lost</t>
  </si>
  <si>
    <t>Sold</t>
  </si>
  <si>
    <t>DEVICES BY TYPE (HCM &amp; HN)</t>
  </si>
  <si>
    <t>DEVICES BY LOCATION</t>
  </si>
  <si>
    <t>Device Type</t>
  </si>
  <si>
    <t>Quantity</t>
  </si>
  <si>
    <t>Warranty</t>
  </si>
  <si>
    <t>Location</t>
  </si>
  <si>
    <t>LAPTOP</t>
  </si>
  <si>
    <t>HCM</t>
  </si>
  <si>
    <t>MONITOR</t>
  </si>
  <si>
    <t>HN</t>
  </si>
  <si>
    <t>MOUSE</t>
  </si>
  <si>
    <t>TOTAL</t>
  </si>
  <si>
    <t>IPAD</t>
  </si>
  <si>
    <t>SMARTPHONE</t>
  </si>
  <si>
    <t>CABLE</t>
  </si>
  <si>
    <t>DEVICES BY BUSINESS UNIT (HCM &amp; HN)</t>
  </si>
  <si>
    <t>SSD</t>
  </si>
  <si>
    <t>Business Unit</t>
  </si>
  <si>
    <t>RAM</t>
  </si>
  <si>
    <t>Project</t>
  </si>
  <si>
    <t>CPU</t>
  </si>
  <si>
    <t>BO</t>
  </si>
  <si>
    <t>ROUTER</t>
  </si>
  <si>
    <t>CTD</t>
  </si>
  <si>
    <t>PRINTER</t>
  </si>
  <si>
    <t>AM</t>
  </si>
  <si>
    <t>SPEAKER</t>
  </si>
  <si>
    <t>Undirect IT Staff</t>
  </si>
  <si>
    <t>EMPLOYEE ASSET LOOKUP (HCM &amp; HN)</t>
  </si>
  <si>
    <t>LAPTOP DETAILS BY CHIP &amp; STORAGE (HCM &amp; HN)</t>
  </si>
  <si>
    <t>Select Employee:</t>
  </si>
  <si>
    <t>Phạm Thị Trúc Linh</t>
  </si>
  <si>
    <t>By Chip</t>
  </si>
  <si>
    <t>Chip</t>
  </si>
  <si>
    <t>Old Label</t>
  </si>
  <si>
    <t>Label</t>
  </si>
  <si>
    <t>Type</t>
  </si>
  <si>
    <t>Description</t>
  </si>
  <si>
    <t>Serial Number</t>
  </si>
  <si>
    <t>Status</t>
  </si>
  <si>
    <t>M1</t>
  </si>
  <si>
    <t>M2</t>
  </si>
  <si>
    <t>M3</t>
  </si>
  <si>
    <t>M4</t>
  </si>
  <si>
    <t>i5</t>
  </si>
  <si>
    <t>i7</t>
  </si>
  <si>
    <t>By Storage</t>
  </si>
  <si>
    <t>Storage</t>
  </si>
  <si>
    <t>256GB</t>
  </si>
  <si>
    <t>512GB</t>
  </si>
  <si>
    <t>1TB</t>
  </si>
  <si>
    <t>By Business Unit</t>
  </si>
  <si>
    <t>Employee</t>
  </si>
  <si>
    <t>No</t>
  </si>
  <si>
    <t>Device Name</t>
  </si>
  <si>
    <t>Condition</t>
  </si>
  <si>
    <t>Job Family</t>
  </si>
  <si>
    <t>Brand</t>
  </si>
  <si>
    <t>Intune</t>
  </si>
  <si>
    <t>License
Win 11 Pro</t>
  </si>
  <si>
    <t>SN</t>
  </si>
  <si>
    <t>Purchase date</t>
  </si>
  <si>
    <t>Vendor</t>
  </si>
  <si>
    <t xml:space="preserve">Price </t>
  </si>
  <si>
    <t>Invoice Number</t>
  </si>
  <si>
    <t>Retrieval Date</t>
  </si>
  <si>
    <t>Retrieval Reason</t>
  </si>
  <si>
    <t>Retriever Name</t>
  </si>
  <si>
    <t>Retriever ID</t>
  </si>
  <si>
    <t>Retriever Job Tiitle</t>
  </si>
  <si>
    <t>Retriever Dept</t>
  </si>
  <si>
    <t>Returner Name</t>
  </si>
  <si>
    <t>Returner ID</t>
  </si>
  <si>
    <t>Returner Job Tittle</t>
  </si>
  <si>
    <t>Returner Dept</t>
  </si>
  <si>
    <t>Handover Date</t>
  </si>
  <si>
    <t>Handover Staff</t>
  </si>
  <si>
    <t>Handover Staff ID</t>
  </si>
  <si>
    <t>Handover Staff Job Tiitle</t>
  </si>
  <si>
    <t>Handover Staff Dept</t>
  </si>
  <si>
    <t>Employee Name</t>
  </si>
  <si>
    <t>Employee ID</t>
  </si>
  <si>
    <t>Employee Job Tittle</t>
  </si>
  <si>
    <t>Employee Dept</t>
  </si>
  <si>
    <t>Line Manager</t>
  </si>
  <si>
    <t>Repair Date</t>
  </si>
  <si>
    <t>Repair Details</t>
  </si>
  <si>
    <t>Note</t>
  </si>
  <si>
    <t>Note 2</t>
  </si>
  <si>
    <t>Form No.</t>
  </si>
  <si>
    <t>LAP0001</t>
  </si>
  <si>
    <t>Apple</t>
  </si>
  <si>
    <t>Macbook Pro M2 16GB | 256GB</t>
  </si>
  <si>
    <t>GVXHT9W54J</t>
  </si>
  <si>
    <t>VNG</t>
  </si>
  <si>
    <t>khainv</t>
  </si>
  <si>
    <t>thaibq</t>
  </si>
  <si>
    <t>MON16273</t>
  </si>
  <si>
    <t>MON0001</t>
  </si>
  <si>
    <t>Dell</t>
  </si>
  <si>
    <t>Dell P2425H 24 inches</t>
  </si>
  <si>
    <t>331PK34</t>
  </si>
  <si>
    <t>MOU0001</t>
  </si>
  <si>
    <t>Logitech</t>
  </si>
  <si>
    <t>Logitech M221</t>
  </si>
  <si>
    <t>2333LZXLJNF8</t>
  </si>
  <si>
    <t>LAP0002</t>
  </si>
  <si>
    <t>Lenovo</t>
  </si>
  <si>
    <t>Lenovo Thinkpad X390 i5 16GB | 256GB</t>
  </si>
  <si>
    <t>PF1FUUQ0</t>
  </si>
  <si>
    <t>MOU0002</t>
  </si>
  <si>
    <t>IPL</t>
  </si>
  <si>
    <t>LAP0003</t>
  </si>
  <si>
    <t>Macbook Pro M1 16GB | 256GB</t>
  </si>
  <si>
    <t>FVFHW06QQ05N</t>
  </si>
  <si>
    <t>22/07/2022</t>
  </si>
  <si>
    <t>thinhln</t>
  </si>
  <si>
    <t>LAP0004</t>
  </si>
  <si>
    <t>C02HC0JVQ05N</t>
  </si>
  <si>
    <t>hieucc2</t>
  </si>
  <si>
    <t>MOU0003</t>
  </si>
  <si>
    <t>2333LZXH2X68</t>
  </si>
  <si>
    <t>LAP0005</t>
  </si>
  <si>
    <t>C02G12P8Q05N</t>
  </si>
  <si>
    <t>diemht</t>
  </si>
  <si>
    <t>LAP0006</t>
  </si>
  <si>
    <t>C02H70QTQ05N</t>
  </si>
  <si>
    <t>sangnnc</t>
  </si>
  <si>
    <t>LAP0007</t>
  </si>
  <si>
    <t>Lenovo ThinkPad X13 i5 16GB | 256GB</t>
  </si>
  <si>
    <t>PC1MHDDG</t>
  </si>
  <si>
    <t>MOU0004</t>
  </si>
  <si>
    <t>LAP0008</t>
  </si>
  <si>
    <t>Lenovo ThinkPad T14 i5 32GB | 256GB</t>
  </si>
  <si>
    <t>PF50YJSJ</t>
  </si>
  <si>
    <t>lent2</t>
  </si>
  <si>
    <t>MOU15343</t>
  </si>
  <si>
    <t>MOU0005</t>
  </si>
  <si>
    <t>2431ZEB6EG48</t>
  </si>
  <si>
    <t>bangp</t>
  </si>
  <si>
    <t>LAP0009</t>
  </si>
  <si>
    <t>PC1ZJRVM</t>
  </si>
  <si>
    <t>MOU15235</t>
  </si>
  <si>
    <t>MOU0006</t>
  </si>
  <si>
    <t>LAP0010</t>
  </si>
  <si>
    <t>Macbook Pro M2 16GB | 512GB</t>
  </si>
  <si>
    <t>DDJ4HW2P2C</t>
  </si>
  <si>
    <t>tungdx2</t>
  </si>
  <si>
    <t>MOU0007</t>
  </si>
  <si>
    <t>2212LZM7T1A8</t>
  </si>
  <si>
    <t>nguyenhq</t>
  </si>
  <si>
    <t>LAP0011</t>
  </si>
  <si>
    <t>Lenovo ThinkPad T490 i5 16GB | 256GB</t>
  </si>
  <si>
    <t>PF2B20VE</t>
  </si>
  <si>
    <t>phuonghn</t>
  </si>
  <si>
    <t>LAP0012</t>
  </si>
  <si>
    <t>Lenovo ThinkPad T14 i5 16GB | 256GB</t>
  </si>
  <si>
    <t>PF2GP2ZD</t>
  </si>
  <si>
    <t>Lỗi MainBoard +Màn Hình chớp</t>
  </si>
  <si>
    <t>MOU0008</t>
  </si>
  <si>
    <t>LAP0013</t>
  </si>
  <si>
    <t>FVFHQ8MMQ05N</t>
  </si>
  <si>
    <t>MOU15330</t>
  </si>
  <si>
    <t>MOU0009</t>
  </si>
  <si>
    <t>2345LZXET5L8</t>
  </si>
  <si>
    <t>quynhnlk</t>
  </si>
  <si>
    <t>LAP0014</t>
  </si>
  <si>
    <t>FVFHQ8TJQ05N</t>
  </si>
  <si>
    <t>LAP60663</t>
  </si>
  <si>
    <t>LAP0015</t>
  </si>
  <si>
    <t>PF2JY588</t>
  </si>
  <si>
    <t>LAP0016</t>
  </si>
  <si>
    <t>PC2CD0J9</t>
  </si>
  <si>
    <t>quyn</t>
  </si>
  <si>
    <t>LAP12712</t>
  </si>
  <si>
    <t>LAP0017</t>
  </si>
  <si>
    <t>Lenovo ThinkPad T480 i5 16GB | 256GB</t>
  </si>
  <si>
    <t>PF1GA0XV</t>
  </si>
  <si>
    <t>LAP0018</t>
  </si>
  <si>
    <t>PF2QD6RR</t>
  </si>
  <si>
    <t>LAP12473</t>
  </si>
  <si>
    <t>LAP0019</t>
  </si>
  <si>
    <t>Lenovo ThinkPad X280 i5 16GB | 256GB</t>
  </si>
  <si>
    <t>PC0X2880</t>
  </si>
  <si>
    <t>LAP0020</t>
  </si>
  <si>
    <t>PF2JY3VW</t>
  </si>
  <si>
    <t>Màn hình chớp</t>
  </si>
  <si>
    <t>anhnv5</t>
  </si>
  <si>
    <t>LAP0021</t>
  </si>
  <si>
    <t>WC021HQ1JJ</t>
  </si>
  <si>
    <t>kient</t>
  </si>
  <si>
    <t>LAP0022</t>
  </si>
  <si>
    <t>C02H70Q6Q05N</t>
  </si>
  <si>
    <t>LAP15806</t>
  </si>
  <si>
    <t>LAP0023</t>
  </si>
  <si>
    <t>PF3W4343</t>
  </si>
  <si>
    <t>MOU15039</t>
  </si>
  <si>
    <t>MOU0010</t>
  </si>
  <si>
    <t>namnh17</t>
  </si>
  <si>
    <t>LAP15265</t>
  </si>
  <si>
    <t>LAP0024</t>
  </si>
  <si>
    <t>PF3HLE92</t>
  </si>
  <si>
    <t>datvt10</t>
  </si>
  <si>
    <t>MOU0011</t>
  </si>
  <si>
    <t>233LZXHVM388</t>
  </si>
  <si>
    <t>MOU0012</t>
  </si>
  <si>
    <t>2332LZXB7YW8</t>
  </si>
  <si>
    <t>toantm3</t>
  </si>
  <si>
    <t>LAP0025</t>
  </si>
  <si>
    <t>PF2GNJE7</t>
  </si>
  <si>
    <t>MOU0013</t>
  </si>
  <si>
    <t>maitnn</t>
  </si>
  <si>
    <t>LAP0026</t>
  </si>
  <si>
    <t>PF4TGZ8E</t>
  </si>
  <si>
    <t>L4DQY59FQM</t>
  </si>
  <si>
    <t>hamtc</t>
  </si>
  <si>
    <t>PF50YGFJ</t>
  </si>
  <si>
    <t>quanhq</t>
  </si>
  <si>
    <t>Macbook Pro M3 16GB | 512GB</t>
  </si>
  <si>
    <t>C9VG4L2X6V</t>
  </si>
  <si>
    <t>Macbook Pro i5 16GB | 256GB</t>
  </si>
  <si>
    <t>FVFC31E9L414</t>
  </si>
  <si>
    <t>FVFHQ8Q1Q05N</t>
  </si>
  <si>
    <t>PF3HLEA1</t>
  </si>
  <si>
    <t>MOU0014</t>
  </si>
  <si>
    <t>2514AP37FJNB</t>
  </si>
  <si>
    <t>LAP0033</t>
  </si>
  <si>
    <t>PF24WRQA</t>
  </si>
  <si>
    <t>LAP16385</t>
  </si>
  <si>
    <t>PF50YBXD</t>
  </si>
  <si>
    <t>huybt</t>
  </si>
  <si>
    <t>C02GH244Q05N</t>
  </si>
  <si>
    <t>thanhth5</t>
  </si>
  <si>
    <t>PF50Z44H</t>
  </si>
  <si>
    <t>doandtt</t>
  </si>
  <si>
    <t>PC2CKMBD</t>
  </si>
  <si>
    <t>PF30QSZV</t>
  </si>
  <si>
    <t>Lenovo ThinkPad E14 i5 16GB | 256GB</t>
  </si>
  <si>
    <t>PF3SHFA1</t>
  </si>
  <si>
    <t>J34WGQ672R</t>
  </si>
  <si>
    <t>dangnh13</t>
  </si>
  <si>
    <t>PF2B1BG0</t>
  </si>
  <si>
    <t>khangvln</t>
  </si>
  <si>
    <t>MOU0015</t>
  </si>
  <si>
    <t>thaidt</t>
  </si>
  <si>
    <t>LAP0042</t>
  </si>
  <si>
    <t>FVFZN0NNL414</t>
  </si>
  <si>
    <t>PF3HMH7N</t>
  </si>
  <si>
    <t>trinhth</t>
  </si>
  <si>
    <t>C02G12MBQ05N</t>
  </si>
  <si>
    <t>bachnc</t>
  </si>
  <si>
    <t>PF2W96HB</t>
  </si>
  <si>
    <t>LAP15378</t>
  </si>
  <si>
    <t>PF3M70BL</t>
  </si>
  <si>
    <t>minhnn</t>
  </si>
  <si>
    <t>PF41B7MC</t>
  </si>
  <si>
    <t>LAP13524</t>
  </si>
  <si>
    <t>FVFC32J8L414</t>
  </si>
  <si>
    <t>LAP60809</t>
  </si>
  <si>
    <t>FVFHQ849Q05N</t>
  </si>
  <si>
    <t>tungnb</t>
  </si>
  <si>
    <t>PC1PQEFM</t>
  </si>
  <si>
    <t>PF50Z059</t>
  </si>
  <si>
    <t>dongtt</t>
  </si>
  <si>
    <t>PF2LR2H8</t>
  </si>
  <si>
    <t>DLJY37N2RR</t>
  </si>
  <si>
    <t>hoangnq3</t>
  </si>
  <si>
    <t>LAP16407</t>
  </si>
  <si>
    <t>LPXJ7NYKWN</t>
  </si>
  <si>
    <t>manhnd</t>
  </si>
  <si>
    <t>D067T37FMC</t>
  </si>
  <si>
    <t>LAP16182</t>
  </si>
  <si>
    <t>PF4TFPQ2</t>
  </si>
  <si>
    <t>PC2CD0J1</t>
  </si>
  <si>
    <t>PFASDZXC</t>
  </si>
  <si>
    <t>nhiennn</t>
  </si>
  <si>
    <t>hieuvt</t>
  </si>
  <si>
    <t>LAP14138</t>
  </si>
  <si>
    <t>PF24WRQX</t>
  </si>
  <si>
    <t>FTQ79J1GQ9</t>
  </si>
  <si>
    <t>duandn</t>
  </si>
  <si>
    <t>PF53HQ7G</t>
  </si>
  <si>
    <t>baonc3</t>
  </si>
  <si>
    <t>YQX1W3H610</t>
  </si>
  <si>
    <t>linhptt</t>
  </si>
  <si>
    <t>PF2CG3WP</t>
  </si>
  <si>
    <t>LAP16401</t>
  </si>
  <si>
    <t xml:space="preserve">G7YCYYXR70 </t>
  </si>
  <si>
    <t>thinhnhq</t>
  </si>
  <si>
    <t>PF50YJQX</t>
  </si>
  <si>
    <t>thynm</t>
  </si>
  <si>
    <t>PF3M4L8N</t>
  </si>
  <si>
    <t>LAP15381</t>
  </si>
  <si>
    <t>PF3M7ZFN</t>
  </si>
  <si>
    <t>PF2CF7TN</t>
  </si>
  <si>
    <t>trungnv</t>
  </si>
  <si>
    <t>PF3HMEV9</t>
  </si>
  <si>
    <t>vank</t>
  </si>
  <si>
    <t>LAP13005</t>
  </si>
  <si>
    <t>PF1NEMT7</t>
  </si>
  <si>
    <t>Spec yếu I5 - Pin rời</t>
  </si>
  <si>
    <t>MOU0016</t>
  </si>
  <si>
    <t>2332LZX94R48</t>
  </si>
  <si>
    <t>MOU0017</t>
  </si>
  <si>
    <t>2332LZXLK218</t>
  </si>
  <si>
    <t>MOU0018</t>
  </si>
  <si>
    <t>2333LZXHUUK8</t>
  </si>
  <si>
    <t>MOU0019</t>
  </si>
  <si>
    <t>2431ZE06EFD8</t>
  </si>
  <si>
    <t>trucnlt</t>
  </si>
  <si>
    <t>MOU0020</t>
  </si>
  <si>
    <t>2333LZXLJGR8</t>
  </si>
  <si>
    <t>anhlqv</t>
  </si>
  <si>
    <t>MOU0021</t>
  </si>
  <si>
    <t>2445ZEW5H0K8</t>
  </si>
  <si>
    <t>MOU0022</t>
  </si>
  <si>
    <t>2333LZXLJZ7S</t>
  </si>
  <si>
    <t>MOU0023</t>
  </si>
  <si>
    <t>2333LZXLJ858</t>
  </si>
  <si>
    <t>MOU0024</t>
  </si>
  <si>
    <t>2417LZX3HCX8</t>
  </si>
  <si>
    <t>vandh</t>
  </si>
  <si>
    <t>MOU0025</t>
  </si>
  <si>
    <t>2333LZXFST08</t>
  </si>
  <si>
    <t>MOU0026</t>
  </si>
  <si>
    <t>2212LZM6V928</t>
  </si>
  <si>
    <t>MOU0027</t>
  </si>
  <si>
    <t>2333LZXLJJ58</t>
  </si>
  <si>
    <t>MOU0028</t>
  </si>
  <si>
    <t>2333LZXLJET8</t>
  </si>
  <si>
    <t>LAP0071</t>
  </si>
  <si>
    <t>PF1VRCB1</t>
  </si>
  <si>
    <t>LAP13725</t>
  </si>
  <si>
    <t>LAP0072</t>
  </si>
  <si>
    <t>FVFC61XCL414</t>
  </si>
  <si>
    <t>LAP0073</t>
  </si>
  <si>
    <t>C02G12P5Q05N</t>
  </si>
  <si>
    <t>midh</t>
  </si>
  <si>
    <t>LAP0074</t>
  </si>
  <si>
    <t>PC2CKMAP</t>
  </si>
  <si>
    <t>tranght</t>
  </si>
  <si>
    <t>LAP0075</t>
  </si>
  <si>
    <t>Lenovo ThinkPad T480 i5 No RAM | 256GB</t>
  </si>
  <si>
    <t>PF1NEFQR</t>
  </si>
  <si>
    <t>thuanvd3</t>
  </si>
  <si>
    <t>RAM0001</t>
  </si>
  <si>
    <t>Kingston</t>
  </si>
  <si>
    <t>Kingston 16GB bus 2666 DDR4 NB</t>
  </si>
  <si>
    <t>LAP0076</t>
  </si>
  <si>
    <t>Lenovo ThinkPad X1 carbon i7  16GB | 512GB</t>
  </si>
  <si>
    <t>PF3Z9LM6</t>
  </si>
  <si>
    <t>garym</t>
  </si>
  <si>
    <t>RAM0002</t>
  </si>
  <si>
    <t>Kingston 16GB bus 5600 DDR5 NB</t>
  </si>
  <si>
    <t>MON16239</t>
  </si>
  <si>
    <t>MON0002</t>
  </si>
  <si>
    <t>BZ68104</t>
  </si>
  <si>
    <t>MON16234</t>
  </si>
  <si>
    <t xml:space="preserve">CF68104 </t>
  </si>
  <si>
    <t>Dell P2422H 24 inches</t>
  </si>
  <si>
    <t xml:space="preserve">DY4B0K3 </t>
  </si>
  <si>
    <t>MON15109</t>
  </si>
  <si>
    <t>95J38M3</t>
  </si>
  <si>
    <t>anhth</t>
  </si>
  <si>
    <t>MON15086</t>
  </si>
  <si>
    <t xml:space="preserve">438T8M3 </t>
  </si>
  <si>
    <t>IT</t>
  </si>
  <si>
    <t>MON14816</t>
  </si>
  <si>
    <t>FKW90K3</t>
  </si>
  <si>
    <t>MON15477</t>
  </si>
  <si>
    <t>Dell Ultrasharp U2520D 25 inches</t>
  </si>
  <si>
    <t>3DQJ923</t>
  </si>
  <si>
    <t>MON15993</t>
  </si>
  <si>
    <t xml:space="preserve">6JS9923 </t>
  </si>
  <si>
    <t>MON15992</t>
  </si>
  <si>
    <t xml:space="preserve">4RS9923 </t>
  </si>
  <si>
    <t>phongnht2</t>
  </si>
  <si>
    <t>MON15985</t>
  </si>
  <si>
    <t xml:space="preserve">1LS9923 </t>
  </si>
  <si>
    <t>dungdd2</t>
  </si>
  <si>
    <t xml:space="preserve">HKS9923 </t>
  </si>
  <si>
    <t>vuongtx</t>
  </si>
  <si>
    <t>MON15988</t>
  </si>
  <si>
    <t xml:space="preserve">DSS9923 </t>
  </si>
  <si>
    <t>thaind3</t>
  </si>
  <si>
    <t>MON15994</t>
  </si>
  <si>
    <t xml:space="preserve">DQS9923 </t>
  </si>
  <si>
    <t>MON15984</t>
  </si>
  <si>
    <t xml:space="preserve">JLS9923 </t>
  </si>
  <si>
    <t>duongtt5</t>
  </si>
  <si>
    <t>MON15487</t>
  </si>
  <si>
    <t>JSQJ923</t>
  </si>
  <si>
    <t>yennth</t>
  </si>
  <si>
    <t>MON15459</t>
  </si>
  <si>
    <t>GFQJ923</t>
  </si>
  <si>
    <t>DNQJ923</t>
  </si>
  <si>
    <t>MON15466</t>
  </si>
  <si>
    <t xml:space="preserve">7BQJ923 </t>
  </si>
  <si>
    <t>phongdh3</t>
  </si>
  <si>
    <t>MON15454</t>
  </si>
  <si>
    <t xml:space="preserve">4GQJ923 </t>
  </si>
  <si>
    <t>MON15481</t>
  </si>
  <si>
    <t xml:space="preserve">5VQJ923 </t>
  </si>
  <si>
    <t>dungha2</t>
  </si>
  <si>
    <t>MON15455</t>
  </si>
  <si>
    <t xml:space="preserve">FRQJ923 </t>
  </si>
  <si>
    <t>tuanna30</t>
  </si>
  <si>
    <t>MON15849</t>
  </si>
  <si>
    <t xml:space="preserve">80RJ923 </t>
  </si>
  <si>
    <t>hangntt9</t>
  </si>
  <si>
    <t>MON15467</t>
  </si>
  <si>
    <t xml:space="preserve">JHQJ923 </t>
  </si>
  <si>
    <t>MON15464</t>
  </si>
  <si>
    <t xml:space="preserve">BXQJ923 </t>
  </si>
  <si>
    <t>huypt3</t>
  </si>
  <si>
    <t>MON15460</t>
  </si>
  <si>
    <t xml:space="preserve">5YQJ923 </t>
  </si>
  <si>
    <t>nhatlcl</t>
  </si>
  <si>
    <t>MON15470</t>
  </si>
  <si>
    <t xml:space="preserve">J8QJ923 </t>
  </si>
  <si>
    <t>MON15456</t>
  </si>
  <si>
    <t xml:space="preserve">2HQJ923 </t>
  </si>
  <si>
    <t xml:space="preserve">DDQJ923 </t>
  </si>
  <si>
    <t>nhannt</t>
  </si>
  <si>
    <t>MON16221</t>
  </si>
  <si>
    <t xml:space="preserve">1G88104 </t>
  </si>
  <si>
    <t>MON16232</t>
  </si>
  <si>
    <t xml:space="preserve">HK68104 </t>
  </si>
  <si>
    <t>MON16228</t>
  </si>
  <si>
    <t xml:space="preserve">FR78104 </t>
  </si>
  <si>
    <t>MON16238</t>
  </si>
  <si>
    <t xml:space="preserve">HB78104 </t>
  </si>
  <si>
    <t>MON16235</t>
  </si>
  <si>
    <t xml:space="preserve">B598104 </t>
  </si>
  <si>
    <t>server</t>
  </si>
  <si>
    <t>MON16236</t>
  </si>
  <si>
    <t xml:space="preserve">7S78104 </t>
  </si>
  <si>
    <t>MON16195</t>
  </si>
  <si>
    <t xml:space="preserve">CB88104 </t>
  </si>
  <si>
    <t>binhnv5</t>
  </si>
  <si>
    <t>MON16194</t>
  </si>
  <si>
    <t xml:space="preserve">4S78104 </t>
  </si>
  <si>
    <t>antg</t>
  </si>
  <si>
    <t>MON16223</t>
  </si>
  <si>
    <t>GP78104</t>
  </si>
  <si>
    <t>MON16230</t>
  </si>
  <si>
    <t>FF68104</t>
  </si>
  <si>
    <t>MON16241</t>
  </si>
  <si>
    <t>DC78104</t>
  </si>
  <si>
    <t>trinhnn</t>
  </si>
  <si>
    <t>3J68104</t>
  </si>
  <si>
    <t>baonq</t>
  </si>
  <si>
    <t>MON15798</t>
  </si>
  <si>
    <t>B2BBMQ3</t>
  </si>
  <si>
    <t>MON16286</t>
  </si>
  <si>
    <t>3K9QK34</t>
  </si>
  <si>
    <t>Approve đem về nhà</t>
  </si>
  <si>
    <t>MON16284</t>
  </si>
  <si>
    <t xml:space="preserve">2W82L34 </t>
  </si>
  <si>
    <t xml:space="preserve">2WRPK34 </t>
  </si>
  <si>
    <t>MON16277</t>
  </si>
  <si>
    <t>2YRPK34</t>
  </si>
  <si>
    <t>hantv</t>
  </si>
  <si>
    <t>MON16274</t>
  </si>
  <si>
    <t xml:space="preserve">31F2L34 </t>
  </si>
  <si>
    <t>MON16283</t>
  </si>
  <si>
    <t xml:space="preserve">32RNK34 </t>
  </si>
  <si>
    <t>santm</t>
  </si>
  <si>
    <t>MON16249</t>
  </si>
  <si>
    <t>MON0050</t>
  </si>
  <si>
    <t xml:space="preserve">33VPK34 </t>
  </si>
  <si>
    <t>MON16271</t>
  </si>
  <si>
    <t xml:space="preserve">3FF2L34 </t>
  </si>
  <si>
    <t>hoanglm</t>
  </si>
  <si>
    <t>MON16276</t>
  </si>
  <si>
    <t>8BF2L34</t>
  </si>
  <si>
    <t>MON12028</t>
  </si>
  <si>
    <t>Dell P2217H 22 inches</t>
  </si>
  <si>
    <t>1Z4SLB2</t>
  </si>
  <si>
    <t>ipl</t>
  </si>
  <si>
    <t>MON12032</t>
  </si>
  <si>
    <t>5Y4SLB2</t>
  </si>
  <si>
    <t>MON11995</t>
  </si>
  <si>
    <t>8Y4SLB2</t>
  </si>
  <si>
    <t>MON14947</t>
  </si>
  <si>
    <t xml:space="preserve">2PY90K3 </t>
  </si>
  <si>
    <t>MON14874</t>
  </si>
  <si>
    <t xml:space="preserve">6GY90K3 </t>
  </si>
  <si>
    <t>trungnq</t>
  </si>
  <si>
    <t>MON14747</t>
  </si>
  <si>
    <t>8M4B0K3</t>
  </si>
  <si>
    <t>MON14928</t>
  </si>
  <si>
    <t xml:space="preserve">G1X90K3 </t>
  </si>
  <si>
    <t>recep</t>
  </si>
  <si>
    <t>G3Y90K3</t>
  </si>
  <si>
    <t>trungnt15</t>
  </si>
  <si>
    <t>MON15309</t>
  </si>
  <si>
    <t>3TDH7N3</t>
  </si>
  <si>
    <t>MON14183</t>
  </si>
  <si>
    <t>Dell P2219H 22 inches</t>
  </si>
  <si>
    <t>27GRV23</t>
  </si>
  <si>
    <t>MON13035</t>
  </si>
  <si>
    <t>3GNBGN2</t>
  </si>
  <si>
    <t>MON13774</t>
  </si>
  <si>
    <t>3ZNL7W2</t>
  </si>
  <si>
    <t>anhphq</t>
  </si>
  <si>
    <t>5DX3SM3</t>
  </si>
  <si>
    <t>binhkg</t>
  </si>
  <si>
    <t>67SJMQ3</t>
  </si>
  <si>
    <t>quangnd</t>
  </si>
  <si>
    <t>MON15751</t>
  </si>
  <si>
    <t>752MDQ3</t>
  </si>
  <si>
    <t>manth4</t>
  </si>
  <si>
    <t>MON15723</t>
  </si>
  <si>
    <t>7R1QDQ3</t>
  </si>
  <si>
    <t>tamnh8</t>
  </si>
  <si>
    <t>MON15089</t>
  </si>
  <si>
    <t>89J38M3</t>
  </si>
  <si>
    <t>MON12590</t>
  </si>
  <si>
    <t>8DY5FJ2</t>
  </si>
  <si>
    <t>MON14849</t>
  </si>
  <si>
    <t>B7FB0K3</t>
  </si>
  <si>
    <t>vynk2</t>
  </si>
  <si>
    <t>MON13486</t>
  </si>
  <si>
    <t>BHCN6W2</t>
  </si>
  <si>
    <t>congdpt</t>
  </si>
  <si>
    <t>MON16062</t>
  </si>
  <si>
    <t>BJWLVX3</t>
  </si>
  <si>
    <t>lannv</t>
  </si>
  <si>
    <t>MON14375</t>
  </si>
  <si>
    <t>BOTT823</t>
  </si>
  <si>
    <t>cuonglt8</t>
  </si>
  <si>
    <t>Dell P2419H 24 inches</t>
  </si>
  <si>
    <t>DLHKF53</t>
  </si>
  <si>
    <t>DWQBGN2</t>
  </si>
  <si>
    <t>G89Q823</t>
  </si>
  <si>
    <t>nhonvt</t>
  </si>
  <si>
    <t>tiendv2</t>
  </si>
  <si>
    <t>MON12839</t>
  </si>
  <si>
    <t>GBTTTL2</t>
  </si>
  <si>
    <t>MON12813</t>
  </si>
  <si>
    <t>J7VTTL2</t>
  </si>
  <si>
    <t>MON12748</t>
  </si>
  <si>
    <t>JHSTTL2</t>
  </si>
  <si>
    <t>GZB3944</t>
  </si>
  <si>
    <t>diht</t>
  </si>
  <si>
    <t>lannn</t>
  </si>
  <si>
    <t>MON13103</t>
  </si>
  <si>
    <t>HF3QPP2</t>
  </si>
  <si>
    <t>Dell Ultrasharp U2518D 25 inches</t>
  </si>
  <si>
    <t>9J0HPS2</t>
  </si>
  <si>
    <t>hanhl</t>
  </si>
  <si>
    <t>MON14679</t>
  </si>
  <si>
    <t>75P5923</t>
  </si>
  <si>
    <t>LAP0077</t>
  </si>
  <si>
    <t>VDXCY2C9J4</t>
  </si>
  <si>
    <t>linhnt16</t>
  </si>
  <si>
    <t>C02DW9GDQ05N</t>
  </si>
  <si>
    <t>C02H72GFQ05N</t>
  </si>
  <si>
    <t>Chip Monitor Yếu</t>
  </si>
  <si>
    <t>C02H72FHQ05N</t>
  </si>
  <si>
    <t>C02H70QRQ05N</t>
  </si>
  <si>
    <t>Macbook Pro Intel 16GB | 256GB</t>
  </si>
  <si>
    <t>FVFC61WWL414</t>
  </si>
  <si>
    <t>VG4714GJ7F</t>
  </si>
  <si>
    <t>FVFHQ8N4Q05N</t>
  </si>
  <si>
    <t>MON0085</t>
  </si>
  <si>
    <t>6QQJ923</t>
  </si>
  <si>
    <t>locthc</t>
  </si>
  <si>
    <t>MON16279</t>
  </si>
  <si>
    <t>MON0086</t>
  </si>
  <si>
    <t>2W32L34</t>
  </si>
  <si>
    <t>MON0087</t>
  </si>
  <si>
    <t>Dell P2417H 24 inches</t>
  </si>
  <si>
    <t>HNYN372</t>
  </si>
  <si>
    <t>MON0088</t>
  </si>
  <si>
    <t>FTG8L82</t>
  </si>
  <si>
    <t>MON60281</t>
  </si>
  <si>
    <t>MON0089</t>
  </si>
  <si>
    <t>1HTTTL2</t>
  </si>
  <si>
    <t>congnh3</t>
  </si>
  <si>
    <t>MOU0029</t>
  </si>
  <si>
    <t>MOU0030</t>
  </si>
  <si>
    <t>2227LZXFTXT8</t>
  </si>
  <si>
    <t>MOU0031</t>
  </si>
  <si>
    <t>MOU0032</t>
  </si>
  <si>
    <t>MOU14873</t>
  </si>
  <si>
    <t>MOU0033</t>
  </si>
  <si>
    <t>MOU0034</t>
  </si>
  <si>
    <t>MOU0035</t>
  </si>
  <si>
    <t>MOU0036</t>
  </si>
  <si>
    <t>MOU13394</t>
  </si>
  <si>
    <t>MOU0037</t>
  </si>
  <si>
    <t>hungnm11</t>
  </si>
  <si>
    <t>MOU0038</t>
  </si>
  <si>
    <t>nhantt7</t>
  </si>
  <si>
    <t>MOU0039</t>
  </si>
  <si>
    <t>MOU0040</t>
  </si>
  <si>
    <t>MOU0041</t>
  </si>
  <si>
    <t>MOU0042</t>
  </si>
  <si>
    <t>MOU0043</t>
  </si>
  <si>
    <t>MOU0044</t>
  </si>
  <si>
    <t>2333LZXLJGY8</t>
  </si>
  <si>
    <t>MOU0045</t>
  </si>
  <si>
    <t>MOU0046</t>
  </si>
  <si>
    <t>MOU0047</t>
  </si>
  <si>
    <t>hungln2</t>
  </si>
  <si>
    <t>MOU15311</t>
  </si>
  <si>
    <t>MOU0048</t>
  </si>
  <si>
    <t>2445ZES5GDPR</t>
  </si>
  <si>
    <t>MOU0049</t>
  </si>
  <si>
    <t>2345LZXJLMX8</t>
  </si>
  <si>
    <t>MOU0050</t>
  </si>
  <si>
    <t>MOU0051</t>
  </si>
  <si>
    <t>MOU0052</t>
  </si>
  <si>
    <t>hieulq4</t>
  </si>
  <si>
    <t>MOU0053</t>
  </si>
  <si>
    <t>2425LZX8J0U8</t>
  </si>
  <si>
    <t>MOU0054</t>
  </si>
  <si>
    <t>hoatk</t>
  </si>
  <si>
    <t>MOU15076</t>
  </si>
  <si>
    <t>MOU0055</t>
  </si>
  <si>
    <t>2332LZXDD0Z8</t>
  </si>
  <si>
    <t>huyt2</t>
  </si>
  <si>
    <t>MOU0056</t>
  </si>
  <si>
    <t>2514APM7FJQ8</t>
  </si>
  <si>
    <t>MOU0057</t>
  </si>
  <si>
    <t>toancv</t>
  </si>
  <si>
    <t>MOU0058</t>
  </si>
  <si>
    <t>2332LZXB7Z08</t>
  </si>
  <si>
    <t>MOU0059</t>
  </si>
  <si>
    <t>2332LZXFTC08</t>
  </si>
  <si>
    <t>huynq28</t>
  </si>
  <si>
    <t>MOU0060</t>
  </si>
  <si>
    <t>Logitech M221- USB</t>
  </si>
  <si>
    <t>MOU14195</t>
  </si>
  <si>
    <t>MOU0061</t>
  </si>
  <si>
    <t>huongnhx</t>
  </si>
  <si>
    <t>MOU0062</t>
  </si>
  <si>
    <t>danhhn</t>
  </si>
  <si>
    <t>MOU0063</t>
  </si>
  <si>
    <t>2333LZXH30H8</t>
  </si>
  <si>
    <t>MOU0064</t>
  </si>
  <si>
    <t>MOU0065</t>
  </si>
  <si>
    <t>minhth3</t>
  </si>
  <si>
    <t>MOU0066</t>
  </si>
  <si>
    <t>2514APJ7GBG8</t>
  </si>
  <si>
    <t>MOU0067</t>
  </si>
  <si>
    <t>2429ZF1531K8</t>
  </si>
  <si>
    <t>MOU0068</t>
  </si>
  <si>
    <t>MOU0069</t>
  </si>
  <si>
    <t>MOU0070</t>
  </si>
  <si>
    <t>MOU0071</t>
  </si>
  <si>
    <t>MOU0072</t>
  </si>
  <si>
    <t>2332LZXDDMP8</t>
  </si>
  <si>
    <t>MOU0073</t>
  </si>
  <si>
    <t>MOU0074</t>
  </si>
  <si>
    <t>MOU0075</t>
  </si>
  <si>
    <t>2333LZXHUVQ8</t>
  </si>
  <si>
    <t>MOU0076</t>
  </si>
  <si>
    <t>2332LZXFT688</t>
  </si>
  <si>
    <t>MOU0077</t>
  </si>
  <si>
    <t>2333LZXLJZ78</t>
  </si>
  <si>
    <t>MOU0078</t>
  </si>
  <si>
    <t>MOU0079</t>
  </si>
  <si>
    <t>CAB0001</t>
  </si>
  <si>
    <t>Apple USB-C digital AV multiport adapter</t>
  </si>
  <si>
    <t>CAB02575</t>
  </si>
  <si>
    <t>CAB02406</t>
  </si>
  <si>
    <t>CAB02728</t>
  </si>
  <si>
    <t>Urgeen</t>
  </si>
  <si>
    <t>Ugreen USB-C multifunction adapter</t>
  </si>
  <si>
    <t>LAP16097</t>
  </si>
  <si>
    <t>LAP0085</t>
  </si>
  <si>
    <t>YD403FQGW6</t>
  </si>
  <si>
    <t>thoaidd</t>
  </si>
  <si>
    <t>PF3S5HGW</t>
  </si>
  <si>
    <t>C02GT1P2Q05N</t>
  </si>
  <si>
    <t>PF3HMCM4</t>
  </si>
  <si>
    <t>Ivan</t>
  </si>
  <si>
    <t>PF4TGN3B</t>
  </si>
  <si>
    <t>alim</t>
  </si>
  <si>
    <t>PF4TFKEF</t>
  </si>
  <si>
    <t>CPU0001</t>
  </si>
  <si>
    <t>Intel</t>
  </si>
  <si>
    <t>CPU: Intel Core i7 8700 | RAM: 32GB | SSD 250GB  |Card: Nvidia GTX 1060 6GB</t>
  </si>
  <si>
    <t>1802.2123.1003.240</t>
  </si>
  <si>
    <t>CPU13303</t>
  </si>
  <si>
    <t>CPU0002</t>
  </si>
  <si>
    <t>CPU: Intel Core i5 |RAM: 16GB | SSD 250GB |Graphic: Gigabyte Geforce N3060 Gaming OC-12GD 12GB</t>
  </si>
  <si>
    <t>D85ED3D7E6C8</t>
  </si>
  <si>
    <t>SSD0001</t>
  </si>
  <si>
    <t>SamSung</t>
  </si>
  <si>
    <t>SSD Samsung 980 Evo 250GB</t>
  </si>
  <si>
    <t>S3Y9NX0K543468</t>
  </si>
  <si>
    <t>VNGDC</t>
  </si>
  <si>
    <t>Đang gắn vào Máy dự án VNG DC</t>
  </si>
  <si>
    <t>SSD0002</t>
  </si>
  <si>
    <t>SSD Samsung 860 Evo 250GB</t>
  </si>
  <si>
    <t>S3Y9NF0K202371</t>
  </si>
  <si>
    <t>SSD0003</t>
  </si>
  <si>
    <t>SSD Samsung 980 Pro M.2 NVMe PCIe 500GB</t>
  </si>
  <si>
    <t>S5GYNG0NC25284N</t>
  </si>
  <si>
    <t>SSD0004</t>
  </si>
  <si>
    <t>S5GYNG0NC25275B</t>
  </si>
  <si>
    <t>RTR0001</t>
  </si>
  <si>
    <t>TP-Link</t>
  </si>
  <si>
    <t>215412.0004.276</t>
  </si>
  <si>
    <t>Gắn trong CPU0001</t>
  </si>
  <si>
    <t>SPH0001</t>
  </si>
  <si>
    <t>Iphone 8 Plus</t>
  </si>
  <si>
    <t>FD2XC05YJCM4</t>
  </si>
  <si>
    <t>SPH0002</t>
  </si>
  <si>
    <t>Iphone X</t>
  </si>
  <si>
    <t>3530.4509.2823.531</t>
  </si>
  <si>
    <t>SPH0003</t>
  </si>
  <si>
    <t>Oppo</t>
  </si>
  <si>
    <t>Oppo F11 Pro</t>
  </si>
  <si>
    <t>KZW8BYZPNR7TNK9S</t>
  </si>
  <si>
    <t>SPH0004</t>
  </si>
  <si>
    <t>Iphone 8</t>
  </si>
  <si>
    <t>C6KVJHNHJC67</t>
  </si>
  <si>
    <t>PRN0001</t>
  </si>
  <si>
    <t>Brother</t>
  </si>
  <si>
    <t>Brother PT-D600</t>
  </si>
  <si>
    <t>RTR0002</t>
  </si>
  <si>
    <t>TP-Link PCI WiFi card TL-WDN4800</t>
  </si>
  <si>
    <t>219AA59000020</t>
  </si>
  <si>
    <t>RTR0003</t>
  </si>
  <si>
    <t>2208.0340.0024.6</t>
  </si>
  <si>
    <t>Gắn trong CPU0002</t>
  </si>
  <si>
    <t>IPAD0001</t>
  </si>
  <si>
    <t>iPad Mini 6 Cellular</t>
  </si>
  <si>
    <t>NMXRK6LFPM</t>
  </si>
  <si>
    <t>IPAD0002</t>
  </si>
  <si>
    <t>X6T76Y30TW</t>
  </si>
  <si>
    <t>IPAD0003</t>
  </si>
  <si>
    <t>iPad Mini 6 Wifi Only</t>
  </si>
  <si>
    <t>G7974YV4LD</t>
  </si>
  <si>
    <t>IPAD0004</t>
  </si>
  <si>
    <t>K7G23TFWHY</t>
  </si>
  <si>
    <t>LAP0091</t>
  </si>
  <si>
    <t>Macbook Pro M4 16GB | 512GB</t>
  </si>
  <si>
    <t>SKVWYWVVP79</t>
  </si>
  <si>
    <t>18/06/2025</t>
  </si>
  <si>
    <t>NAM VIET</t>
  </si>
  <si>
    <t>SKQM0VM0J00</t>
  </si>
  <si>
    <t>SLP2J9V9QP9</t>
  </si>
  <si>
    <t>SGJT7R9C2J5</t>
  </si>
  <si>
    <t>SCVY94FHJ97</t>
  </si>
  <si>
    <t>SHQXVQ73MFJ</t>
  </si>
  <si>
    <t>SF7FL62XW9F</t>
  </si>
  <si>
    <t>SMWQJK41V61</t>
  </si>
  <si>
    <t>SD4RQM4JX7D</t>
  </si>
  <si>
    <t>SG9159NH25G</t>
  </si>
  <si>
    <t>SD00NC3F0Y0</t>
  </si>
  <si>
    <t>SCLGQ5W5QDH</t>
  </si>
  <si>
    <t>SMQYTXVHY39</t>
  </si>
  <si>
    <t>SFPTQ412C3J</t>
  </si>
  <si>
    <t>vinhtt</t>
  </si>
  <si>
    <t>SJD43LX6XC6</t>
  </si>
  <si>
    <t>SJ3GMGFT2KG</t>
  </si>
  <si>
    <t>D3KJH1J1CJ</t>
  </si>
  <si>
    <t>SMFVNJXX62R</t>
  </si>
  <si>
    <t>SLDXG3DD2LY</t>
  </si>
  <si>
    <t>SJ9WVM6XCXM</t>
  </si>
  <si>
    <t>SC64LP6Q6X5</t>
  </si>
  <si>
    <t>Macbook Pro M4 24GB |  1TB</t>
  </si>
  <si>
    <t>SJ6D370RF9L</t>
  </si>
  <si>
    <t>SM57Y79C7RJ</t>
  </si>
  <si>
    <t>tuanda</t>
  </si>
  <si>
    <t>SF4FFQLQ25C</t>
  </si>
  <si>
    <t>SKKX4QRL7QL</t>
  </si>
  <si>
    <t>SL2P00X9GJ6</t>
  </si>
  <si>
    <t>SCW59VQ0QTR</t>
  </si>
  <si>
    <t>SGHXPF2JQQW</t>
  </si>
  <si>
    <t>kiennt8</t>
  </si>
  <si>
    <t>SHYX7M72MR6</t>
  </si>
  <si>
    <t>SK99963QMGW</t>
  </si>
  <si>
    <t>SJ12KTW6DKL</t>
  </si>
  <si>
    <t>SFCV7M59WMW</t>
  </si>
  <si>
    <t>SKW4T3D95HY</t>
  </si>
  <si>
    <t>H9XG067QXJ</t>
  </si>
  <si>
    <t>L7G57MMFPM</t>
  </si>
  <si>
    <t>namdh02</t>
  </si>
  <si>
    <t>HD2H0W34WG</t>
  </si>
  <si>
    <t>JPCWW15WK1</t>
  </si>
  <si>
    <t>KM6WDH590P</t>
  </si>
  <si>
    <t>tuanna28</t>
  </si>
  <si>
    <t>K2X5QM4WHN</t>
  </si>
  <si>
    <t>GPY7MHH4K5</t>
  </si>
  <si>
    <t>CAB0038</t>
  </si>
  <si>
    <t>MON0090</t>
  </si>
  <si>
    <t>FDHXY74</t>
  </si>
  <si>
    <t>5DGTY74</t>
  </si>
  <si>
    <t>4LHXY74</t>
  </si>
  <si>
    <t>332VY74</t>
  </si>
  <si>
    <t>GHGTY74</t>
  </si>
  <si>
    <t>9BLVY74</t>
  </si>
  <si>
    <t>FBWVY74</t>
  </si>
  <si>
    <t>622VY74</t>
  </si>
  <si>
    <t>B22VY74</t>
  </si>
  <si>
    <t>6BWVY74</t>
  </si>
  <si>
    <t>DDGTY74</t>
  </si>
  <si>
    <t>3FGTY74</t>
  </si>
  <si>
    <t>5VDXY74</t>
  </si>
  <si>
    <t>J22VY74</t>
  </si>
  <si>
    <t>832VY74</t>
  </si>
  <si>
    <t>6FGTY74</t>
  </si>
  <si>
    <t>JBWVY74</t>
  </si>
  <si>
    <t>7Y2VY74</t>
  </si>
  <si>
    <t>132VY74</t>
  </si>
  <si>
    <t>1DHXY74</t>
  </si>
  <si>
    <t>F22VY74</t>
  </si>
  <si>
    <t>FHGTY74</t>
  </si>
  <si>
    <t>4FGTY74</t>
  </si>
  <si>
    <t>GDGTY74</t>
  </si>
  <si>
    <t>FMHTY74</t>
  </si>
  <si>
    <t>2PGXY74</t>
  </si>
  <si>
    <t>F8J1L34</t>
  </si>
  <si>
    <t>CYTWK34</t>
  </si>
  <si>
    <t>J85SY74</t>
  </si>
  <si>
    <t>D3BWK34</t>
  </si>
  <si>
    <t>5SV1874</t>
  </si>
  <si>
    <t>D35SK34</t>
  </si>
  <si>
    <t>CTS0L34</t>
  </si>
  <si>
    <t>D3P1L34</t>
  </si>
  <si>
    <t>8LHTY74</t>
  </si>
  <si>
    <t>19HTY74</t>
  </si>
  <si>
    <t>FCWRK34</t>
  </si>
  <si>
    <t>D25YK34</t>
  </si>
  <si>
    <t>D38SK34</t>
  </si>
  <si>
    <t>C3C1874</t>
  </si>
  <si>
    <t>D37RK34</t>
  </si>
  <si>
    <t>F9JZK34</t>
  </si>
  <si>
    <t>D30SK34</t>
  </si>
  <si>
    <t>CYSQK34</t>
  </si>
  <si>
    <t>D1NXK34</t>
  </si>
  <si>
    <t>35Y1874</t>
  </si>
  <si>
    <t>G22VY74</t>
  </si>
  <si>
    <t>7BWVY74</t>
  </si>
  <si>
    <t>D3NWK34</t>
  </si>
  <si>
    <t>CYTYK34</t>
  </si>
  <si>
    <t>CYNYK34</t>
  </si>
  <si>
    <t>D37SK34</t>
  </si>
  <si>
    <t>GB2SK34</t>
  </si>
  <si>
    <t>F6TQK34</t>
  </si>
  <si>
    <t>GD71L34</t>
  </si>
  <si>
    <t>CYSRK34</t>
  </si>
  <si>
    <t>CTRYK34</t>
  </si>
  <si>
    <t>F8HSK34</t>
  </si>
  <si>
    <t>Dell U2723QE 27 inches</t>
  </si>
  <si>
    <t>D2HP734</t>
  </si>
  <si>
    <t>B16Y734</t>
  </si>
  <si>
    <t>MOU0080</t>
  </si>
  <si>
    <t>2514APQ7JE98</t>
  </si>
  <si>
    <t>MOU0081</t>
  </si>
  <si>
    <t>2514APF8CF28</t>
  </si>
  <si>
    <t>MOU0082</t>
  </si>
  <si>
    <t>2515APR75HY8</t>
  </si>
  <si>
    <t>MOU0083</t>
  </si>
  <si>
    <t>2515AP775UJ8</t>
  </si>
  <si>
    <t>MOU0084</t>
  </si>
  <si>
    <t>2514APH7JZQ8</t>
  </si>
  <si>
    <t>MOU0085</t>
  </si>
  <si>
    <t>2514AP87JYU8</t>
  </si>
  <si>
    <t>MOU0086</t>
  </si>
  <si>
    <t>2514APK7HZ48</t>
  </si>
  <si>
    <t>MOU0087</t>
  </si>
  <si>
    <t>2514APK7HZV8</t>
  </si>
  <si>
    <t>MOU0088</t>
  </si>
  <si>
    <t>2514APX8CPE8</t>
  </si>
  <si>
    <t>MOU0089</t>
  </si>
  <si>
    <t>2514APY7ET78</t>
  </si>
  <si>
    <t>MOU0090</t>
  </si>
  <si>
    <t>2514APU7JEE8</t>
  </si>
  <si>
    <t>MOU0091</t>
  </si>
  <si>
    <t>2514APS8CE68</t>
  </si>
  <si>
    <t>MOU0092</t>
  </si>
  <si>
    <t>2514APN8CN28</t>
  </si>
  <si>
    <t>MOU0093</t>
  </si>
  <si>
    <t>2514APT8CF48</t>
  </si>
  <si>
    <t>MOU0094</t>
  </si>
  <si>
    <t>2514APE7GRE8</t>
  </si>
  <si>
    <t>MOU0095</t>
  </si>
  <si>
    <t>2514AP58CNC8</t>
  </si>
  <si>
    <t>MOU0096</t>
  </si>
  <si>
    <t>2514APL7HZX8</t>
  </si>
  <si>
    <t>MOU0097</t>
  </si>
  <si>
    <t>2514APETJ168</t>
  </si>
  <si>
    <t>MOU0098</t>
  </si>
  <si>
    <t>2514APA7HXQ8</t>
  </si>
  <si>
    <t>MOU0099</t>
  </si>
  <si>
    <t>2514APB7JEB8</t>
  </si>
  <si>
    <t>MOU0100</t>
  </si>
  <si>
    <t>2514APE7JDH8</t>
  </si>
  <si>
    <t>MOU0101</t>
  </si>
  <si>
    <t>2514APN8CND8</t>
  </si>
  <si>
    <t>MOU0102</t>
  </si>
  <si>
    <t>2514AP97JED8</t>
  </si>
  <si>
    <t>MOU0103</t>
  </si>
  <si>
    <t>2514APL8CP98</t>
  </si>
  <si>
    <t>MOU0104</t>
  </si>
  <si>
    <t>2514APT8CFN8</t>
  </si>
  <si>
    <t>MOU0105</t>
  </si>
  <si>
    <t>2514APP8CFP8</t>
  </si>
  <si>
    <t>MOU0106</t>
  </si>
  <si>
    <t>2514APM7HXP8</t>
  </si>
  <si>
    <t>MOU0107</t>
  </si>
  <si>
    <t>2515APX73TN8</t>
  </si>
  <si>
    <t>MOU0108</t>
  </si>
  <si>
    <t>2514AP77ETC8</t>
  </si>
  <si>
    <t>MOU0109</t>
  </si>
  <si>
    <t>2514AP77JY78</t>
  </si>
  <si>
    <t>MOU0110</t>
  </si>
  <si>
    <t>2515APD75GQ8</t>
  </si>
  <si>
    <t>duyennm</t>
  </si>
  <si>
    <t>MOU0111</t>
  </si>
  <si>
    <t>2514APD7JEA8</t>
  </si>
  <si>
    <t>MOU0112</t>
  </si>
  <si>
    <t>2515P873SP8</t>
  </si>
  <si>
    <t>MOU0113</t>
  </si>
  <si>
    <t>2514APE7J178</t>
  </si>
  <si>
    <t>MOU0114</t>
  </si>
  <si>
    <t>2515APB73U08</t>
  </si>
  <si>
    <t>MOU0115</t>
  </si>
  <si>
    <t>2515APJ73U78</t>
  </si>
  <si>
    <t>MOU0116</t>
  </si>
  <si>
    <t>2514APQ7KUQ8</t>
  </si>
  <si>
    <t>MOU0117</t>
  </si>
  <si>
    <t>2514AP47HZR8</t>
  </si>
  <si>
    <t>MOU0118</t>
  </si>
  <si>
    <t>2514AP97HZF8</t>
  </si>
  <si>
    <t>MOU0119</t>
  </si>
  <si>
    <t>2514APQ7J118</t>
  </si>
  <si>
    <t>MOU0120</t>
  </si>
  <si>
    <t>2514APZ7HZE8</t>
  </si>
  <si>
    <t>MOU0121</t>
  </si>
  <si>
    <t>2514APD7ET98</t>
  </si>
  <si>
    <t>MOU0122</t>
  </si>
  <si>
    <t>2514AP37KU58</t>
  </si>
  <si>
    <t>MOU0123</t>
  </si>
  <si>
    <t>2514APM8CMT8</t>
  </si>
  <si>
    <t>MOU0124</t>
  </si>
  <si>
    <t>2515AJP73TV8</t>
  </si>
  <si>
    <t>MOU0125</t>
  </si>
  <si>
    <t>2514APA8CPC8</t>
  </si>
  <si>
    <t>MOU0126</t>
  </si>
  <si>
    <t>2514AP88CE78</t>
  </si>
  <si>
    <t>MOU0127</t>
  </si>
  <si>
    <t>2515AP675HQ8</t>
  </si>
  <si>
    <t>MOU0128</t>
  </si>
  <si>
    <t>2514APH8CPN8</t>
  </si>
  <si>
    <t>MOU0129</t>
  </si>
  <si>
    <t>2515APV75UF8</t>
  </si>
  <si>
    <t>CAB0062</t>
  </si>
  <si>
    <t>LQC7KQ7Q9</t>
  </si>
  <si>
    <t>MASAN</t>
  </si>
  <si>
    <t>Không sạc + Type C</t>
  </si>
  <si>
    <t>WGFC7N5H4F</t>
  </si>
  <si>
    <t>Type C</t>
  </si>
  <si>
    <t>YFPR9GF992</t>
  </si>
  <si>
    <t>Cốc sạc + Type C</t>
  </si>
  <si>
    <t>Midh giữ</t>
  </si>
  <si>
    <t>GRJ9RKDC61</t>
  </si>
  <si>
    <t>LAP0131</t>
  </si>
  <si>
    <t>Lenovo ThinkPad T14 i7 16GB | 512GB</t>
  </si>
  <si>
    <t>PF5K4CXC</t>
  </si>
  <si>
    <t>27/08/2025</t>
  </si>
  <si>
    <t>PF5K4CZ8</t>
  </si>
  <si>
    <t>PF5K4D0J</t>
  </si>
  <si>
    <t>anhltk</t>
  </si>
  <si>
    <t>PF5K4D1L</t>
  </si>
  <si>
    <t>PF5K4D2K</t>
  </si>
  <si>
    <t>PF5K4D48</t>
  </si>
  <si>
    <t>PF5K4D5G</t>
  </si>
  <si>
    <t>PF5K6B5J</t>
  </si>
  <si>
    <t>PF5K6B67</t>
  </si>
  <si>
    <t>PF5K6B7C</t>
  </si>
  <si>
    <t>Lenovo ThinkPad T14 i7 32GB | 512GB</t>
  </si>
  <si>
    <t>PF5K3PPJ</t>
  </si>
  <si>
    <t>PF5K3PQN</t>
  </si>
  <si>
    <t>PF5K3SEN</t>
  </si>
  <si>
    <t>PF5K3SF5</t>
  </si>
  <si>
    <t>PF5K3SFQ</t>
  </si>
  <si>
    <t>PF5K3SJ0</t>
  </si>
  <si>
    <t>PF5K3SJJ</t>
  </si>
  <si>
    <t>PF5K5AWP</t>
  </si>
  <si>
    <t>PF5K5AX0</t>
  </si>
  <si>
    <t>PF5K5AY8</t>
  </si>
  <si>
    <t>CAB0077</t>
  </si>
  <si>
    <t>SPE0001</t>
  </si>
  <si>
    <t>Jabra</t>
  </si>
  <si>
    <t>Jabra Speak 510 MS</t>
  </si>
  <si>
    <t>00403097258</t>
  </si>
  <si>
    <t>20/10/2025</t>
  </si>
  <si>
    <t>MIWA</t>
  </si>
  <si>
    <t>SPH0005</t>
  </si>
  <si>
    <t>Yealink</t>
  </si>
  <si>
    <t>Yealink SIP-T31W</t>
  </si>
  <si>
    <t>201039H070002798</t>
  </si>
  <si>
    <t>24/10/2025</t>
  </si>
  <si>
    <t>FPT</t>
  </si>
  <si>
    <t>Danh sách user VSOL hiện tại</t>
  </si>
  <si>
    <t>Account</t>
  </si>
  <si>
    <t>Name</t>
  </si>
  <si>
    <t>Job Title</t>
  </si>
  <si>
    <t>Business unit</t>
  </si>
  <si>
    <t>Line Manager. Domain</t>
  </si>
  <si>
    <t>Onboard date</t>
  </si>
  <si>
    <t>Last date</t>
  </si>
  <si>
    <t>Trần Gia Ân</t>
  </si>
  <si>
    <t>SAP Intern</t>
  </si>
  <si>
    <t>Trương Nữ Ngọc Mai</t>
  </si>
  <si>
    <t>Admin Executive</t>
  </si>
  <si>
    <t>Business Support</t>
  </si>
  <si>
    <t>Operation Team</t>
  </si>
  <si>
    <t>Đoàn Hà Mi</t>
  </si>
  <si>
    <t>Active</t>
  </si>
  <si>
    <t>Nguyễn Minh Thy</t>
  </si>
  <si>
    <t>IT Operator</t>
  </si>
  <si>
    <t>Đoàn Hải Nam</t>
  </si>
  <si>
    <t>CIO</t>
  </si>
  <si>
    <t>IT Dept CTD</t>
  </si>
  <si>
    <t>P.Datacenter F9</t>
  </si>
  <si>
    <t>Reception</t>
  </si>
  <si>
    <t>vsol</t>
  </si>
  <si>
    <t>Vsol Meeting Room</t>
  </si>
  <si>
    <t>VSOL</t>
  </si>
  <si>
    <t>IPL Meeting Room</t>
  </si>
  <si>
    <t>nguyennvc</t>
  </si>
  <si>
    <t>Nguyễn Văn Cao Nguyên</t>
  </si>
  <si>
    <t>Senior Site Reliability Engineer</t>
  </si>
  <si>
    <t>Tech</t>
  </si>
  <si>
    <t>Nguyễn Ngọc Châu Sang</t>
  </si>
  <si>
    <t>Đào Duy Thoại</t>
  </si>
  <si>
    <t>Head of IT</t>
  </si>
  <si>
    <t>Nguyễn Thị My Sa</t>
  </si>
  <si>
    <t>HR Business Partner</t>
  </si>
  <si>
    <t>Nguyễn Trình Thùy Trang</t>
  </si>
  <si>
    <t>Trần Hoàng Anh</t>
  </si>
  <si>
    <t>Senior Machine Learning Engineer</t>
  </si>
  <si>
    <t>Data</t>
  </si>
  <si>
    <t>Venture</t>
  </si>
  <si>
    <t>Đoàn Nhật Duẩn</t>
  </si>
  <si>
    <t>hoangpnt</t>
  </si>
  <si>
    <t>Phạm Ngô Triệu Hoàng</t>
  </si>
  <si>
    <t>Associate Business Analyst</t>
  </si>
  <si>
    <t>Nguyễn Vân Anh</t>
  </si>
  <si>
    <t>hannt</t>
  </si>
  <si>
    <t>Nguyễn Thị Thu Hà</t>
  </si>
  <si>
    <t>Talent Acquisition Business Partner</t>
  </si>
  <si>
    <t>HR</t>
  </si>
  <si>
    <t>Võ Ngọc Trâm</t>
  </si>
  <si>
    <t>Lương Minh Hoàng</t>
  </si>
  <si>
    <t>Lead Software Engineer</t>
  </si>
  <si>
    <t>Nguyễn Duy Mạnh</t>
  </si>
  <si>
    <t>Software Engineer</t>
  </si>
  <si>
    <t>thold</t>
  </si>
  <si>
    <t>Lê Đình Thọ</t>
  </si>
  <si>
    <t>Lead QC Engineer</t>
  </si>
  <si>
    <t>Đỗ Anh Tuấn</t>
  </si>
  <si>
    <t>Trần Triệu Dương (duongtt5)</t>
  </si>
  <si>
    <t>vyhnt</t>
  </si>
  <si>
    <t>Huỳnh Ngọc Tường Vy</t>
  </si>
  <si>
    <t>Associate NOC Engineer</t>
  </si>
  <si>
    <t>Nguyễn Thị Việt Hà</t>
  </si>
  <si>
    <t>Huỳnh Thúy Diễm</t>
  </si>
  <si>
    <t>Fresher Business Analyst</t>
  </si>
  <si>
    <t>Nguyễn Khánh Vy</t>
  </si>
  <si>
    <t>trinm</t>
  </si>
  <si>
    <t>Nguyễn Minh Trí</t>
  </si>
  <si>
    <t>SRE Lead</t>
  </si>
  <si>
    <t>Dương Huỳnh Nghĩa (nghiadh)</t>
  </si>
  <si>
    <t>Nguyễn Ngọc Nhiên</t>
  </si>
  <si>
    <t>Accounting Intern</t>
  </si>
  <si>
    <t>Hoàng Thị Trang</t>
  </si>
  <si>
    <t>natv</t>
  </si>
  <si>
    <t>NATV</t>
  </si>
  <si>
    <t>mtr</t>
  </si>
  <si>
    <t>Meeting Room</t>
  </si>
  <si>
    <t>Trần Kiên</t>
  </si>
  <si>
    <t>QC Engineer</t>
  </si>
  <si>
    <t>Kiết Văn</t>
  </si>
  <si>
    <t>Phạm Bằng</t>
  </si>
  <si>
    <t>Fresher Data Engineer</t>
  </si>
  <si>
    <t>Resource Pool</t>
  </si>
  <si>
    <t>Phạm Hồng Quốc Anh</t>
  </si>
  <si>
    <t>vannt</t>
  </si>
  <si>
    <t>Nguyễn Trí Văn</t>
  </si>
  <si>
    <t>Site Reliability Engineer</t>
  </si>
  <si>
    <t>OP</t>
  </si>
  <si>
    <t>Chu Văn Toàn (ToanCV)</t>
  </si>
  <si>
    <t>minhdh</t>
  </si>
  <si>
    <t>Đặng Hoàng Minh</t>
  </si>
  <si>
    <t>Dương Phạm Thành Công (congdpt)</t>
  </si>
  <si>
    <t>Accounting Manager</t>
  </si>
  <si>
    <t>Nguyễn Thị Thủy</t>
  </si>
  <si>
    <t>thuynt03</t>
  </si>
  <si>
    <t>totq</t>
  </si>
  <si>
    <t>Trần Quốc Tố</t>
  </si>
  <si>
    <t>Associate Technical Support Engineer</t>
  </si>
  <si>
    <t>khanhnv</t>
  </si>
  <si>
    <t>Nguyễn Văn Khánh</t>
  </si>
  <si>
    <t>Fresher Software Engineer</t>
  </si>
  <si>
    <t>Đặng Hồng Phong</t>
  </si>
  <si>
    <t>hientm</t>
  </si>
  <si>
    <t>Tăng Minh Hiển</t>
  </si>
  <si>
    <t>Đào Đức Dũng</t>
  </si>
  <si>
    <t>Nguyễn Mỹ Duyên</t>
  </si>
  <si>
    <t>HR Intern</t>
  </si>
  <si>
    <t>Vòng Bảo Nhi</t>
  </si>
  <si>
    <t>ngoclhb</t>
  </si>
  <si>
    <t>Lê Hoài Bảo Ngọc</t>
  </si>
  <si>
    <t>Talent Acquisition Intern</t>
  </si>
  <si>
    <t>huythq</t>
  </si>
  <si>
    <t>Trần Hữu Quốc Huy</t>
  </si>
  <si>
    <t>Nguyễn Đình Thái</t>
  </si>
  <si>
    <t>datn</t>
  </si>
  <si>
    <t>Nguyễn Đạt</t>
  </si>
  <si>
    <t>ivan</t>
  </si>
  <si>
    <t>huynhmc</t>
  </si>
  <si>
    <t>Mã Cát Huỳnh</t>
  </si>
  <si>
    <t>Nguyễn Quốc Trung</t>
  </si>
  <si>
    <t>Odoo</t>
  </si>
  <si>
    <t>Nguyễn Ngọc Trinh</t>
  </si>
  <si>
    <t>Fresher QC Engineer</t>
  </si>
  <si>
    <t>Nguyễn Lê Thanh Trúc</t>
  </si>
  <si>
    <t>quymx</t>
  </si>
  <si>
    <t>Mai Xuân Quý</t>
  </si>
  <si>
    <t>Nguyễn Văn Bình</t>
  </si>
  <si>
    <t>khanhnq</t>
  </si>
  <si>
    <t>Nguyễn Quốc Khánh</t>
  </si>
  <si>
    <t>Phùng Thanh Huy (huypt3)</t>
  </si>
  <si>
    <t>huyennvn</t>
  </si>
  <si>
    <t>Nguyễn Vũ Ngọc Huyền</t>
  </si>
  <si>
    <t>Accountant Intern</t>
  </si>
  <si>
    <t>FA</t>
  </si>
  <si>
    <t>Hồ Thu Dung (dunght)</t>
  </si>
  <si>
    <t>Bùi Tuấn Huy</t>
  </si>
  <si>
    <t>Regional Business Manager</t>
  </si>
  <si>
    <t>Sales</t>
  </si>
  <si>
    <t>Nguyễn Thiện Nhân</t>
  </si>
  <si>
    <t>Senior Software Engineer</t>
  </si>
  <si>
    <t>quangtt</t>
  </si>
  <si>
    <t>Trần Thanh Quang</t>
  </si>
  <si>
    <t>Trần Thanh Vinh</t>
  </si>
  <si>
    <t>Cloud Senior Engineer</t>
  </si>
  <si>
    <t>Trịnh Xuân Vượng</t>
  </si>
  <si>
    <t>Solutions Architect</t>
  </si>
  <si>
    <t>haunc</t>
  </si>
  <si>
    <t>Nguyễn Công Hậu</t>
  </si>
  <si>
    <t>Lead Data Engineer</t>
  </si>
  <si>
    <t>Bùi Quốc Thái</t>
  </si>
  <si>
    <t>Associate QC Engineer</t>
  </si>
  <si>
    <t>30/07/2025</t>
  </si>
  <si>
    <t>Khổng Gia Bình</t>
  </si>
  <si>
    <t>Nguyễn Quốc Bảo</t>
  </si>
  <si>
    <t>DevOps Engineer</t>
  </si>
  <si>
    <t>phuctv</t>
  </si>
  <si>
    <t>Trần Vĩnh Phúc</t>
  </si>
  <si>
    <t>Senior IT Engineer</t>
  </si>
  <si>
    <t>28/7/2025</t>
  </si>
  <si>
    <t>Part-time</t>
  </si>
  <si>
    <t>haodcs</t>
  </si>
  <si>
    <t>Dương Chung Sĩ Hào</t>
  </si>
  <si>
    <t>Đinh Hiểu Văn</t>
  </si>
  <si>
    <t>Nguyễn Đăng Quang</t>
  </si>
  <si>
    <t>Cloud Security Engineer</t>
  </si>
  <si>
    <t>tutmt</t>
  </si>
  <si>
    <t>Trần Mạch Thanh Tú</t>
  </si>
  <si>
    <t>phuchh</t>
  </si>
  <si>
    <t>Huỳnh Hồng Phúc</t>
  </si>
  <si>
    <t>thunqg</t>
  </si>
  <si>
    <t>Nguyễn Quỳnh Gia Thư</t>
  </si>
  <si>
    <t>thupa</t>
  </si>
  <si>
    <t>Phan Anh Thư</t>
  </si>
  <si>
    <t>Associate Accounting Manager</t>
  </si>
  <si>
    <t>Trần Huyền Thanh (thanhth5)</t>
  </si>
  <si>
    <t>tramvn</t>
  </si>
  <si>
    <t>CFO</t>
  </si>
  <si>
    <t>Hồ Thành Nghĩa (nghiaht4)</t>
  </si>
  <si>
    <t>nghiaht4</t>
  </si>
  <si>
    <t>Nguyễn Viết Khải</t>
  </si>
  <si>
    <t>Lead IT Support Engineer</t>
  </si>
  <si>
    <t>tuandtb</t>
  </si>
  <si>
    <t>Đinh Trương Bảo Tuấn</t>
  </si>
  <si>
    <t>Lead Engineer</t>
  </si>
  <si>
    <t>Nguyễn Việt Trung</t>
  </si>
  <si>
    <t>Internal Auditor</t>
  </si>
  <si>
    <t>21/7/2025</t>
  </si>
  <si>
    <t>khamnc</t>
  </si>
  <si>
    <t>Nguyễn Chí Khâm</t>
  </si>
  <si>
    <t>23/7/2025</t>
  </si>
  <si>
    <t>Inactive</t>
  </si>
  <si>
    <t>Nguyễn Văn Lân</t>
  </si>
  <si>
    <t>baong5</t>
  </si>
  <si>
    <t>Nguyễn Gia Bảo</t>
  </si>
  <si>
    <t>Lê Quý Vân Anh</t>
  </si>
  <si>
    <t>Senior C&amp;B Specialist</t>
  </si>
  <si>
    <t>Mai Thị Cẩm Hà</t>
  </si>
  <si>
    <t>Associate GRC Analyst</t>
  </si>
  <si>
    <t>Ali Mustafa</t>
  </si>
  <si>
    <t>Data Solution Architect</t>
  </si>
  <si>
    <t>Aleksandar Jelic (jelica)</t>
  </si>
  <si>
    <t>jelica</t>
  </si>
  <si>
    <t>30/06/2025</t>
  </si>
  <si>
    <t>UAE</t>
  </si>
  <si>
    <t>thangdv2</t>
  </si>
  <si>
    <t>Dư Vi Thăng</t>
  </si>
  <si>
    <t>23/06/2025</t>
  </si>
  <si>
    <t>Replace</t>
  </si>
  <si>
    <t>Đào Xuân Tùng</t>
  </si>
  <si>
    <t>Lê Nhựt Thịnh</t>
  </si>
  <si>
    <t>Incident Manager</t>
  </si>
  <si>
    <t>ToanCV</t>
  </si>
  <si>
    <t>Trịnh Minh Toàn</t>
  </si>
  <si>
    <t>Đoàn Nhật Duẩn (duandn)</t>
  </si>
  <si>
    <t>Trần Hữu Mẫn</t>
  </si>
  <si>
    <t>Senior Project Manager</t>
  </si>
  <si>
    <t>hoant</t>
  </si>
  <si>
    <t>Nguyễn Thị Hoa</t>
  </si>
  <si>
    <t>27/05/2025</t>
  </si>
  <si>
    <t>chidu</t>
  </si>
  <si>
    <t>Dương Uyên Chi</t>
  </si>
  <si>
    <t>Trainer and Knowledge Manager</t>
  </si>
  <si>
    <t>26/05/2025</t>
  </si>
  <si>
    <t>lamdbn</t>
  </si>
  <si>
    <t>Dương Bảo Nhật Lam</t>
  </si>
  <si>
    <t>Nguyễn Tấn Anh Khoa (khoanta)</t>
  </si>
  <si>
    <t>khoanta</t>
  </si>
  <si>
    <t>14/05/2025</t>
  </si>
  <si>
    <t>Trần Huỳnh Công Lộc</t>
  </si>
  <si>
    <t>Nguyễn Hữu Hỷ (hynh)</t>
  </si>
  <si>
    <t>hynh</t>
  </si>
  <si>
    <t>Đinh Thị Thục Đoan</t>
  </si>
  <si>
    <t>Talent Acquisition and Development Manager</t>
  </si>
  <si>
    <t>thienndp</t>
  </si>
  <si>
    <t>Nguyễn Dư Phước Thiện</t>
  </si>
  <si>
    <t>28/04/2025</t>
  </si>
  <si>
    <t>26/06/2025</t>
  </si>
  <si>
    <t>trunglm8</t>
  </si>
  <si>
    <t>Lê Minh Trung</t>
  </si>
  <si>
    <t>Service Delivery Manager</t>
  </si>
  <si>
    <t>thangpq</t>
  </si>
  <si>
    <t>Phan Quốc Thắng</t>
  </si>
  <si>
    <t>Associate IT Operations Engineer</t>
  </si>
  <si>
    <t>Nguyễn Thành Trung</t>
  </si>
  <si>
    <t>IT Service Management Specialist II</t>
  </si>
  <si>
    <t>16/04/2025</t>
  </si>
  <si>
    <t>Nguyễn Cao Bách</t>
  </si>
  <si>
    <t>14/04/2025</t>
  </si>
  <si>
    <t>khoapd4</t>
  </si>
  <si>
    <t>Phan Đăng Khoa</t>
  </si>
  <si>
    <t>nhubtt2</t>
  </si>
  <si>
    <t>Bùi Thị Tuyết Như</t>
  </si>
  <si>
    <t>Finance Executive</t>
  </si>
  <si>
    <t>tuhc2</t>
  </si>
  <si>
    <t>Huỳnh Cẩm Tú</t>
  </si>
  <si>
    <t>Technical Support Engineer</t>
  </si>
  <si>
    <t>dunght2</t>
  </si>
  <si>
    <t>Hồ Thu Dung</t>
  </si>
  <si>
    <t>General Accountant, Executive</t>
  </si>
  <si>
    <t>thainv3</t>
  </si>
  <si>
    <t>Nguyễn Vũ Thái</t>
  </si>
  <si>
    <t>Trần Vĩnh Phúc (phuctv2)</t>
  </si>
  <si>
    <t>phuctv2</t>
  </si>
  <si>
    <t>Chu Văn Toàn</t>
  </si>
  <si>
    <t>Change And Release Manager</t>
  </si>
  <si>
    <t>nghiadh</t>
  </si>
  <si>
    <t>31/03/2025</t>
  </si>
  <si>
    <t>hanhntm5</t>
  </si>
  <si>
    <t>Nguyễn Thị Mỹ Hạnh</t>
  </si>
  <si>
    <t>HR Operations Manager</t>
  </si>
  <si>
    <t>25/04/2025</t>
  </si>
  <si>
    <t>Nguyễn Quốc Huy</t>
  </si>
  <si>
    <t>26/03/2025</t>
  </si>
  <si>
    <t>Nguyễn Hoàng Tâm</t>
  </si>
  <si>
    <t>phuvn2</t>
  </si>
  <si>
    <t>Vũ Ngọc Phú</t>
  </si>
  <si>
    <t>NOC Engineer</t>
  </si>
  <si>
    <t>Huỳnh Quang Thành (thanhhq2)</t>
  </si>
  <si>
    <t>thanhhq2</t>
  </si>
  <si>
    <t>24/05/2025</t>
  </si>
  <si>
    <t>Lê Thị Kim Anh</t>
  </si>
  <si>
    <t>Senior Legal Counsel</t>
  </si>
  <si>
    <t>24/03/2025</t>
  </si>
  <si>
    <t>quanghm2</t>
  </si>
  <si>
    <t>Hoàng Minh Quang</t>
  </si>
  <si>
    <t>Senior QC Engineer</t>
  </si>
  <si>
    <t>Huỳnh Ngọc Minh (minhhn2)</t>
  </si>
  <si>
    <t>minhhn2</t>
  </si>
  <si>
    <t>19/03/2025</t>
  </si>
  <si>
    <t>dungvt4</t>
  </si>
  <si>
    <t>Vũ Tâm Dũng</t>
  </si>
  <si>
    <t>Senior Solutions Architect</t>
  </si>
  <si>
    <t>17/03/2025</t>
  </si>
  <si>
    <t>thuantv5</t>
  </si>
  <si>
    <t>Từ Vạn Thuận</t>
  </si>
  <si>
    <t>Võ Thành Nhơn</t>
  </si>
  <si>
    <t>Senior DevOps Engineer</t>
  </si>
  <si>
    <t>huyenmt</t>
  </si>
  <si>
    <t>Mai Thị Huyền</t>
  </si>
  <si>
    <t>baonhq</t>
  </si>
  <si>
    <t>Ngô Hoàng Quốc Bảo</t>
  </si>
  <si>
    <t>uyenpld</t>
  </si>
  <si>
    <t>Phan Lê Diễm Uyên</t>
  </si>
  <si>
    <t>Senior Talent Acquisition Business Partner</t>
  </si>
  <si>
    <t>Nguyễn Thị Huế (huent2)</t>
  </si>
  <si>
    <t>huent2</t>
  </si>
  <si>
    <t>HieuVT</t>
  </si>
  <si>
    <t>Võ Thị Hiếu</t>
  </si>
  <si>
    <t>Senior Admin Executive</t>
  </si>
  <si>
    <t>ADP</t>
  </si>
  <si>
    <t>McKinnon Gary Robert Charles (garym)</t>
  </si>
  <si>
    <t>26/02/2025</t>
  </si>
  <si>
    <t>duongth2</t>
  </si>
  <si>
    <t>Trần Hoài Dương</t>
  </si>
  <si>
    <t>24/02/2025</t>
  </si>
  <si>
    <t>khoiht</t>
  </si>
  <si>
    <t>Hoàng Tuấn Khôi</t>
  </si>
  <si>
    <t>longptp</t>
  </si>
  <si>
    <t>Phạm Trần Phi Long</t>
  </si>
  <si>
    <t>Nguyễn Anh Tuấn</t>
  </si>
  <si>
    <t>19/02/2025</t>
  </si>
  <si>
    <t>Lê Cao Long Nhật</t>
  </si>
  <si>
    <t>Project Manager</t>
  </si>
  <si>
    <t>17/02/2025</t>
  </si>
  <si>
    <t>trandb2</t>
  </si>
  <si>
    <t>Dương Bảo Trân</t>
  </si>
  <si>
    <t>Vòng Bảo Nhi (nhivb)</t>
  </si>
  <si>
    <t>nhivb</t>
  </si>
  <si>
    <t>16/05/2025</t>
  </si>
  <si>
    <t>Nguyễn Thị Hoàng Yến</t>
  </si>
  <si>
    <t>Senior Database Developer</t>
  </si>
  <si>
    <t>Nguyễn Lâm Khánh Quỳnh</t>
  </si>
  <si>
    <t>Business Analyst</t>
  </si>
  <si>
    <t>sondv2</t>
  </si>
  <si>
    <t>Đặng Viết Sơn</t>
  </si>
  <si>
    <t>Senior Cloud Engineer</t>
  </si>
  <si>
    <t>anhnl3</t>
  </si>
  <si>
    <t>Nguyễn Lan Anh</t>
  </si>
  <si>
    <t>huylq12</t>
  </si>
  <si>
    <t>Lê Quốc Huy</t>
  </si>
  <si>
    <t>Senior Technical Project Manager</t>
  </si>
  <si>
    <t>Vũ Đức Thuận</t>
  </si>
  <si>
    <t>Senior Technical Support Engineer</t>
  </si>
  <si>
    <t>gamnth2</t>
  </si>
  <si>
    <t>Nguyễn Thị Hồng Gấm</t>
  </si>
  <si>
    <t>Admin Intern</t>
  </si>
  <si>
    <t>Đoàn Hà Mi (midh)</t>
  </si>
  <si>
    <t>quyph</t>
  </si>
  <si>
    <t>Phạm Hoàng Quý</t>
  </si>
  <si>
    <t>thinhpt</t>
  </si>
  <si>
    <t>Phạm Thế Thịnh</t>
  </si>
  <si>
    <t>Hoàng Anh Dũng</t>
  </si>
  <si>
    <t>Associate Software Engineer</t>
  </si>
  <si>
    <t>Trương Thanh Nhân (nhantt7)</t>
  </si>
  <si>
    <t>15/01/2025</t>
  </si>
  <si>
    <t>Huỳnh Trọng Dĩ</t>
  </si>
  <si>
    <t>Trần Triệu Dương</t>
  </si>
  <si>
    <t>COO</t>
  </si>
  <si>
    <t>Ngô Bá Tùng</t>
  </si>
  <si>
    <t>Lê Viết Khánh (khanhlv2)</t>
  </si>
  <si>
    <t>khanhlv2</t>
  </si>
  <si>
    <t>Nguyễn Minh Hùng</t>
  </si>
  <si>
    <t>myvk</t>
  </si>
  <si>
    <t>Viên Khánh My</t>
  </si>
  <si>
    <t>Ngô Khánh Vy (vynk2)</t>
  </si>
  <si>
    <t>Trần Hoàng Minh</t>
  </si>
  <si>
    <t>Cloud Engineer</t>
  </si>
  <si>
    <t>AliMNM</t>
  </si>
  <si>
    <t>Mahmoud Nimer Mustafa Ali</t>
  </si>
  <si>
    <t>Data Architect</t>
  </si>
  <si>
    <t>30/04/2025</t>
  </si>
  <si>
    <t>antonioa</t>
  </si>
  <si>
    <t>Antonuccio Antonio</t>
  </si>
  <si>
    <t>Senior Advisor</t>
  </si>
  <si>
    <t>Product</t>
  </si>
  <si>
    <t>Văn Tiến Đạt</t>
  </si>
  <si>
    <t>Nguyễn Quý</t>
  </si>
  <si>
    <t>Lại Thế Cường</t>
  </si>
  <si>
    <t>Nguyễn Văn Bình (binhnv5)</t>
  </si>
  <si>
    <t>Dương Huỳnh Nghĩa</t>
  </si>
  <si>
    <t>CTO</t>
  </si>
  <si>
    <t>26/01/2025</t>
  </si>
  <si>
    <t>vantk2</t>
  </si>
  <si>
    <t>Trần Kiết Văn</t>
  </si>
  <si>
    <t>Senior Project Coordinator</t>
  </si>
  <si>
    <t>Admin &amp; Office Manager</t>
  </si>
  <si>
    <t>Senior Software Engineer, Team Leader</t>
  </si>
  <si>
    <t>thinhbh</t>
  </si>
  <si>
    <t>Bùi Hoàng Thịnh</t>
  </si>
  <si>
    <t>Senior Hardware Designer</t>
  </si>
  <si>
    <t>Đinh Vũ Tiến</t>
  </si>
  <si>
    <t>Branding and Communications Lead</t>
  </si>
  <si>
    <t>Marketing</t>
  </si>
  <si>
    <t>Nguyễn Thị Thùy Trang</t>
  </si>
  <si>
    <t>trangntt</t>
  </si>
  <si>
    <t>Nguyễn Hồ Quốc Thịnh</t>
  </si>
  <si>
    <t>Nguyễn Quang Hoàng</t>
  </si>
  <si>
    <t>26/12/2024</t>
  </si>
  <si>
    <t>Huỳnh Nguyên Phương</t>
  </si>
  <si>
    <t>Hardware Designer</t>
  </si>
  <si>
    <t>Nguyễn Hải Đăng</t>
  </si>
  <si>
    <t>Trịnh Trần Minh Tuấn (tuanttm)</t>
  </si>
  <si>
    <t>tuanttm</t>
  </si>
  <si>
    <t>Nguyễn Trung Kiên</t>
  </si>
  <si>
    <t>Data Lead</t>
  </si>
  <si>
    <t>23/12/2024</t>
  </si>
  <si>
    <t>longtb5</t>
  </si>
  <si>
    <t>Trần Bảo Long</t>
  </si>
  <si>
    <t>Nguyễn Hồ Xuân Hương</t>
  </si>
  <si>
    <t>Lê Quang Hiếu</t>
  </si>
  <si>
    <t>Hồ Thành Nghĩa</t>
  </si>
  <si>
    <t>Nguyễn Công Bảo</t>
  </si>
  <si>
    <t>Nguyễn Vân Anh (anhnv5)</t>
  </si>
  <si>
    <t>Tăng Huy</t>
  </si>
  <si>
    <t>18/12/2024</t>
  </si>
  <si>
    <t>Hà Quốc Nguyên</t>
  </si>
  <si>
    <t>nganttt5</t>
  </si>
  <si>
    <t>Trần Thị Thủy Ngân</t>
  </si>
  <si>
    <t>31/05/2025</t>
  </si>
  <si>
    <t>anhnv6</t>
  </si>
  <si>
    <t>Nguyễn Việt Anh</t>
  </si>
  <si>
    <t>16/12/2024</t>
  </si>
  <si>
    <t>Trịnh Khánh Hòa</t>
  </si>
  <si>
    <t>leth2</t>
  </si>
  <si>
    <t>Trần Hồng Lê</t>
  </si>
  <si>
    <t>Lê Nam Hưng</t>
  </si>
  <si>
    <t>AI Engineer</t>
  </si>
  <si>
    <t>Đặng Thành Thái</t>
  </si>
  <si>
    <t>Huỳnh Ngọc Minh</t>
  </si>
  <si>
    <t>QC Manager</t>
  </si>
  <si>
    <t>anhtp4</t>
  </si>
  <si>
    <t>Trịnh Phương Anh</t>
  </si>
  <si>
    <t>Head of Sales &amp; Marketing</t>
  </si>
  <si>
    <t>Antonuccio Antonio (antonioa)</t>
  </si>
  <si>
    <t>18/04/2025</t>
  </si>
  <si>
    <t>Võ Lê Nguyên Khang</t>
  </si>
  <si>
    <t>27/11/2024</t>
  </si>
  <si>
    <t>Chief Innovation Officer</t>
  </si>
  <si>
    <t>26/11/2024</t>
  </si>
  <si>
    <t>Phùng Thanh Huy</t>
  </si>
  <si>
    <t>Ngô Khánh Vy</t>
  </si>
  <si>
    <t>Lead Business Analyst</t>
  </si>
  <si>
    <t>tuanlm7</t>
  </si>
  <si>
    <t>Lê Minh Tuấn</t>
  </si>
  <si>
    <t>Associate Content Marketing Executive</t>
  </si>
  <si>
    <t>25/03/2025</t>
  </si>
  <si>
    <t>Nguyễn Hữu Hỷ</t>
  </si>
  <si>
    <t>DevSecOps Team Lead</t>
  </si>
  <si>
    <t>baovg</t>
  </si>
  <si>
    <t>Võ Gia Bảo</t>
  </si>
  <si>
    <t>linhtt8</t>
  </si>
  <si>
    <t>Thái Tuyết Linh</t>
  </si>
  <si>
    <t>vudt3</t>
  </si>
  <si>
    <t>Dương Thế Vũ</t>
  </si>
  <si>
    <t>Huỳnh Quang Thành</t>
  </si>
  <si>
    <t>Service Delivery Director</t>
  </si>
  <si>
    <t>26/08/2024</t>
  </si>
  <si>
    <t>Trịnh Trần Minh Tuấn</t>
  </si>
  <si>
    <t>thinhlt5</t>
  </si>
  <si>
    <t>Lư Tiến Thịnh</t>
  </si>
  <si>
    <t>Senior Business Analyst</t>
  </si>
  <si>
    <t>21/05/2025</t>
  </si>
  <si>
    <t>mannm4</t>
  </si>
  <si>
    <t>Nguyễn Minh Mẫn</t>
  </si>
  <si>
    <t>19/08/2024</t>
  </si>
  <si>
    <t>Nguyễn Thanh Lê</t>
  </si>
  <si>
    <t>Senior GIS Specialist</t>
  </si>
  <si>
    <t>14/08/2024</t>
  </si>
  <si>
    <t>Assistant to HR Business Partner</t>
  </si>
  <si>
    <t>Nguyễn Tấn Anh Khoa</t>
  </si>
  <si>
    <t>Senior IT Operations Engineer</t>
  </si>
  <si>
    <t>longlh9</t>
  </si>
  <si>
    <t>Lê Huỳnh Long</t>
  </si>
  <si>
    <t>18/07/2025</t>
  </si>
  <si>
    <t>29/07/2024</t>
  </si>
  <si>
    <t>quanlh3</t>
  </si>
  <si>
    <t>Lê Hoàng Quân</t>
  </si>
  <si>
    <t>khangod</t>
  </si>
  <si>
    <t>Ôn Đức Khang</t>
  </si>
  <si>
    <t>Lê Hanh</t>
  </si>
  <si>
    <t>UI/UX Designer</t>
  </si>
  <si>
    <t>Nguyễn Hoài Nam</t>
  </si>
  <si>
    <t>Nguyễn Tấn Thơ (thont2)</t>
  </si>
  <si>
    <t>thont2</t>
  </si>
  <si>
    <t>26/07/2024</t>
  </si>
  <si>
    <t>huytg2</t>
  </si>
  <si>
    <t>Tăng Gia Huy</t>
  </si>
  <si>
    <t>17/07/2024</t>
  </si>
  <si>
    <t>29/06/2025</t>
  </si>
  <si>
    <t>nhannv4</t>
  </si>
  <si>
    <t>Nguyễn Võ Nhân</t>
  </si>
  <si>
    <t>15/07/2024</t>
  </si>
  <si>
    <t>thiennt5</t>
  </si>
  <si>
    <t>Nguyễn Thành Thiên</t>
  </si>
  <si>
    <t>ngaptq</t>
  </si>
  <si>
    <t>Phan Thị Quỳnh Nga</t>
  </si>
  <si>
    <t>28/07/2025</t>
  </si>
  <si>
    <t>Nguyễn Thị Thuý Hằng</t>
  </si>
  <si>
    <t>Presales Editor</t>
  </si>
  <si>
    <t>nghiant15</t>
  </si>
  <si>
    <t>Nguyễn Tuấn Nghĩa</t>
  </si>
  <si>
    <t>Technical Architect</t>
  </si>
  <si>
    <t>Nguyễn Tấn Thơ</t>
  </si>
  <si>
    <t>sontt7</t>
  </si>
  <si>
    <t>Trần Thái Sơn</t>
  </si>
  <si>
    <t>bachnv</t>
  </si>
  <si>
    <t>Nguyễn Việt Bách</t>
  </si>
  <si>
    <t>24/06/2024</t>
  </si>
  <si>
    <t>Senior Data Engineer</t>
  </si>
  <si>
    <t>dungpt7</t>
  </si>
  <si>
    <t>Phạm Tiến Dũng</t>
  </si>
  <si>
    <t>25/05/2025</t>
  </si>
  <si>
    <t>danpn2</t>
  </si>
  <si>
    <t>Phạm Ngọc Dân</t>
  </si>
  <si>
    <t>Technical Project Manager</t>
  </si>
  <si>
    <t>hoanglq</t>
  </si>
  <si>
    <t>Lê Quốc Hoàng</t>
  </si>
  <si>
    <t>19/06/2024</t>
  </si>
  <si>
    <t>29/05/2025</t>
  </si>
  <si>
    <t>Trương Thanh Nhân</t>
  </si>
  <si>
    <t>17/06/2024</t>
  </si>
  <si>
    <t>Lê Viết Khánh</t>
  </si>
  <si>
    <t>Nguyễn Trọng Linh</t>
  </si>
  <si>
    <t>Nguyễn Huy Công</t>
  </si>
  <si>
    <t>30/05/2025</t>
  </si>
  <si>
    <t>Nguyễn Huỳnh Thanh Phong</t>
  </si>
  <si>
    <t>haidq2</t>
  </si>
  <si>
    <t>Đoàn Quang Hải</t>
  </si>
  <si>
    <t>Nguyễn Hồ Quốc Thịnh (thinhnhq)</t>
  </si>
  <si>
    <t>Huỳnh Quốc Quân</t>
  </si>
  <si>
    <t>Senior Database Administrator</t>
  </si>
  <si>
    <t>hoadv</t>
  </si>
  <si>
    <t>Đồng Việt Hòa</t>
  </si>
  <si>
    <t>Cao Chí Hiếu</t>
  </si>
  <si>
    <t>Hồ Ngọc Danh</t>
  </si>
  <si>
    <t>29/05/2024</t>
  </si>
  <si>
    <t>thivt</t>
  </si>
  <si>
    <t>Võ Trường Thi</t>
  </si>
  <si>
    <t>20/05/2024</t>
  </si>
  <si>
    <t>mypm</t>
  </si>
  <si>
    <t>Phạm Mai My</t>
  </si>
  <si>
    <t>Trương Thanh Đông</t>
  </si>
  <si>
    <t>26/04/2024</t>
  </si>
  <si>
    <t>nganplk</t>
  </si>
  <si>
    <t>Phạm Lê Kim Ngân</t>
  </si>
  <si>
    <t>Văn Tiến Đạt (datvt10)</t>
  </si>
  <si>
    <t>nhunglh3</t>
  </si>
  <si>
    <t>Lê Hồng Nhung</t>
  </si>
  <si>
    <t>Associate Project Manager</t>
  </si>
  <si>
    <t>Nguyễn Trọng Linh (linhnt16)</t>
  </si>
  <si>
    <t>Trần Huyền Thanh</t>
  </si>
  <si>
    <t>Data Specialist</t>
  </si>
  <si>
    <t>Trần Hải Trình</t>
  </si>
  <si>
    <t>tanvt2</t>
  </si>
  <si>
    <t>Võ Trung Tấn</t>
  </si>
  <si>
    <t>chuongtv2</t>
  </si>
  <si>
    <t>Trần Việt Chương</t>
  </si>
  <si>
    <t>15/04/2025</t>
  </si>
  <si>
    <t>Dương Phạm Thành Công</t>
  </si>
  <si>
    <t>ERP Lead</t>
  </si>
  <si>
    <t>Aleksandar Jelic</t>
  </si>
  <si>
    <t>Gary Robert Charles Mckinnon</t>
  </si>
  <si>
    <t>CEO</t>
  </si>
  <si>
    <t>Nguyễn Nhã Minh</t>
  </si>
  <si>
    <t>Intern IT</t>
  </si>
  <si>
    <t>Nguyễn Ngọc Lân</t>
  </si>
  <si>
    <t xml:space="preserve">Business Analyst Intern </t>
  </si>
  <si>
    <t>Ngô Khánh Vu</t>
  </si>
  <si>
    <t>17/08/2026</t>
  </si>
  <si>
    <t>LAP0118</t>
  </si>
  <si>
    <t>Z6OM-OA59-PHA4-OPG6-5TWE-253L</t>
  </si>
  <si>
    <t>LAP0121</t>
  </si>
  <si>
    <t>Z89W-5XFK-VMKH-J346-KPY7-6KPJ</t>
  </si>
  <si>
    <t>LAP0146</t>
  </si>
  <si>
    <t>N33V3-9KKBK-FBGYW-KDQ6P-7CFTG</t>
  </si>
  <si>
    <t>Win11 pro</t>
  </si>
  <si>
    <t>S/N</t>
  </si>
  <si>
    <t>Lable</t>
  </si>
  <si>
    <t>LAP0135</t>
  </si>
  <si>
    <t>CAB0014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</si>
</sst>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&quot;/&quot;mm&quot;/&quot;yyyy"/>
    <numFmt numFmtId="165" formatCode="[$-1010000]d/m/yyyy;@"/>
    <numFmt numFmtId="166" formatCode="[$-409]d\-mmm;@"/>
    <numFmt numFmtId="167" formatCode="dd/mm/yyyy"/>
  </numFmts>
  <fonts count="28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1"/>
      <color rgb="FF9C0006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FFFF00"/>
      <name val="Aptos Narrow"/>
      <family val="2"/>
      <scheme val="minor"/>
    </font>
    <font>
      <b/>
      <sz val="12"/>
      <color rgb="FF212121"/>
      <name val="Roboto"/>
    </font>
    <font>
      <sz val="11"/>
      <color rgb="FF000000"/>
      <name val="Aptos Narrow"/>
      <family val="2"/>
      <charset val="1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24"/>
      <color rgb="FFFFFFFF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28"/>
      <color rgb="FF1F4E79"/>
      <name val="Aptos Narrow"/>
      <family val="2"/>
      <scheme val="minor"/>
    </font>
    <font>
      <b/>
      <sz val="28"/>
      <color rgb="FF00B050"/>
      <name val="Aptos Narrow"/>
      <family val="2"/>
      <scheme val="minor"/>
    </font>
    <font>
      <b/>
      <sz val="28"/>
      <color rgb="FF7F7F7F"/>
      <name val="Aptos Narrow"/>
      <family val="2"/>
      <scheme val="minor"/>
    </font>
    <font>
      <b/>
      <sz val="28"/>
      <color rgb="FFFF6600"/>
      <name val="Aptos Narrow"/>
      <family val="2"/>
      <scheme val="minor"/>
    </font>
    <font>
      <b/>
      <sz val="28"/>
      <color rgb="FFC00000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b/>
      <sz val="14"/>
      <color rgb="FFFFFFFF"/>
      <name val="Aptos Narrow"/>
      <scheme val="minor"/>
    </font>
    <font>
      <b/>
      <sz val="11"/>
      <color rgb="FFFFFFFF"/>
      <name val="Aptos Narrow"/>
      <scheme val="minor"/>
    </font>
    <font>
      <sz val="10"/>
      <color rgb="FF000000"/>
      <name val="Aptos Narrow"/>
      <scheme val="minor"/>
    </font>
    <font>
      <sz val="10"/>
      <color theme="1"/>
      <name val="Aptos Narrow"/>
      <scheme val="minor"/>
    </font>
    <font>
      <b/>
      <sz val="28"/>
      <color theme="4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4A86E8"/>
        <bgColor rgb="FF4A86E8"/>
      </patternFill>
    </fill>
    <fill>
      <patternFill patternType="solid">
        <fgColor rgb="FFA4C2F4"/>
        <bgColor rgb="FFA4C2F4"/>
      </patternFill>
    </fill>
    <fill>
      <patternFill patternType="solid">
        <fgColor rgb="FFF1C232"/>
        <bgColor rgb="FFF1C232"/>
      </patternFill>
    </fill>
    <fill>
      <patternFill patternType="solid">
        <fgColor rgb="FF83CAEB"/>
        <bgColor rgb="FF83CAEB"/>
      </patternFill>
    </fill>
    <fill>
      <patternFill patternType="solid">
        <fgColor theme="7"/>
        <bgColor theme="7"/>
      </patternFill>
    </fill>
    <fill>
      <patternFill patternType="solid">
        <fgColor rgb="FF999999"/>
        <bgColor rgb="FF999999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2F5496"/>
        <bgColor indexed="64"/>
      </patternFill>
    </fill>
    <fill>
      <patternFill patternType="solid">
        <fgColor rgb="FFF2F7FB"/>
        <bgColor indexed="64"/>
      </patternFill>
    </fill>
    <fill>
      <patternFill patternType="solid">
        <fgColor rgb="FF4D70C0"/>
        <bgColor indexed="64"/>
      </patternFill>
    </fill>
    <fill>
      <patternFill patternType="solid">
        <fgColor rgb="FFE4EEDB"/>
        <bgColor indexed="64"/>
      </patternFill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indexed="64"/>
      </top>
      <bottom style="thin">
        <color auto="1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D9E2F3"/>
      </left>
      <right style="thin">
        <color rgb="FFD9E2F3"/>
      </right>
      <top style="medium">
        <color rgb="FF1F4E79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2E75B6"/>
      </left>
      <right style="thin">
        <color rgb="FFD9E2F3"/>
      </right>
      <top style="medium">
        <color rgb="FF1F4E79"/>
      </top>
      <bottom style="thin">
        <color rgb="FFD9E2F3"/>
      </bottom>
      <diagonal/>
    </border>
    <border>
      <left style="thin">
        <color rgb="FF2E75B6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2E75B6"/>
      </right>
      <top style="medium">
        <color rgb="FF1F4E79"/>
      </top>
      <bottom style="thin">
        <color rgb="FFD9E2F3"/>
      </bottom>
      <diagonal/>
    </border>
    <border>
      <left style="thin">
        <color rgb="FFD9E2F3"/>
      </left>
      <right style="thin">
        <color rgb="FF2E75B6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2E75B6"/>
      </bottom>
      <diagonal/>
    </border>
    <border>
      <left style="thin">
        <color rgb="FFD9E2F3"/>
      </left>
      <right style="thin">
        <color rgb="FF2E75B6"/>
      </right>
      <top style="thin">
        <color rgb="FFD9E2F3"/>
      </top>
      <bottom style="thin">
        <color rgb="FF2E75B6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 style="thin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3" xfId="0" applyBorder="1" applyAlignment="1">
      <alignment horizontal="center"/>
    </xf>
    <xf numFmtId="0" fontId="0" fillId="0" borderId="3" xfId="0" applyBorder="1"/>
    <xf numFmtId="0" fontId="0" fillId="0" borderId="1" xfId="0" applyBorder="1" applyAlignment="1">
      <alignment wrapText="1"/>
    </xf>
    <xf numFmtId="0" fontId="6" fillId="9" borderId="1" xfId="0" applyFont="1" applyFill="1" applyBorder="1"/>
    <xf numFmtId="0" fontId="5" fillId="0" borderId="1" xfId="0" applyFont="1" applyBorder="1"/>
    <xf numFmtId="37" fontId="0" fillId="0" borderId="1" xfId="0" applyNumberFormat="1" applyBorder="1" applyAlignment="1">
      <alignment wrapText="1"/>
    </xf>
    <xf numFmtId="0" fontId="0" fillId="0" borderId="5" xfId="0" applyBorder="1"/>
    <xf numFmtId="0" fontId="2" fillId="2" borderId="4" xfId="0" applyFont="1" applyFill="1" applyBorder="1" applyAlignment="1">
      <alignment horizontal="center" vertical="center"/>
    </xf>
    <xf numFmtId="0" fontId="0" fillId="0" borderId="1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165" fontId="0" fillId="0" borderId="1" xfId="0" applyNumberFormat="1" applyBorder="1" applyAlignment="1">
      <alignment horizontal="right"/>
    </xf>
    <xf numFmtId="0" fontId="4" fillId="0" borderId="1" xfId="0" applyFont="1" applyBorder="1"/>
    <xf numFmtId="0" fontId="0" fillId="0" borderId="7" xfId="0" applyBorder="1"/>
    <xf numFmtId="0" fontId="8" fillId="0" borderId="1" xfId="0" applyFont="1" applyBorder="1"/>
    <xf numFmtId="0" fontId="7" fillId="11" borderId="4" xfId="0" applyFont="1" applyFill="1" applyBorder="1"/>
    <xf numFmtId="0" fontId="0" fillId="0" borderId="1" xfId="0" quotePrefix="1" applyBorder="1"/>
    <xf numFmtId="0" fontId="6" fillId="0" borderId="1" xfId="0" applyFont="1" applyBorder="1"/>
    <xf numFmtId="166" fontId="0" fillId="0" borderId="1" xfId="0" applyNumberFormat="1" applyBorder="1"/>
    <xf numFmtId="0" fontId="5" fillId="9" borderId="1" xfId="0" applyFont="1" applyFill="1" applyBorder="1"/>
    <xf numFmtId="0" fontId="1" fillId="0" borderId="4" xfId="0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14" fontId="2" fillId="2" borderId="4" xfId="0" applyNumberFormat="1" applyFont="1" applyFill="1" applyBorder="1" applyAlignment="1">
      <alignment horizontal="center" vertical="center"/>
    </xf>
    <xf numFmtId="14" fontId="1" fillId="3" borderId="4" xfId="0" applyNumberFormat="1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 wrapText="1"/>
    </xf>
    <xf numFmtId="164" fontId="1" fillId="4" borderId="4" xfId="0" applyNumberFormat="1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1" fillId="8" borderId="4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49" fontId="3" fillId="2" borderId="4" xfId="0" applyNumberFormat="1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9" fillId="0" borderId="8" xfId="0" applyFont="1" applyBorder="1"/>
    <xf numFmtId="0" fontId="0" fillId="0" borderId="8" xfId="0" applyBorder="1" applyAlignment="1">
      <alignment horizontal="center"/>
    </xf>
    <xf numFmtId="0" fontId="9" fillId="16" borderId="8" xfId="0" applyFont="1" applyFill="1" applyBorder="1" applyAlignment="1">
      <alignment horizontal="center"/>
    </xf>
    <xf numFmtId="0" fontId="20" fillId="0" borderId="0" xfId="0" applyFont="1"/>
    <xf numFmtId="0" fontId="9" fillId="0" borderId="0" xfId="0" applyFont="1" applyAlignment="1">
      <alignment horizontal="right"/>
    </xf>
    <xf numFmtId="0" fontId="21" fillId="0" borderId="0" xfId="0" applyFont="1"/>
    <xf numFmtId="0" fontId="0" fillId="0" borderId="4" xfId="0" applyBorder="1"/>
    <xf numFmtId="0" fontId="23" fillId="15" borderId="11" xfId="0" applyFont="1" applyFill="1" applyBorder="1" applyAlignment="1">
      <alignment horizontal="center" vertical="center" wrapText="1"/>
    </xf>
    <xf numFmtId="0" fontId="23" fillId="15" borderId="12" xfId="0" applyFont="1" applyFill="1" applyBorder="1" applyAlignment="1">
      <alignment horizontal="center" vertical="center" wrapText="1"/>
    </xf>
    <xf numFmtId="0" fontId="23" fillId="15" borderId="13" xfId="0" applyFont="1" applyFill="1" applyBorder="1" applyAlignment="1">
      <alignment horizontal="center" vertical="center" wrapText="1"/>
    </xf>
    <xf numFmtId="0" fontId="24" fillId="10" borderId="16" xfId="0" applyFont="1" applyFill="1" applyBorder="1" applyAlignment="1">
      <alignment horizontal="center" vertical="center"/>
    </xf>
    <xf numFmtId="0" fontId="24" fillId="10" borderId="14" xfId="0" applyFont="1" applyFill="1" applyBorder="1" applyAlignment="1">
      <alignment horizontal="left" vertical="center"/>
    </xf>
    <xf numFmtId="0" fontId="24" fillId="10" borderId="14" xfId="0" applyFont="1" applyFill="1" applyBorder="1" applyAlignment="1">
      <alignment horizontal="left" vertical="center" wrapText="1"/>
    </xf>
    <xf numFmtId="0" fontId="25" fillId="10" borderId="14" xfId="0" applyFont="1" applyFill="1" applyBorder="1" applyAlignment="1">
      <alignment horizontal="left" vertical="center"/>
    </xf>
    <xf numFmtId="0" fontId="24" fillId="10" borderId="14" xfId="0" applyFont="1" applyFill="1" applyBorder="1" applyAlignment="1">
      <alignment horizontal="center" vertical="center"/>
    </xf>
    <xf numFmtId="167" fontId="24" fillId="10" borderId="14" xfId="0" applyNumberFormat="1" applyFont="1" applyFill="1" applyBorder="1" applyAlignment="1">
      <alignment horizontal="center" vertical="center"/>
    </xf>
    <xf numFmtId="0" fontId="24" fillId="10" borderId="18" xfId="0" applyFont="1" applyFill="1" applyBorder="1" applyAlignment="1">
      <alignment horizontal="left" vertical="center"/>
    </xf>
    <xf numFmtId="0" fontId="24" fillId="20" borderId="17" xfId="0" applyFont="1" applyFill="1" applyBorder="1" applyAlignment="1">
      <alignment horizontal="center" vertical="center"/>
    </xf>
    <xf numFmtId="0" fontId="24" fillId="20" borderId="15" xfId="0" applyFont="1" applyFill="1" applyBorder="1" applyAlignment="1">
      <alignment horizontal="left" vertical="center"/>
    </xf>
    <xf numFmtId="0" fontId="24" fillId="20" borderId="15" xfId="0" applyFont="1" applyFill="1" applyBorder="1" applyAlignment="1">
      <alignment horizontal="left" vertical="center" wrapText="1"/>
    </xf>
    <xf numFmtId="0" fontId="24" fillId="20" borderId="15" xfId="0" applyFont="1" applyFill="1" applyBorder="1" applyAlignment="1">
      <alignment horizontal="center" vertical="center"/>
    </xf>
    <xf numFmtId="167" fontId="24" fillId="20" borderId="15" xfId="0" applyNumberFormat="1" applyFont="1" applyFill="1" applyBorder="1" applyAlignment="1">
      <alignment horizontal="center" vertical="center"/>
    </xf>
    <xf numFmtId="0" fontId="24" fillId="20" borderId="19" xfId="0" applyFont="1" applyFill="1" applyBorder="1" applyAlignment="1">
      <alignment horizontal="left" vertical="center"/>
    </xf>
    <xf numFmtId="0" fontId="24" fillId="10" borderId="15" xfId="0" applyFont="1" applyFill="1" applyBorder="1" applyAlignment="1">
      <alignment horizontal="left" vertical="center"/>
    </xf>
    <xf numFmtId="0" fontId="24" fillId="10" borderId="15" xfId="0" applyFont="1" applyFill="1" applyBorder="1" applyAlignment="1">
      <alignment horizontal="left" vertical="center" wrapText="1"/>
    </xf>
    <xf numFmtId="0" fontId="25" fillId="10" borderId="15" xfId="0" applyFont="1" applyFill="1" applyBorder="1" applyAlignment="1">
      <alignment horizontal="left" vertical="center"/>
    </xf>
    <xf numFmtId="0" fontId="24" fillId="10" borderId="15" xfId="0" applyFont="1" applyFill="1" applyBorder="1" applyAlignment="1">
      <alignment horizontal="center" vertical="center"/>
    </xf>
    <xf numFmtId="167" fontId="24" fillId="10" borderId="15" xfId="0" applyNumberFormat="1" applyFont="1" applyFill="1" applyBorder="1" applyAlignment="1">
      <alignment horizontal="center" vertical="center"/>
    </xf>
    <xf numFmtId="0" fontId="24" fillId="10" borderId="19" xfId="0" applyFont="1" applyFill="1" applyBorder="1" applyAlignment="1">
      <alignment horizontal="left" vertical="center"/>
    </xf>
    <xf numFmtId="0" fontId="25" fillId="20" borderId="15" xfId="0" applyFont="1" applyFill="1" applyBorder="1" applyAlignment="1">
      <alignment horizontal="left" vertical="center"/>
    </xf>
    <xf numFmtId="0" fontId="25" fillId="10" borderId="15" xfId="0" applyFont="1" applyFill="1" applyBorder="1" applyAlignment="1">
      <alignment horizontal="center" vertical="center"/>
    </xf>
    <xf numFmtId="0" fontId="25" fillId="20" borderId="15" xfId="0" applyFont="1" applyFill="1" applyBorder="1" applyAlignment="1">
      <alignment horizontal="center" vertical="center"/>
    </xf>
    <xf numFmtId="0" fontId="24" fillId="20" borderId="15" xfId="0" applyFont="1" applyFill="1" applyBorder="1" applyAlignment="1">
      <alignment horizontal="center" vertical="center" wrapText="1"/>
    </xf>
    <xf numFmtId="167" fontId="25" fillId="20" borderId="15" xfId="0" applyNumberFormat="1" applyFont="1" applyFill="1" applyBorder="1" applyAlignment="1">
      <alignment horizontal="center" vertical="center"/>
    </xf>
    <xf numFmtId="0" fontId="24" fillId="20" borderId="20" xfId="0" applyFont="1" applyFill="1" applyBorder="1" applyAlignment="1">
      <alignment horizontal="left" vertical="center"/>
    </xf>
    <xf numFmtId="0" fontId="24" fillId="20" borderId="20" xfId="0" applyFont="1" applyFill="1" applyBorder="1" applyAlignment="1">
      <alignment horizontal="center" vertical="center"/>
    </xf>
    <xf numFmtId="167" fontId="24" fillId="20" borderId="20" xfId="0" applyNumberFormat="1" applyFont="1" applyFill="1" applyBorder="1" applyAlignment="1">
      <alignment horizontal="center" vertical="center"/>
    </xf>
    <xf numFmtId="0" fontId="24" fillId="20" borderId="21" xfId="0" applyFont="1" applyFill="1" applyBorder="1" applyAlignment="1">
      <alignment horizontal="left" vertical="center"/>
    </xf>
    <xf numFmtId="0" fontId="10" fillId="12" borderId="0" xfId="0" applyFont="1" applyFill="1" applyAlignment="1">
      <alignment horizontal="center"/>
    </xf>
    <xf numFmtId="0" fontId="0" fillId="0" borderId="22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23" xfId="0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10" fillId="12" borderId="24" xfId="0" applyFont="1" applyFill="1" applyBorder="1" applyAlignment="1">
      <alignment horizontal="center"/>
    </xf>
    <xf numFmtId="0" fontId="26" fillId="0" borderId="0" xfId="0" applyFont="1" applyAlignment="1">
      <alignment horizontal="center"/>
    </xf>
    <xf numFmtId="0" fontId="27" fillId="21" borderId="1" xfId="0" applyFont="1" applyFill="1" applyBorder="1" applyAlignment="1">
      <alignment horizontal="center"/>
    </xf>
    <xf numFmtId="0" fontId="9" fillId="0" borderId="23" xfId="0" applyFont="1" applyBorder="1"/>
    <xf numFmtId="0" fontId="19" fillId="12" borderId="0" xfId="0" applyFont="1" applyFill="1"/>
    <xf numFmtId="0" fontId="11" fillId="0" borderId="0" xfId="0" applyFont="1" applyAlignment="1">
      <alignment vertical="center"/>
    </xf>
    <xf numFmtId="0" fontId="12" fillId="0" borderId="0" xfId="0" applyFont="1"/>
    <xf numFmtId="0" fontId="13" fillId="0" borderId="0" xfId="0" applyFont="1"/>
    <xf numFmtId="0" fontId="9" fillId="22" borderId="8" xfId="0" applyFont="1" applyFill="1" applyBorder="1" applyAlignment="1">
      <alignment horizontal="center"/>
    </xf>
    <xf numFmtId="3" fontId="0" fillId="0" borderId="0" xfId="0" applyNumberFormat="1" applyAlignment="1">
      <alignment horizontal="center"/>
    </xf>
    <xf numFmtId="0" fontId="19" fillId="12" borderId="8" xfId="0" applyFont="1" applyFill="1" applyBorder="1" applyAlignment="1">
      <alignment horizontal="center"/>
    </xf>
    <xf numFmtId="0" fontId="9" fillId="0" borderId="8" xfId="0" applyFont="1" applyBorder="1" applyAlignment="1">
      <alignment horizontal="center" vertical="center"/>
    </xf>
    <xf numFmtId="0" fontId="10" fillId="12" borderId="25" xfId="0" applyFont="1" applyFill="1" applyBorder="1" applyAlignment="1">
      <alignment horizontal="center"/>
    </xf>
    <xf numFmtId="0" fontId="0" fillId="22" borderId="8" xfId="0" applyFill="1" applyBorder="1" applyAlignment="1">
      <alignment horizontal="center"/>
    </xf>
    <xf numFmtId="0" fontId="2" fillId="2" borderId="4" xfId="0" applyFont="1" applyFill="1" applyBorder="1" applyAlignment="1">
      <alignment horizontal="center" vertical="center" wrapText="1"/>
    </xf>
    <xf numFmtId="0" fontId="0" fillId="0" borderId="24" xfId="0" applyBorder="1"/>
    <xf numFmtId="0" fontId="0" fillId="0" borderId="8" xfId="0" applyBorder="1"/>
    <xf numFmtId="0" fontId="0" fillId="0" borderId="24" xfId="0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0" fillId="0" borderId="26" xfId="0" applyBorder="1" applyAlignment="1">
      <alignment horizontal="center"/>
    </xf>
    <xf numFmtId="0" fontId="9" fillId="0" borderId="24" xfId="0" applyFont="1" applyBorder="1" applyAlignment="1">
      <alignment horizontal="center" vertical="center"/>
    </xf>
    <xf numFmtId="37" fontId="0" fillId="0" borderId="0" xfId="0" applyNumberFormat="1"/>
    <xf numFmtId="0" fontId="0" fillId="0" borderId="0" xfId="0" applyAlignment="1">
      <alignment wrapText="1"/>
    </xf>
    <xf numFmtId="0" fontId="19" fillId="12" borderId="27" xfId="0" applyFont="1" applyFill="1" applyBorder="1" applyAlignment="1">
      <alignment horizontal="center"/>
    </xf>
    <xf numFmtId="0" fontId="0" fillId="0" borderId="1" xfId="0" applyBorder="1" applyAlignment="1">
      <alignment vertical="center"/>
    </xf>
    <xf numFmtId="0" fontId="9" fillId="18" borderId="9" xfId="0" applyFont="1" applyFill="1" applyBorder="1" applyAlignment="1">
      <alignment horizontal="center"/>
    </xf>
    <xf numFmtId="0" fontId="9" fillId="18" borderId="0" xfId="0" applyFont="1" applyFill="1" applyAlignment="1">
      <alignment horizontal="center"/>
    </xf>
    <xf numFmtId="0" fontId="11" fillId="13" borderId="0" xfId="0" applyFont="1" applyFill="1" applyAlignment="1">
      <alignment horizontal="center" vertical="center"/>
    </xf>
    <xf numFmtId="0" fontId="12" fillId="14" borderId="0" xfId="0" applyFont="1" applyFill="1" applyAlignment="1">
      <alignment horizontal="center"/>
    </xf>
    <xf numFmtId="0" fontId="10" fillId="17" borderId="0" xfId="0" applyFont="1" applyFill="1" applyAlignment="1">
      <alignment horizontal="center"/>
    </xf>
    <xf numFmtId="0" fontId="19" fillId="17" borderId="0" xfId="0" applyFont="1" applyFill="1" applyAlignment="1">
      <alignment horizontal="center"/>
    </xf>
    <xf numFmtId="0" fontId="13" fillId="15" borderId="0" xfId="0" applyFont="1" applyFill="1" applyAlignment="1">
      <alignment horizontal="center"/>
    </xf>
    <xf numFmtId="0" fontId="19" fillId="19" borderId="0" xfId="0" applyFont="1" applyFill="1" applyAlignment="1">
      <alignment horizontal="center"/>
    </xf>
    <xf numFmtId="0" fontId="22" fillId="13" borderId="2" xfId="0" applyFont="1" applyFill="1" applyBorder="1" applyAlignment="1">
      <alignment horizontal="center" vertical="center"/>
    </xf>
  </cellXfs>
  <cellStyles count="1">
    <cellStyle name="Normal" xfId="0" builtinId="0"/>
  </cellStyles>
  <dxfs count="37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ill>
        <patternFill>
          <bgColor rgb="FFFFC7CE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rgb="FFFFC000"/>
        </patternFill>
      </fill>
    </dxf>
    <dxf>
      <font>
        <color theme="1"/>
      </font>
      <fill>
        <patternFill patternType="solid">
          <bgColor theme="3" tint="0.749992370372631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D9D9D9"/>
        </patternFill>
      </fill>
    </dxf>
    <dxf>
      <fill>
        <patternFill patternType="solid">
          <fgColor indexed="64"/>
          <bgColor rgb="FFFFF2CC"/>
        </patternFill>
      </fill>
    </dxf>
    <dxf>
      <font>
        <color rgb="FF990000"/>
      </font>
      <fill>
        <patternFill patternType="solid">
          <fgColor indexed="64"/>
          <bgColor rgb="FFFFCCCC"/>
        </patternFill>
      </fill>
    </dxf>
    <dxf>
      <font>
        <color rgb="FF5B3F7D"/>
      </font>
      <fill>
        <patternFill patternType="solid">
          <fgColor indexed="64"/>
          <bgColor rgb="FFE2D5F0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ill>
        <patternFill patternType="solid">
          <fgColor indexed="64"/>
          <bgColor rgb="FFFFF2CC"/>
        </patternFill>
      </fill>
    </dxf>
    <dxf>
      <fill>
        <patternFill patternType="solid">
          <fgColor indexed="64"/>
          <bgColor rgb="FFFFCC99"/>
        </patternFill>
      </fill>
    </dxf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D9D9D9"/>
        </patternFill>
      </fill>
    </dxf>
    <dxf>
      <fill>
        <patternFill patternType="solid">
          <fgColor indexed="64"/>
          <bgColor rgb="FFFFF2CC"/>
        </patternFill>
      </fill>
    </dxf>
    <dxf>
      <font>
        <color rgb="FF990000"/>
      </font>
      <fill>
        <patternFill patternType="solid">
          <fgColor indexed="64"/>
          <bgColor rgb="FFFFCCCC"/>
        </patternFill>
      </fill>
    </dxf>
    <dxf>
      <font>
        <color rgb="FF5B3F7D"/>
      </font>
      <fill>
        <patternFill patternType="solid">
          <fgColor indexed="64"/>
          <bgColor rgb="FFE2D5F0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D9D9D9"/>
        </patternFill>
      </fill>
    </dxf>
    <dxf>
      <font>
        <color rgb="FFC65911"/>
      </font>
      <fill>
        <patternFill patternType="solid">
          <fgColor indexed="64"/>
          <bgColor rgb="FFFCE4D6"/>
        </patternFill>
      </fill>
    </dxf>
    <dxf>
      <font>
        <color rgb="FF5B3F7D"/>
      </font>
      <fill>
        <patternFill patternType="solid">
          <fgColor indexed="64"/>
          <bgColor rgb="FFE4DFEC"/>
        </patternFill>
      </fill>
    </dxf>
    <dxf>
      <font>
        <color rgb="FF1F4E79"/>
      </font>
      <fill>
        <patternFill patternType="solid">
          <fgColor indexed="64"/>
          <bgColor rgb="FFDDEBF7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FF2CC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theme="3" tint="0.749992370372631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ont>
        <color theme="1"/>
      </font>
      <fill>
        <patternFill patternType="solid">
          <bgColor theme="3" tint="0.749992370372631"/>
        </patternFill>
      </fill>
    </dxf>
    <dxf>
      <font>
        <color theme="1"/>
      </font>
      <fill>
        <patternFill patternType="solid">
          <bgColor rgb="FFFFC000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rgb="FFFFC000"/>
        </patternFill>
      </fill>
    </dxf>
    <dxf>
      <font>
        <color theme="1"/>
      </font>
      <fill>
        <patternFill patternType="solid">
          <bgColor theme="3" tint="0.749992370372631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ill>
        <patternFill>
          <bgColor rgb="FFFFC7CE"/>
        </patternFill>
      </fill>
    </dxf>
    <dxf>
      <font>
        <color theme="1"/>
      </font>
      <fill>
        <patternFill patternType="solid">
          <bgColor theme="3" tint="0.749992370372631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ill>
        <patternFill>
          <bgColor rgb="FFFFC7CE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fgColor rgb="FFB7E1CD"/>
          <bgColor rgb="FFB7E1CD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rgb="FFFFC000"/>
        </patternFill>
      </fill>
    </dxf>
    <dxf>
      <font>
        <color theme="1"/>
      </font>
      <fill>
        <patternFill patternType="solid">
          <bgColor theme="3" tint="0.749992370372631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FC000"/>
        </patternFill>
      </fill>
    </dxf>
    <dxf>
      <font>
        <color theme="1"/>
      </font>
      <fill>
        <patternFill patternType="solid">
          <bgColor theme="3" tint="0.749992370372631"/>
        </patternFill>
      </fill>
    </dxf>
    <dxf>
      <font>
        <color theme="1"/>
      </font>
      <fill>
        <patternFill patternType="solid">
          <bgColor rgb="FFFFC000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ont>
        <color theme="1"/>
      </font>
      <fill>
        <patternFill patternType="solid">
          <bgColor theme="3" tint="0.749992370372631"/>
        </patternFill>
      </fill>
    </dxf>
    <dxf>
      <font>
        <color theme="1"/>
      </font>
      <fill>
        <patternFill patternType="solid">
          <bgColor rgb="FFFFC000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ont>
        <color theme="1"/>
      </font>
      <fill>
        <patternFill patternType="solid">
          <bgColor rgb="FFFFC000"/>
        </patternFill>
      </fill>
    </dxf>
    <dxf>
      <font>
        <color theme="1"/>
      </font>
      <fill>
        <patternFill patternType="solid">
          <bgColor theme="3" tint="0.749992370372631"/>
        </patternFill>
      </fill>
    </dxf>
    <dxf>
      <font>
        <color theme="1"/>
      </font>
      <fill>
        <patternFill patternType="solid">
          <bgColor rgb="FFFFC000"/>
        </patternFill>
      </fill>
    </dxf>
    <dxf>
      <font>
        <color theme="1"/>
      </font>
      <fill>
        <patternFill patternType="solid">
          <bgColor theme="3" tint="0.749992370372631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ont>
        <color theme="1"/>
      </font>
      <fill>
        <patternFill patternType="solid">
          <bgColor theme="9" tint="0.79998168889431442"/>
        </patternFill>
      </fill>
    </dxf>
  </dxfs>
  <tableStyles count="0" defaultTableStyle="TableStyleMedium2" defaultPivotStyle="PivotStyleLight16"/>
  <colors>
    <mruColors>
      <color rgb="FFE4EEDB"/>
      <color rgb="FF4D7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microsoft.com/office/2022/11/relationships/FeaturePropertyBag" Target="featurePropertyBag/featurePropertyBag.xml"/><Relationship Id="rId10" Type="http://schemas.openxmlformats.org/officeDocument/2006/relationships/theme" Target="theme/theme1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Khải. Nguyễn Viết" id="{A116770C-864C-4E42-9E9F-273DBBE90F75}" userId="S::khainv@vsol.vn::119f6444-1f89-429b-9c27-3182f51cfb7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0" dT="2026-08-05T04:09:41.30" personId="{A116770C-864C-4E42-9E9F-273DBBE90F75}" id="{038B9598-EF25-4336-8823-FF9C37EABB86}">
    <text>LOST BY (HCM &amp; HN)
• LAP0088 — Ivan (Ivan)
• LAP0089 — Ali Mustafa (alim)</text>
  </threadedComment>
  <threadedComment ref="G10" dT="2026-08-05T04:09:41.30" personId="{A116770C-864C-4E42-9E9F-273DBBE90F75}" id="{A6E79C5F-96FB-48BC-8AAD-6E89DA5133CB}">
    <text>SOLD TO (HCM &amp; HN)
• LAP0069 — Kiết Văn (vank)
• LAP0076 — Gary Robert Charles Mckinnon (garym)</text>
  </threadedComment>
  <threadedComment ref="H10" dT="2026-08-05T04:30:01.12" personId="{A116770C-864C-4E42-9E9F-273DBBE90F75}" id="{D082B4C3-E9E6-4A05-A21B-7036352DB566}">
    <text>UNDER WARRANTY (HCM &amp; HN)
• LAP0091 — Unassigned — HCM
• LAP0110 — Unassigned — HCM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8F079-4926-4922-B816-8FCC42E81BCD}">
  <sheetPr>
    <tabColor rgb="FF00B0F0"/>
  </sheetPr>
  <dimension ref="A1:AC104"/>
  <sheetViews>
    <sheetView tabSelected="1" topLeftCell="A13" workbookViewId="0">
      <selection activeCell="B24" sqref="B24:G24"/>
    </sheetView>
  </sheetViews>
  <sheetFormatPr defaultRowHeight="15"/>
  <cols>
    <col min="1" max="2" width="16.7109375" bestFit="1" customWidth="1"/>
    <col min="3" max="3" width="13.85546875" bestFit="1" customWidth="1"/>
    <col min="4" max="4" width="34.7109375" bestFit="1" customWidth="1"/>
    <col min="5" max="5" width="14" bestFit="1" customWidth="1"/>
    <col min="7" max="7" width="18.5703125" bestFit="1" customWidth="1"/>
    <col min="8" max="8" width="18.5703125" customWidth="1"/>
    <col min="9" max="9" width="8.7109375" customWidth="1"/>
    <col min="10" max="10" width="15.85546875" customWidth="1"/>
    <col min="11" max="11" width="11.42578125" customWidth="1"/>
    <col min="12" max="12" width="28.5703125" customWidth="1"/>
    <col min="13" max="13" width="10.42578125" customWidth="1"/>
    <col min="14" max="14" width="11.42578125" customWidth="1"/>
    <col min="15" max="15" width="33" bestFit="1" customWidth="1"/>
    <col min="16" max="16" width="12" bestFit="1" customWidth="1"/>
    <col min="17" max="17" width="11" bestFit="1" customWidth="1"/>
    <col min="18" max="18" width="16.7109375" bestFit="1" customWidth="1"/>
    <col min="19" max="19" width="15.7109375" bestFit="1" customWidth="1"/>
    <col min="20" max="20" width="34.28515625" customWidth="1"/>
    <col min="21" max="21" width="19" customWidth="1"/>
    <col min="22" max="23" width="11.42578125" customWidth="1"/>
    <col min="28" max="28" width="0" hidden="1" customWidth="1"/>
  </cols>
  <sheetData>
    <row r="1" spans="1:29" ht="50.25" customHeight="1">
      <c r="A1" s="113" t="s">
        <v>0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91"/>
      <c r="R1" s="91"/>
      <c r="S1" s="91"/>
      <c r="T1" s="91"/>
      <c r="U1" s="91"/>
      <c r="V1" s="91"/>
      <c r="W1" s="91"/>
      <c r="AB1" cm="1">
        <f t="array" ref="AB1:AB104">_xlfn._xlws.SORT(_xlfn.UNIQUE(_xlfn._xlws.FILTER(IFERROR(Detail!$AJ$2:$AJ$532,""),IFERROR(Detail!$AJ$2:$AJ$532,"")&lt;&gt;"")))</f>
        <v>0</v>
      </c>
    </row>
    <row r="2" spans="1:29" ht="24.75" customHeight="1">
      <c r="A2" s="114" t="str">
        <f ca="1">CONCATENATE("Last Updated: ", TEXT(NOW(),"DD/MM/YYYY HH:MM"))</f>
        <v>Last Updated: 24/08/2026 09:24</v>
      </c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92"/>
      <c r="R2" s="92"/>
      <c r="S2" s="92"/>
      <c r="T2" s="92"/>
      <c r="U2" s="92"/>
      <c r="V2" s="92"/>
      <c r="W2" s="92"/>
      <c r="AB2" t="str">
        <v>Ali Mustafa</v>
      </c>
    </row>
    <row r="3" spans="1:29">
      <c r="AB3" t="str">
        <v>Bùi Quốc Thái</v>
      </c>
    </row>
    <row r="4" spans="1:29" ht="24.75" customHeight="1">
      <c r="A4" s="117" t="s">
        <v>1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7"/>
      <c r="O4" s="117"/>
      <c r="P4" s="117"/>
      <c r="Q4" s="93"/>
      <c r="R4" s="93"/>
      <c r="S4" s="93"/>
      <c r="T4" s="93"/>
      <c r="U4" s="93"/>
      <c r="V4" s="93"/>
      <c r="W4" s="93"/>
      <c r="AB4" t="str">
        <v>Bùi Tuấn Huy</v>
      </c>
    </row>
    <row r="5" spans="1:29">
      <c r="A5" s="37" t="s">
        <v>2</v>
      </c>
      <c r="B5" s="37"/>
      <c r="C5" s="37" t="s">
        <v>3</v>
      </c>
      <c r="D5" s="37"/>
      <c r="E5" s="37" t="s">
        <v>4</v>
      </c>
      <c r="F5" s="37"/>
      <c r="G5" s="37" t="s">
        <v>5</v>
      </c>
      <c r="H5" s="37"/>
      <c r="I5" s="37"/>
      <c r="J5" s="37" t="s">
        <v>6</v>
      </c>
      <c r="K5" s="37"/>
      <c r="L5" s="37" t="s">
        <v>7</v>
      </c>
      <c r="AB5" t="str">
        <v>Chu Văn Toàn</v>
      </c>
      <c r="AC5" s="48" t="str">
        <f>IFERROR(_xlfn.XLOOKUP(B24,Detail!$AJ$2:$AJ$532,Detail!$AK$2:$AK$532,""),"")</f>
        <v>linhptt</v>
      </c>
    </row>
    <row r="6" spans="1:29" ht="36">
      <c r="A6" s="38">
        <f>COUNTIFS(Detail!B2:B532,"&lt;&gt;",Detail!G2:G532,"HCM")+COUNTIFS(Detail!B2:B532,"&lt;&gt;",Detail!G2:G532,"HN")</f>
        <v>364</v>
      </c>
      <c r="C6" s="39">
        <f>COUNTIFS(Detail!C2:C532,"In Use",Detail!G2:G532,"HCM")+COUNTIFS(Detail!C2:C532,"In Use",Detail!G2:G532,"HN")</f>
        <v>153</v>
      </c>
      <c r="E6" s="40">
        <f>COUNTIFS(Detail!C2:C532,"In Stock",Detail!G2:G532,"HCM")+COUNTIFS(Detail!C2:C532,"In Stock",Detail!G2:G532,"HN")</f>
        <v>153</v>
      </c>
      <c r="G6" s="41">
        <f>COUNTIFS(Detail!C2:C532,"Damaged",Detail!G2:G532,"HCM")+COUNTIFS(Detail!C2:C532,"Damaged",Detail!G2:G532,"HN")</f>
        <v>52</v>
      </c>
      <c r="J6" s="42">
        <f>COUNTIFS(Detail!C2:C532,"Lost",Detail!G2:G532,"HCM")+COUNTIFS(Detail!C2:C532,"Lost",Detail!G2:G532,"HN")</f>
        <v>2</v>
      </c>
      <c r="L6" s="87">
        <f>COUNTIF(Detail!C:C,"Sold")</f>
        <v>2</v>
      </c>
      <c r="AB6" t="str">
        <v>Đặng Hồng Phong</v>
      </c>
    </row>
    <row r="7" spans="1:29">
      <c r="AB7" t="str">
        <v>Đặng Thành Thái</v>
      </c>
    </row>
    <row r="8" spans="1:29" ht="24.75" customHeight="1">
      <c r="A8" s="109" t="s">
        <v>8</v>
      </c>
      <c r="B8" s="109"/>
      <c r="C8" s="109"/>
      <c r="D8" s="109"/>
      <c r="E8" s="109"/>
      <c r="F8" s="109"/>
      <c r="G8" s="109"/>
      <c r="H8" s="109"/>
      <c r="J8" s="90" t="s">
        <v>9</v>
      </c>
      <c r="K8" s="90"/>
      <c r="L8" s="90"/>
      <c r="M8" s="90"/>
      <c r="N8" s="90"/>
      <c r="O8" s="90"/>
      <c r="P8" s="90"/>
      <c r="AB8" t="str">
        <v>Đào Đức Dũng</v>
      </c>
    </row>
    <row r="9" spans="1:29">
      <c r="A9" s="88" t="s">
        <v>10</v>
      </c>
      <c r="B9" s="88" t="s">
        <v>11</v>
      </c>
      <c r="C9" s="88" t="s">
        <v>3</v>
      </c>
      <c r="D9" s="88" t="s">
        <v>4</v>
      </c>
      <c r="E9" s="88" t="s">
        <v>5</v>
      </c>
      <c r="F9" s="88" t="s">
        <v>6</v>
      </c>
      <c r="G9" s="88" t="s">
        <v>7</v>
      </c>
      <c r="H9" s="88" t="s">
        <v>12</v>
      </c>
      <c r="J9" s="86" t="s">
        <v>13</v>
      </c>
      <c r="K9" s="86" t="s">
        <v>11</v>
      </c>
      <c r="L9" s="86" t="s">
        <v>3</v>
      </c>
      <c r="M9" s="98" t="s">
        <v>4</v>
      </c>
      <c r="N9" s="36" t="s">
        <v>5</v>
      </c>
      <c r="O9" s="36" t="s">
        <v>6</v>
      </c>
      <c r="P9" s="36" t="s">
        <v>7</v>
      </c>
      <c r="AB9" t="str">
        <v>Đào Duy Thoại</v>
      </c>
    </row>
    <row r="10" spans="1:29">
      <c r="A10" s="89" t="s">
        <v>14</v>
      </c>
      <c r="B10" s="84">
        <f>COUNTIFS(Detail!B2:B532,"LAPTOP",Detail!G2:G532,"HCM")+COUNTIFS(Detail!B2:B532,"LAPTOP",Detail!G2:G532,"HN")</f>
        <v>109</v>
      </c>
      <c r="C10" s="84">
        <f>COUNTIFS(Detail!B2:B532,"LAPTOP",Detail!C2:C532,"In Use",Detail!G2:G532,"HCM")+COUNTIFS(Detail!B2:B532,"LAPTOP",Detail!C2:C532,"In Use",Detail!G2:G532,"HN")</f>
        <v>47</v>
      </c>
      <c r="D10" s="84">
        <f>COUNTIFS(Detail!B2:B532,"LAPTOP",Detail!C2:C532,"In Stock",Detail!G2:G532,"HCM")+COUNTIFS(Detail!B2:B532,"LAPTOP",Detail!C2:C532,"In Stock",Detail!G2:G532,"HN")</f>
        <v>52</v>
      </c>
      <c r="E10" s="82">
        <f>COUNTIFS(Detail!B2:B532,"LAPTOP",Detail!C2:C532,"Damaged",Detail!G2:G532,"HCM")+COUNTIFS(Detail!B2:B532,"LAPTOP",Detail!C2:C532,"Damaged",Detail!G2:G532,"HN")</f>
        <v>4</v>
      </c>
      <c r="F10" s="84">
        <f>COUNTIFS(Detail!$B$2:$B$532,$A10,Detail!$C$2:$C$532,F$9,Detail!$G$2:$G$532,"HCM")+COUNTIFS(Detail!$B$2:$B$532,$A10,Detail!$C$2:$C$532,F$9,Detail!$G$2:$G$532,"HN")</f>
        <v>2</v>
      </c>
      <c r="G10" s="84">
        <f>COUNTIFS(Detail!$B$2:$B$532,$A10,Detail!$C$2:$C$532,G$9,Detail!$G$2:$G$532,"HCM")+COUNTIFS(Detail!$B$2:$B$532,$A10,Detail!$C$2:$C$532,G$9,Detail!$G$2:$G$532,"HN")</f>
        <v>2</v>
      </c>
      <c r="H10" s="84">
        <f>COUNTIFS(Detail!$B$2:$B$532,$A10,Detail!$C$2:$C$532,H$9,Detail!$G$2:$G$532,"HCM")+COUNTIFS(Detail!$B$2:$B$532,$A10,Detail!$C$2:$C$532,H$9,Detail!$G$2:$G$532,"HN")</f>
        <v>2</v>
      </c>
      <c r="J10" s="85" t="s">
        <v>15</v>
      </c>
      <c r="K10" s="44">
        <f>COUNTIF(Detail!G:G,"HCM")</f>
        <v>355</v>
      </c>
      <c r="L10" s="44">
        <f>COUNTIFS(Detail!G:G,"HCM",Detail!C:C,"In Use")</f>
        <v>152</v>
      </c>
      <c r="M10" s="44">
        <f>COUNTIFS(Detail!G:G,"HCM",Detail!C:C,"In Stock")</f>
        <v>145</v>
      </c>
      <c r="N10" s="84">
        <f>COUNTIFS(Detail!G:G,"HCM",Detail!C:C,"Damaged")</f>
        <v>52</v>
      </c>
      <c r="O10" s="84">
        <f>COUNTIFS(Detail!G:G,"HCM",Detail!C:C,"Lost")</f>
        <v>2</v>
      </c>
      <c r="P10" s="84">
        <f>COUNTIFS(Detail!G:G,"HCM",Detail!C:C,"Sold")</f>
        <v>2</v>
      </c>
      <c r="AB10" t="str">
        <v>Đào Xuân Tùng</v>
      </c>
    </row>
    <row r="11" spans="1:29">
      <c r="A11" s="43" t="s">
        <v>16</v>
      </c>
      <c r="B11" s="44">
        <f>COUNTIFS(Detail!B2:B532,"MONITOR",Detail!G2:G532,"HCM")+COUNTIFS(Detail!B2:B532,"MONITOR",Detail!G2:G532,"HN")</f>
        <v>68</v>
      </c>
      <c r="C11" s="44">
        <f>COUNTIFS(Detail!B2:B532,"MONITOR",Detail!C2:C532,"In Use",Detail!G2:G532,"HCM")+COUNTIFS(Detail!B2:B532,"MONITOR",Detail!C2:C532,"In Use",Detail!G2:G532,"HN")</f>
        <v>46</v>
      </c>
      <c r="D11" s="44">
        <f>COUNTIFS(Detail!B2:B532,"MONITOR",Detail!C2:C532,"In Stock",Detail!G2:G532,"HCM")+COUNTIFS(Detail!B2:B532,"MONITOR",Detail!C2:C532,"In Stock",Detail!G2:G532,"HN")</f>
        <v>21</v>
      </c>
      <c r="E11" s="83">
        <f>COUNTIFS(Detail!B2:B532,"MONITOR",Detail!C2:C532,"Damaged",Detail!G2:G532,"HCM")+COUNTIFS(Detail!B2:B532,"MONITOR",Detail!C2:C532,"Damaged",Detail!G2:G532,"HN")</f>
        <v>1</v>
      </c>
      <c r="F11" s="44">
        <f>COUNTIFS(Detail!$B$2:$B$532,$A11,Detail!$C$2:$C$532,F$9,Detail!$G$2:$G$532,"HCM")+COUNTIFS(Detail!$B$2:$B$532,$A11,Detail!$C$2:$C$532,F$9,Detail!$G$2:$G$532,"HN")</f>
        <v>0</v>
      </c>
      <c r="G11" s="44">
        <f>COUNTIFS(Detail!$B$2:$B$532,$A11,Detail!$C$2:$C$532,G$9,Detail!$G$2:$G$532,"HCM")+COUNTIFS(Detail!$B$2:$B$532,$A11,Detail!$C$2:$C$532,G$9,Detail!$G$2:$G$532,"HN")</f>
        <v>0</v>
      </c>
      <c r="H11" s="44">
        <f>COUNTIFS(Detail!$B$2:$B$532,$A11,Detail!$C$2:$C$532,H$9,Detail!$G$2:$G$532,"HCM")+COUNTIFS(Detail!$B$2:$B$532,$A11,Detail!$C$2:$C$532,H$9,Detail!$G$2:$G$532,"HN")</f>
        <v>0</v>
      </c>
      <c r="J11" s="85" t="s">
        <v>17</v>
      </c>
      <c r="K11" s="44">
        <f>COUNTIF(Detail!G:G,"HN")</f>
        <v>9</v>
      </c>
      <c r="L11" s="44">
        <f>COUNTIFS(Detail!G:G,"HN",Detail!C:C,"In Use")</f>
        <v>1</v>
      </c>
      <c r="M11" s="44">
        <f>COUNTIFS(Detail!G:G,"HN",Detail!C:C,"In Stock")</f>
        <v>8</v>
      </c>
      <c r="N11" s="44">
        <f>COUNTIFS(Detail!G:G,"HN",Detail!C:C,"Damaged")</f>
        <v>0</v>
      </c>
      <c r="O11" s="44">
        <f>COUNTIFS(Detail!G:G,"HN",Detail!C:C,"Lost")</f>
        <v>0</v>
      </c>
      <c r="P11" s="44">
        <f>COUNTIFS(Detail!G:G,"HN",Detail!C:C,"Sold")</f>
        <v>0</v>
      </c>
      <c r="AB11" t="str">
        <v>Đinh Hiểu Văn</v>
      </c>
    </row>
    <row r="12" spans="1:29">
      <c r="A12" s="43" t="s">
        <v>18</v>
      </c>
      <c r="B12" s="44">
        <f>COUNTIFS(Detail!B2:B532,"MOUSE",Detail!G2:G532,"HCM")+COUNTIFS(Detail!B2:B532,"MOUSE",Detail!G2:G532,"HN")</f>
        <v>109</v>
      </c>
      <c r="C12" s="44">
        <f>COUNTIFS(Detail!B2:B532,"MOUSE",Detail!C2:C532,"In Use",Detail!G2:G532,"HCM")+COUNTIFS(Detail!B2:B532,"MOUSE",Detail!C2:C532,"In Use",Detail!G2:G532,"HN")</f>
        <v>24</v>
      </c>
      <c r="D12" s="44">
        <f>COUNTIFS(Detail!B2:B532,"MOUSE",Detail!C2:C532,"In Stock",Detail!G2:G532,"HCM")+COUNTIFS(Detail!B2:B532,"MOUSE",Detail!C2:C532,"In Stock",Detail!G2:G532,"HN")</f>
        <v>47</v>
      </c>
      <c r="E12" s="83">
        <f>COUNTIFS(Detail!B2:B532,"MOUSE",Detail!C2:C532,"Damaged",Detail!G2:G532,"HCM")+COUNTIFS(Detail!B2:B532,"MOUSE",Detail!C2:C532,"Damaged",Detail!G2:G532,"HN")</f>
        <v>38</v>
      </c>
      <c r="F12" s="44">
        <f>COUNTIFS(Detail!$B$2:$B$532,$A12,Detail!$C$2:$C$532,F$9,Detail!$G$2:$G$532,"HCM")+COUNTIFS(Detail!$B$2:$B$532,$A12,Detail!$C$2:$C$532,F$9,Detail!$G$2:$G$532,"HN")</f>
        <v>0</v>
      </c>
      <c r="G12" s="44">
        <f>COUNTIFS(Detail!$B$2:$B$532,$A12,Detail!$C$2:$C$532,G$9,Detail!$G$2:$G$532,"HCM")+COUNTIFS(Detail!$B$2:$B$532,$A12,Detail!$C$2:$C$532,G$9,Detail!$G$2:$G$532,"HN")</f>
        <v>0</v>
      </c>
      <c r="H12" s="44">
        <f>COUNTIFS(Detail!$B$2:$B$532,$A12,Detail!$C$2:$C$532,H$9,Detail!$G$2:$G$532,"HCM")+COUNTIFS(Detail!$B$2:$B$532,$A12,Detail!$C$2:$C$532,H$9,Detail!$G$2:$G$532,"HN")</f>
        <v>0</v>
      </c>
      <c r="J12" s="94" t="s">
        <v>19</v>
      </c>
      <c r="K12" s="45">
        <f>K10+K11</f>
        <v>364</v>
      </c>
      <c r="L12" s="45">
        <f>L10+L11</f>
        <v>153</v>
      </c>
      <c r="M12" s="94">
        <f>M10+M11</f>
        <v>153</v>
      </c>
      <c r="N12" s="99">
        <f>N10+N11</f>
        <v>52</v>
      </c>
      <c r="O12" s="99">
        <f>O10+O11</f>
        <v>2</v>
      </c>
      <c r="P12" s="99">
        <f>P10+P11</f>
        <v>2</v>
      </c>
      <c r="AB12" t="str">
        <v>Đinh Vũ Tiến</v>
      </c>
    </row>
    <row r="13" spans="1:29">
      <c r="A13" s="43" t="s">
        <v>20</v>
      </c>
      <c r="B13" s="44">
        <f>COUNTIFS(Detail!B2:B532,"IPAD",Detail!G2:G532,"HCM")+COUNTIFS(Detail!B2:B532,"IPAD",Detail!G2:G532,"HN")</f>
        <v>4</v>
      </c>
      <c r="C13" s="44">
        <f>COUNTIFS(Detail!B2:B532,"IPAD",Detail!C2:C532,"In Use",Detail!G2:G532,"HCM")+COUNTIFS(Detail!B2:B532,"IPAD",Detail!C2:C532,"In Use",Detail!G2:G532,"HN")</f>
        <v>4</v>
      </c>
      <c r="D13" s="44">
        <f>COUNTIFS(Detail!B2:B532,"IPAD",Detail!C2:C532,"In Stock",Detail!G2:G532,"HCM")+COUNTIFS(Detail!B2:B532,"IPAD",Detail!C2:C532,"In Stock",Detail!G2:G532,"HN")</f>
        <v>0</v>
      </c>
      <c r="E13" s="83">
        <f>COUNTIFS(Detail!B2:B532,"IPAD",Detail!C2:C532,"Damaged",Detail!G2:G532,"HCM")+COUNTIFS(Detail!B2:B532,"IPAD",Detail!C2:C532,"Damaged",Detail!G2:G532,"HN")</f>
        <v>0</v>
      </c>
      <c r="F13" s="44">
        <f>COUNTIFS(Detail!$B$2:$B$532,$A13,Detail!$C$2:$C$532,F$9,Detail!$G$2:$G$532,"HCM")+COUNTIFS(Detail!$B$2:$B$532,$A13,Detail!$C$2:$C$532,F$9,Detail!$G$2:$G$532,"HN")</f>
        <v>0</v>
      </c>
      <c r="G13" s="44">
        <f>COUNTIFS(Detail!$B$2:$B$532,$A13,Detail!$C$2:$C$532,G$9,Detail!$G$2:$G$532,"HCM")+COUNTIFS(Detail!$B$2:$B$532,$A13,Detail!$C$2:$C$532,G$9,Detail!$G$2:$G$532,"HN")</f>
        <v>0</v>
      </c>
      <c r="H13" s="44">
        <f>COUNTIFS(Detail!$B$2:$B$532,$A13,Detail!$C$2:$C$532,H$9,Detail!$G$2:$G$532,"HCM")+COUNTIFS(Detail!$B$2:$B$532,$A13,Detail!$C$2:$C$532,H$9,Detail!$G$2:$G$532,"HN")</f>
        <v>0</v>
      </c>
      <c r="AB13" t="str">
        <v>Đỗ Anh Tuấn</v>
      </c>
    </row>
    <row r="14" spans="1:29">
      <c r="A14" s="43" t="s">
        <v>21</v>
      </c>
      <c r="B14" s="44">
        <f>COUNTIFS(Detail!B2:B532,"SMARTPHONE",Detail!G2:G532,"HCM")+COUNTIFS(Detail!B2:B532,"SMARTPHONE",Detail!G2:G532,"HN")</f>
        <v>4</v>
      </c>
      <c r="C14" s="44">
        <f>COUNTIFS(Detail!B2:B532,"SMARTPHONE",Detail!C2:C532,"In Use",Detail!G2:G532,"HCM")+COUNTIFS(Detail!B2:B532,"SMARTPHONE",Detail!C2:C532,"In Use",Detail!G2:G532,"HN")</f>
        <v>2</v>
      </c>
      <c r="D14" s="44">
        <f>COUNTIFS(Detail!B2:B532,"SMARTPHONE",Detail!C2:C532,"In Stock",Detail!G2:G532,"HCM")+COUNTIFS(Detail!B2:B532,"SMARTPHONE",Detail!C2:C532,"In Stock",Detail!G2:G532,"HN")</f>
        <v>2</v>
      </c>
      <c r="E14" s="83">
        <f>COUNTIFS(Detail!B2:B532,"SMARTPHONE",Detail!C2:C532,"Damaged",Detail!G2:G532,"HCM")+COUNTIFS(Detail!B2:B532,"SMARTPHONE",Detail!C2:C532,"Damaged",Detail!G2:G532,"HN")</f>
        <v>0</v>
      </c>
      <c r="F14" s="44">
        <f>COUNTIFS(Detail!$B$2:$B$532,$A14,Detail!$C$2:$C$532,F$9,Detail!$G$2:$G$532,"HCM")+COUNTIFS(Detail!$B$2:$B$532,$A14,Detail!$C$2:$C$532,F$9,Detail!$G$2:$G$532,"HN")</f>
        <v>0</v>
      </c>
      <c r="G14" s="44">
        <f>COUNTIFS(Detail!$B$2:$B$532,$A14,Detail!$C$2:$C$532,G$9,Detail!$G$2:$G$532,"HCM")+COUNTIFS(Detail!$B$2:$B$532,$A14,Detail!$C$2:$C$532,G$9,Detail!$G$2:$G$532,"HN")</f>
        <v>0</v>
      </c>
      <c r="H14" s="44">
        <f>COUNTIFS(Detail!$B$2:$B$532,$A14,Detail!$C$2:$C$532,H$9,Detail!$G$2:$G$532,"HCM")+COUNTIFS(Detail!$B$2:$B$532,$A14,Detail!$C$2:$C$532,H$9,Detail!$G$2:$G$532,"HN")</f>
        <v>0</v>
      </c>
      <c r="AB14" t="str">
        <v>Đoàn Hà Mi</v>
      </c>
    </row>
    <row r="15" spans="1:29" ht="15.75">
      <c r="A15" s="43" t="s">
        <v>22</v>
      </c>
      <c r="B15" s="44">
        <f>COUNTIFS(Detail!B2:B532,"CABLE",Detail!G2:G532,"HCM")+COUNTIFS(Detail!B2:B532,"CABLE",Detail!G2:G532,"HN")</f>
        <v>58</v>
      </c>
      <c r="C15" s="44">
        <f>COUNTIFS(Detail!B2:B532,"CABLE",Detail!C2:C532,"In Use",Detail!G2:G532,"HCM")+COUNTIFS(Detail!B2:B532,"CABLE",Detail!C2:C532,"In Use",Detail!G2:G532,"HN")</f>
        <v>23</v>
      </c>
      <c r="D15" s="44">
        <f>COUNTIFS(Detail!B2:B532,"CABLE",Detail!C2:C532,"In Stock",Detail!G2:G532,"HCM")+COUNTIFS(Detail!B2:B532,"CABLE",Detail!C2:C532,"In Stock",Detail!G2:G532,"HN")</f>
        <v>30</v>
      </c>
      <c r="E15" s="83">
        <f>COUNTIFS(Detail!B2:B532,"CABLE",Detail!C2:C532,"Damaged",Detail!G2:G532,"HCM")+COUNTIFS(Detail!B2:B532,"CABLE",Detail!C2:C532,"Damaged",Detail!G2:G532,"HN")</f>
        <v>5</v>
      </c>
      <c r="F15" s="44">
        <f>COUNTIFS(Detail!$B$2:$B$532,$A15,Detail!$C$2:$C$532,F$9,Detail!$G$2:$G$532,"HCM")+COUNTIFS(Detail!$B$2:$B$532,$A15,Detail!$C$2:$C$532,F$9,Detail!$G$2:$G$532,"HN")</f>
        <v>0</v>
      </c>
      <c r="G15" s="44">
        <f>COUNTIFS(Detail!$B$2:$B$532,$A15,Detail!$C$2:$C$532,G$9,Detail!$G$2:$G$532,"HCM")+COUNTIFS(Detail!$B$2:$B$532,$A15,Detail!$C$2:$C$532,G$9,Detail!$G$2:$G$532,"HN")</f>
        <v>0</v>
      </c>
      <c r="H15" s="44">
        <f>COUNTIFS(Detail!$B$2:$B$532,$A15,Detail!$C$2:$C$532,H$9,Detail!$G$2:$G$532,"HCM")+COUNTIFS(Detail!$B$2:$B$532,$A15,Detail!$C$2:$C$532,H$9,Detail!$G$2:$G$532,"HN")</f>
        <v>0</v>
      </c>
      <c r="J15" s="116" t="s">
        <v>23</v>
      </c>
      <c r="K15" s="116"/>
      <c r="L15" s="116"/>
      <c r="M15" s="116"/>
      <c r="N15" s="116"/>
      <c r="O15" s="116"/>
      <c r="P15" s="116"/>
      <c r="AB15" t="str">
        <v>Đoàn Hải Nam</v>
      </c>
    </row>
    <row r="16" spans="1:29">
      <c r="A16" s="43" t="s">
        <v>24</v>
      </c>
      <c r="B16" s="44">
        <f>COUNTIFS(Detail!B2:B532,"SSD",Detail!G2:G532,"HCM")+COUNTIFS(Detail!B2:B532,"SSD",Detail!G2:G532,"HN")</f>
        <v>4</v>
      </c>
      <c r="C16" s="44">
        <f>COUNTIFS(Detail!B2:B532,"SSD",Detail!C2:C532,"In Use",Detail!G2:G532,"HCM")+COUNTIFS(Detail!B2:B532,"SSD",Detail!C2:C532,"In Use",Detail!G2:G532,"HN")</f>
        <v>2</v>
      </c>
      <c r="D16" s="44">
        <f>COUNTIFS(Detail!B2:B532,"SSD",Detail!C2:C532,"In Stock",Detail!G2:G532,"HCM")+COUNTIFS(Detail!B2:B532,"SSD",Detail!C2:C532,"In Stock",Detail!G2:G532,"HN")</f>
        <v>0</v>
      </c>
      <c r="E16" s="83">
        <f>COUNTIFS(Detail!B2:B532,"SSD",Detail!C2:C532,"Damaged",Detail!G2:G532,"HCM")+COUNTIFS(Detail!B2:B532,"SSD",Detail!C2:C532,"Damaged",Detail!G2:G532,"HN")</f>
        <v>2</v>
      </c>
      <c r="F16" s="44">
        <f>COUNTIFS(Detail!$B$2:$B$532,$A16,Detail!$C$2:$C$532,F$9,Detail!$G$2:$G$532,"HCM")+COUNTIFS(Detail!$B$2:$B$532,$A16,Detail!$C$2:$C$532,F$9,Detail!$G$2:$G$532,"HN")</f>
        <v>0</v>
      </c>
      <c r="G16" s="44">
        <f>COUNTIFS(Detail!$B$2:$B$532,$A16,Detail!$C$2:$C$532,G$9,Detail!$G$2:$G$532,"HCM")+COUNTIFS(Detail!$B$2:$B$532,$A16,Detail!$C$2:$C$532,G$9,Detail!$G$2:$G$532,"HN")</f>
        <v>0</v>
      </c>
      <c r="H16" s="44">
        <f>COUNTIFS(Detail!$B$2:$B$532,$A16,Detail!$C$2:$C$532,H$9,Detail!$G$2:$G$532,"HCM")+COUNTIFS(Detail!$B$2:$B$532,$A16,Detail!$C$2:$C$532,H$9,Detail!$G$2:$G$532,"HN")</f>
        <v>0</v>
      </c>
      <c r="J16" s="86" t="s">
        <v>25</v>
      </c>
      <c r="K16" s="86" t="s">
        <v>11</v>
      </c>
      <c r="L16" s="86" t="s">
        <v>3</v>
      </c>
      <c r="M16" s="86" t="s">
        <v>4</v>
      </c>
      <c r="N16" s="81" t="s">
        <v>5</v>
      </c>
      <c r="O16" s="81" t="s">
        <v>6</v>
      </c>
      <c r="P16" s="81" t="s">
        <v>7</v>
      </c>
      <c r="AB16" t="str">
        <v>Đoàn Nhật Duẩn</v>
      </c>
    </row>
    <row r="17" spans="1:28">
      <c r="A17" s="43" t="s">
        <v>26</v>
      </c>
      <c r="B17" s="44">
        <f>COUNTIFS(Detail!B2:B532,"RAM",Detail!G2:G532,"HCM")+COUNTIFS(Detail!B2:B532,"RAM",Detail!G2:G532,"HN")</f>
        <v>2</v>
      </c>
      <c r="C17" s="44">
        <f>COUNTIFS(Detail!B2:B532,"RAM",Detail!C2:C532,"In Use",Detail!G2:G532,"HCM")+COUNTIFS(Detail!B2:B532,"RAM",Detail!C2:C532,"In Use",Detail!G2:G532,"HN")</f>
        <v>0</v>
      </c>
      <c r="D17" s="44">
        <f>COUNTIFS(Detail!B2:B532,"RAM",Detail!C2:C532,"In Stock",Detail!G2:G532,"HCM")+COUNTIFS(Detail!B2:B532,"RAM",Detail!C2:C532,"In Stock",Detail!G2:G532,"HN")</f>
        <v>0</v>
      </c>
      <c r="E17" s="83">
        <f>COUNTIFS(Detail!B2:B532,"RAM",Detail!C2:C532,"Damaged",Detail!G2:G532,"HCM")+COUNTIFS(Detail!B2:B532,"RAM",Detail!C2:C532,"Damaged",Detail!G2:G532,"HN")</f>
        <v>2</v>
      </c>
      <c r="F17" s="44">
        <f>COUNTIFS(Detail!$B$2:$B$532,$A17,Detail!$C$2:$C$532,F$9,Detail!$G$2:$G$532,"HCM")+COUNTIFS(Detail!$B$2:$B$532,$A17,Detail!$C$2:$C$532,F$9,Detail!$G$2:$G$532,"HN")</f>
        <v>0</v>
      </c>
      <c r="G17" s="44">
        <f>COUNTIFS(Detail!$B$2:$B$532,$A17,Detail!$C$2:$C$532,G$9,Detail!$G$2:$G$532,"HCM")+COUNTIFS(Detail!$B$2:$B$532,$A17,Detail!$C$2:$C$532,G$9,Detail!$G$2:$G$532,"HN")</f>
        <v>0</v>
      </c>
      <c r="H17" s="44">
        <f>COUNTIFS(Detail!$B$2:$B$532,$A17,Detail!$C$2:$C$532,H$9,Detail!$G$2:$G$532,"HCM")+COUNTIFS(Detail!$B$2:$B$532,$A17,Detail!$C$2:$C$532,H$9,Detail!$G$2:$G$532,"HN")</f>
        <v>0</v>
      </c>
      <c r="J17" s="85" t="s">
        <v>27</v>
      </c>
      <c r="K17" s="44">
        <f>COUNTIFS(Detail!D:D,"Project",Detail!G:G,"HCM")+COUNTIFS(Detail!D:D,"Project",Detail!G:G,"HN")</f>
        <v>89</v>
      </c>
      <c r="L17" s="44">
        <f>COUNTIFS(Detail!D:D,"Project",Detail!C:C,"In Use",Detail!G:G,"HCM")+COUNTIFS(Detail!D:D,"Project",Detail!C:C,"In Use",Detail!G:G,"HN")</f>
        <v>84</v>
      </c>
      <c r="M17" s="44">
        <f>COUNTIFS(Detail!D:D,"Project",Detail!C:C,"In Stock",Detail!G:G,"HCM")+COUNTIFS(Detail!D:D,"Project",Detail!C:C,"In Stock",Detail!G:G,"HN")</f>
        <v>1</v>
      </c>
      <c r="N17" s="44">
        <f>COUNTIFS(Detail!D:D,"Project",Detail!C:C,"Damaged",Detail!G:G,"HCM")+COUNTIFS(Detail!D:D,"Project",Detail!C:C,"Damaged",Detail!G:G,"HN")</f>
        <v>4</v>
      </c>
      <c r="O17" s="44">
        <f>COUNTIFS(Detail!D:D,"Project",Detail!C:C,"Lost",Detail!G:G,"HCM")+COUNTIFS(Detail!D:D,"Project",Detail!C:C,"Lost",Detail!G:G,"HN")</f>
        <v>0</v>
      </c>
      <c r="P17" s="44">
        <f>COUNTIFS(Detail!D:D,"Project",Detail!C:C,"Sold",Detail!G:G,"HCM")+COUNTIFS(Detail!D:D,"Project",Detail!C:C,"Sold",Detail!G:G,"HN")</f>
        <v>0</v>
      </c>
      <c r="AB17" t="str">
        <v>Dương Phạm Thành Công</v>
      </c>
    </row>
    <row r="18" spans="1:28">
      <c r="A18" s="43" t="s">
        <v>28</v>
      </c>
      <c r="B18" s="44">
        <f>COUNTIFS(Detail!B2:B532,"CPU",Detail!G2:G532,"HCM")+COUNTIFS(Detail!B2:B532,"CPU",Detail!G2:G532,"HN")</f>
        <v>2</v>
      </c>
      <c r="C18" s="44">
        <f>COUNTIFS(Detail!B2:B532,"CPU",Detail!C2:C532,"In Use",Detail!G2:G532,"HCM")+COUNTIFS(Detail!B2:B532,"CPU",Detail!C2:C532,"In Use",Detail!G2:G532,"HN")</f>
        <v>2</v>
      </c>
      <c r="D18" s="44">
        <f>COUNTIFS(Detail!B2:B532,"CPU",Detail!C2:C532,"In Stock",Detail!G2:G532,"HCM")+COUNTIFS(Detail!B2:B532,"CPU",Detail!C2:C532,"In Stock",Detail!G2:G532,"HN")</f>
        <v>0</v>
      </c>
      <c r="E18" s="83">
        <f>COUNTIFS(Detail!B2:B532,"CPU",Detail!C2:C532,"Damaged",Detail!G2:G532,"HCM")+COUNTIFS(Detail!B2:B532,"CPU",Detail!C2:C532,"Damaged",Detail!G2:G532,"HN")</f>
        <v>0</v>
      </c>
      <c r="F18" s="44">
        <f>COUNTIFS(Detail!$B$2:$B$532,$A18,Detail!$C$2:$C$532,F$9,Detail!$G$2:$G$532,"HCM")+COUNTIFS(Detail!$B$2:$B$532,$A18,Detail!$C$2:$C$532,F$9,Detail!$G$2:$G$532,"HN")</f>
        <v>0</v>
      </c>
      <c r="G18" s="44">
        <f>COUNTIFS(Detail!$B$2:$B$532,$A18,Detail!$C$2:$C$532,G$9,Detail!$G$2:$G$532,"HCM")+COUNTIFS(Detail!$B$2:$B$532,$A18,Detail!$C$2:$C$532,G$9,Detail!$G$2:$G$532,"HN")</f>
        <v>0</v>
      </c>
      <c r="H18" s="44">
        <f>COUNTIFS(Detail!$B$2:$B$532,$A18,Detail!$C$2:$C$532,H$9,Detail!$G$2:$G$532,"HCM")+COUNTIFS(Detail!$B$2:$B$532,$A18,Detail!$C$2:$C$532,H$9,Detail!$G$2:$G$532,"HN")</f>
        <v>0</v>
      </c>
      <c r="J18" s="85" t="s">
        <v>29</v>
      </c>
      <c r="K18" s="44">
        <f>COUNTIFS(Detail!D:D,"BO",Detail!G:G,"HCM")+COUNTIFS(Detail!D:D,"BO",Detail!G:G,"HN")</f>
        <v>30</v>
      </c>
      <c r="L18" s="44">
        <f>COUNTIFS(Detail!D:D,"BO",Detail!C:C,"In Use",Detail!G:G,"HCM")+COUNTIFS(Detail!D:D,"BO",Detail!C:C,"In Use",Detail!G:G,"HN")</f>
        <v>25</v>
      </c>
      <c r="M18" s="44">
        <f>COUNTIFS(Detail!D:D,"BO",Detail!C:C,"In Stock",Detail!G:G,"HCM")+COUNTIFS(Detail!D:D,"BO",Detail!C:C,"In Stock",Detail!G:G,"HN")</f>
        <v>5</v>
      </c>
      <c r="N18" s="44">
        <f>COUNTIFS(Detail!D:D,"BO",Detail!C:C,"Damaged",Detail!G:G,"HCM")+COUNTIFS(Detail!D:D,"BO",Detail!C:C,"Damaged",Detail!G:G,"HN")</f>
        <v>0</v>
      </c>
      <c r="O18" s="44">
        <f>COUNTIFS(Detail!D:D,"BO",Detail!C:C,"Lost",Detail!G:G,"HCM")+COUNTIFS(Detail!D:D,"BO",Detail!C:C,"Lost",Detail!G:G,"HN")</f>
        <v>0</v>
      </c>
      <c r="P18" s="44">
        <f>COUNTIFS(Detail!D:D,"BO",Detail!C:C,"Sold",Detail!G:G,"HCM")+COUNTIFS(Detail!D:D,"BO",Detail!C:C,"Sold",Detail!G:G,"HN")</f>
        <v>0</v>
      </c>
      <c r="AB18" t="str">
        <v>Gary Robert Charles Mckinnon</v>
      </c>
    </row>
    <row r="19" spans="1:28">
      <c r="A19" s="43" t="s">
        <v>30</v>
      </c>
      <c r="B19" s="44">
        <f>COUNTIFS(Detail!B2:B532,"ROUTER",Detail!G2:G532,"HCM")+COUNTIFS(Detail!B2:B532,"ROUTER",Detail!G2:G532,"HN")</f>
        <v>3</v>
      </c>
      <c r="C19" s="44">
        <f>COUNTIFS(Detail!B2:B532,"ROUTER",Detail!C2:C532,"In Use",Detail!G2:G532,"HCM")+COUNTIFS(Detail!B2:B532,"ROUTER",Detail!C2:C532,"In Use",Detail!G2:G532,"HN")</f>
        <v>2</v>
      </c>
      <c r="D19" s="44">
        <f>COUNTIFS(Detail!B2:B532,"ROUTER",Detail!C2:C532,"In Stock",Detail!G2:G532,"HCM")+COUNTIFS(Detail!B2:B532,"ROUTER",Detail!C2:C532,"In Stock",Detail!G2:G532,"HN")</f>
        <v>1</v>
      </c>
      <c r="E19" s="83">
        <f>COUNTIFS(Detail!B2:B532,"ROUTER",Detail!C2:C532,"Damaged",Detail!G2:G532,"HCM")+COUNTIFS(Detail!B2:B532,"ROUTER",Detail!C2:C532,"Damaged",Detail!G2:G532,"HN")</f>
        <v>0</v>
      </c>
      <c r="F19" s="44">
        <f>COUNTIFS(Detail!$B$2:$B$532,$A19,Detail!$C$2:$C$532,F$9,Detail!$G$2:$G$532,"HCM")+COUNTIFS(Detail!$B$2:$B$532,$A19,Detail!$C$2:$C$532,F$9,Detail!$G$2:$G$532,"HN")</f>
        <v>0</v>
      </c>
      <c r="G19" s="44">
        <f>COUNTIFS(Detail!$B$2:$B$532,$A19,Detail!$C$2:$C$532,G$9,Detail!$G$2:$G$532,"HCM")+COUNTIFS(Detail!$B$2:$B$532,$A19,Detail!$C$2:$C$532,G$9,Detail!$G$2:$G$532,"HN")</f>
        <v>0</v>
      </c>
      <c r="H19" s="44">
        <f>COUNTIFS(Detail!$B$2:$B$532,$A19,Detail!$C$2:$C$532,H$9,Detail!$G$2:$G$532,"HCM")+COUNTIFS(Detail!$B$2:$B$532,$A19,Detail!$C$2:$C$532,H$9,Detail!$G$2:$G$532,"HN")</f>
        <v>0</v>
      </c>
      <c r="J19" s="85" t="s">
        <v>31</v>
      </c>
      <c r="K19" s="44">
        <f>COUNTIFS(Detail!D:D,"CTD",Detail!G:G,"HCM")+COUNTIFS(Detail!D:D,"CTD",Detail!G:G,"HN")</f>
        <v>20</v>
      </c>
      <c r="L19" s="44">
        <f>COUNTIFS(Detail!D:D,"CTD",Detail!C:C,"In Use",Detail!G:G,"HCM")+COUNTIFS(Detail!D:D,"CTD",Detail!C:C,"In Use",Detail!G:G,"HN")</f>
        <v>20</v>
      </c>
      <c r="M19" s="44">
        <f>COUNTIFS(Detail!D:D,"CTD",Detail!C:C,"In Stock",Detail!G:G,"HCM")+COUNTIFS(Detail!D:D,"CTD",Detail!C:C,"In Stock",Detail!G:G,"HN")</f>
        <v>0</v>
      </c>
      <c r="N19" s="44">
        <f>COUNTIFS(Detail!D:D,"CTD",Detail!C:C,"Damaged",Detail!G:G,"HCM")+COUNTIFS(Detail!D:D,"CTD",Detail!C:C,"Damaged",Detail!G:G,"HN")</f>
        <v>0</v>
      </c>
      <c r="O19" s="44">
        <f>COUNTIFS(Detail!D:D,"CTD",Detail!C:C,"Lost",Detail!G:G,"HCM")+COUNTIFS(Detail!D:D,"CTD",Detail!C:C,"Lost",Detail!G:G,"HN")</f>
        <v>0</v>
      </c>
      <c r="P19" s="44">
        <f>COUNTIFS(Detail!D:D,"CTD",Detail!C:C,"Sold",Detail!G:G,"HCM")+COUNTIFS(Detail!D:D,"CTD",Detail!C:C,"Sold",Detail!G:G,"HN")</f>
        <v>0</v>
      </c>
      <c r="AB19" t="str">
        <v>Hà Quốc Nguyên</v>
      </c>
    </row>
    <row r="20" spans="1:28">
      <c r="A20" s="43" t="s">
        <v>32</v>
      </c>
      <c r="B20" s="44">
        <f>COUNTIFS(Detail!B2:B532,"PRINTER",Detail!G2:G532,"HCM")+COUNTIFS(Detail!B2:B532,"PRINTER",Detail!G2:G532,"HN")</f>
        <v>1</v>
      </c>
      <c r="C20" s="44">
        <f>COUNTIFS(Detail!B2:B532,"PRINTER",Detail!C2:C532,"In Use",Detail!G2:G532,"HCM")+COUNTIFS(Detail!B2:B532,"PRINTER",Detail!C2:C532,"In Use",Detail!G2:G532,"HN")</f>
        <v>1</v>
      </c>
      <c r="D20" s="44">
        <f>COUNTIFS(Detail!B2:B532,"PRINTER",Detail!C2:C532,"In Stock",Detail!G2:G532,"HCM")+COUNTIFS(Detail!B2:B532,"PRINTER",Detail!C2:C532,"In Stock",Detail!G2:G532,"HN")</f>
        <v>0</v>
      </c>
      <c r="E20" s="83">
        <f>COUNTIFS(Detail!B2:B532,"PRINTER",Detail!C2:C532,"Damaged",Detail!G2:G532,"HCM")+COUNTIFS(Detail!B2:B532,"PRINTER",Detail!C2:C532,"Damaged",Detail!G2:G532,"HN")</f>
        <v>0</v>
      </c>
      <c r="F20" s="44">
        <f>COUNTIFS(Detail!$B$2:$B$532,$A20,Detail!$C$2:$C$532,F$9,Detail!$G$2:$G$532,"HCM")+COUNTIFS(Detail!$B$2:$B$532,$A20,Detail!$C$2:$C$532,F$9,Detail!$G$2:$G$532,"HN")</f>
        <v>0</v>
      </c>
      <c r="G20" s="44">
        <f>COUNTIFS(Detail!$B$2:$B$532,$A20,Detail!$C$2:$C$532,G$9,Detail!$G$2:$G$532,"HCM")+COUNTIFS(Detail!$B$2:$B$532,$A20,Detail!$C$2:$C$532,G$9,Detail!$G$2:$G$532,"HN")</f>
        <v>0</v>
      </c>
      <c r="H20" s="44">
        <f>COUNTIFS(Detail!$B$2:$B$532,$A20,Detail!$C$2:$C$532,H$9,Detail!$G$2:$G$532,"HCM")+COUNTIFS(Detail!$B$2:$B$532,$A20,Detail!$C$2:$C$532,H$9,Detail!$G$2:$G$532,"HN")</f>
        <v>0</v>
      </c>
      <c r="J20" s="85" t="s">
        <v>33</v>
      </c>
      <c r="K20" s="44">
        <f>COUNTIFS(Detail!D:D,"AM",Detail!G:G,"HCM")+COUNTIFS(Detail!D:D,"AM",Detail!G:G,"HN")</f>
        <v>3</v>
      </c>
      <c r="L20" s="44">
        <f>COUNTIFS(Detail!D:D,"AM",Detail!C:C,"In Use",Detail!G:G,"HCM")+COUNTIFS(Detail!D:D,"AM",Detail!C:C,"In Use",Detail!G:G,"HN")</f>
        <v>3</v>
      </c>
      <c r="M20" s="44">
        <f>COUNTIFS(Detail!D:D,"AM",Detail!C:C,"In Stock",Detail!G:G,"HCM")+COUNTIFS(Detail!D:D,"AM",Detail!C:C,"In Stock",Detail!G:G,"HN")</f>
        <v>0</v>
      </c>
      <c r="N20" s="44">
        <f>COUNTIFS(Detail!D:D,"AM",Detail!C:C,"Damaged",Detail!G:G,"HCM")+COUNTIFS(Detail!D:D,"AM",Detail!C:C,"Damaged",Detail!G:G,"HN")</f>
        <v>0</v>
      </c>
      <c r="O20" s="44">
        <f>COUNTIFS(Detail!D:D,"AM",Detail!C:C,"Lost",Detail!G:G,"HCM")+COUNTIFS(Detail!D:D,"AM",Detail!C:C,"Lost",Detail!G:G,"HN")</f>
        <v>0</v>
      </c>
      <c r="P20" s="44">
        <f>COUNTIFS(Detail!D:D,"AM",Detail!C:C,"Sold",Detail!G:G,"HCM")+COUNTIFS(Detail!D:D,"AM",Detail!C:C,"Sold",Detail!G:G,"HN")</f>
        <v>0</v>
      </c>
      <c r="AB20" t="str">
        <v>Hồ Ngọc Danh</v>
      </c>
    </row>
    <row r="21" spans="1:28">
      <c r="A21" s="43" t="s">
        <v>34</v>
      </c>
      <c r="B21" s="44">
        <f>COUNTIFS(Detail!B2:B532,"SPEAKER",Detail!G2:G532,"HCM")+COUNTIFS(Detail!B2:B532,"SPEAKER",Detail!G2:G532,"HN")</f>
        <v>0</v>
      </c>
      <c r="C21" s="44">
        <f>COUNTIFS(Detail!B2:B532,"SPEAKER",Detail!C2:C532,"In Use",Detail!G2:G532,"HCM")+COUNTIFS(Detail!B2:B532,"SPEAKER",Detail!C2:C532,"In Use",Detail!G2:G532,"HN")</f>
        <v>0</v>
      </c>
      <c r="D21" s="44">
        <f>COUNTIFS(Detail!B2:B532,"SPEAKER",Detail!C2:C532,"In Stock",Detail!G2:G532,"HCM")+COUNTIFS(Detail!B2:B532,"SPEAKER",Detail!C2:C532,"In Stock",Detail!G2:G532,"HN")</f>
        <v>0</v>
      </c>
      <c r="E21" s="83">
        <f>COUNTIFS(Detail!B2:B532,"SPEAKER",Detail!C2:C532,"Damaged",Detail!G2:G532,"HCM")+COUNTIFS(Detail!B2:B532,"SPEAKER",Detail!C2:C532,"Damaged",Detail!G2:G532,"HN")</f>
        <v>0</v>
      </c>
      <c r="F21" s="44">
        <f>COUNTIFS(Detail!$B$2:$B$532,$A21,Detail!$C$2:$C$532,F$9,Detail!$G$2:$G$532,"HCM")+COUNTIFS(Detail!$B$2:$B$532,$A21,Detail!$C$2:$C$532,F$9,Detail!$G$2:$G$532,"HN")</f>
        <v>0</v>
      </c>
      <c r="G21" s="44">
        <f>COUNTIFS(Detail!$B$2:$B$532,$A21,Detail!$C$2:$C$532,G$9,Detail!$G$2:$G$532,"HCM")+COUNTIFS(Detail!$B$2:$B$532,$A21,Detail!$C$2:$C$532,G$9,Detail!$G$2:$G$532,"HN")</f>
        <v>0</v>
      </c>
      <c r="H21" s="44">
        <f>COUNTIFS(Detail!$B$2:$B$532,$A21,Detail!$C$2:$C$532,H$9,Detail!$G$2:$G$532,"HCM")+COUNTIFS(Detail!$B$2:$B$532,$A21,Detail!$C$2:$C$532,H$9,Detail!$G$2:$G$532,"HN")</f>
        <v>0</v>
      </c>
      <c r="J21" s="85" t="s">
        <v>35</v>
      </c>
      <c r="K21" s="44">
        <f>COUNTIFS(Detail!D:D,"Undirect IT Staff",Detail!G:G,"HCM")+COUNTIFS(Detail!D:D,"Undirect IT Staff",Detail!G:G,"HN")</f>
        <v>22</v>
      </c>
      <c r="L21" s="44">
        <f>COUNTIFS(Detail!D:D,"Undirect IT Staff",Detail!C:C,"In Use",Detail!G:G,"HCM")+COUNTIFS(Detail!D:D,"Undirect IT Staff",Detail!C:C,"In Use",Detail!G:G,"HN")</f>
        <v>17</v>
      </c>
      <c r="M21" s="44">
        <f>COUNTIFS(Detail!D:D,"Undirect IT Staff",Detail!C:C,"In Stock",Detail!G:G,"HCM")+COUNTIFS(Detail!D:D,"Undirect IT Staff",Detail!C:C,"In Stock",Detail!G:G,"HN")</f>
        <v>3</v>
      </c>
      <c r="N21" s="44">
        <f>COUNTIFS(Detail!D:D,"Undirect IT Staff",Detail!C:C,"Damaged",Detail!G:G,"HCM")+COUNTIFS(Detail!D:D,"Undirect IT Staff",Detail!C:C,"Damaged",Detail!G:G,"HN")</f>
        <v>2</v>
      </c>
      <c r="O21" s="44">
        <f>COUNTIFS(Detail!D:D,"Undirect IT Staff",Detail!C:C,"Lost",Detail!G:G,"HCM")+COUNTIFS(Detail!D:D,"Undirect IT Staff",Detail!C:C,"Lost",Detail!G:G,"HN")</f>
        <v>0</v>
      </c>
      <c r="P21" s="44">
        <f>COUNTIFS(Detail!D:D,"Undirect IT Staff",Detail!C:C,"Sold",Detail!G:G,"HCM")+COUNTIFS(Detail!D:D,"Undirect IT Staff",Detail!C:C,"Sold",Detail!G:G,"HN")</f>
        <v>0</v>
      </c>
      <c r="AB21" t="str">
        <v>Hoàng Anh Dũng</v>
      </c>
    </row>
    <row r="22" spans="1:28">
      <c r="AB22" t="str">
        <v>Hoàng Thị Trang</v>
      </c>
    </row>
    <row r="23" spans="1:28" ht="24.75" customHeight="1">
      <c r="A23" s="118" t="s">
        <v>36</v>
      </c>
      <c r="B23" s="118"/>
      <c r="C23" s="118"/>
      <c r="D23" s="118"/>
      <c r="E23" s="118"/>
      <c r="F23" s="118"/>
      <c r="G23" s="118"/>
      <c r="J23" s="115" t="s">
        <v>37</v>
      </c>
      <c r="K23" s="116"/>
      <c r="L23" s="116"/>
      <c r="M23" s="116"/>
      <c r="N23" s="116"/>
      <c r="O23" s="116"/>
      <c r="P23" s="116"/>
      <c r="AB23" t="str">
        <v>Huỳnh Nguyên Phương</v>
      </c>
    </row>
    <row r="24" spans="1:28">
      <c r="A24" s="47" t="s">
        <v>38</v>
      </c>
      <c r="B24" s="111" t="s">
        <v>39</v>
      </c>
      <c r="C24" s="112"/>
      <c r="D24" s="112"/>
      <c r="E24" s="112"/>
      <c r="F24" s="112"/>
      <c r="G24" s="112"/>
      <c r="J24" s="46" t="s">
        <v>40</v>
      </c>
      <c r="AB24" t="str">
        <v>Huỳnh Quốc Quân</v>
      </c>
    </row>
    <row r="25" spans="1:28">
      <c r="J25" s="86" t="s">
        <v>41</v>
      </c>
      <c r="K25" s="86" t="s">
        <v>11</v>
      </c>
      <c r="L25" s="86" t="s">
        <v>3</v>
      </c>
      <c r="M25" s="86" t="s">
        <v>4</v>
      </c>
      <c r="N25" s="86" t="s">
        <v>5</v>
      </c>
      <c r="O25" s="81" t="s">
        <v>6</v>
      </c>
      <c r="P25" s="81" t="s">
        <v>7</v>
      </c>
      <c r="AB25" t="str">
        <v>Huỳnh Thúy Diễm</v>
      </c>
    </row>
    <row r="26" spans="1:28">
      <c r="A26" s="36" t="s">
        <v>42</v>
      </c>
      <c r="B26" s="36" t="s">
        <v>43</v>
      </c>
      <c r="C26" s="36" t="s">
        <v>44</v>
      </c>
      <c r="D26" s="36" t="s">
        <v>45</v>
      </c>
      <c r="E26" s="36" t="s">
        <v>46</v>
      </c>
      <c r="F26" s="36" t="s">
        <v>13</v>
      </c>
      <c r="G26" s="36" t="s">
        <v>47</v>
      </c>
      <c r="J26" s="85" t="s">
        <v>48</v>
      </c>
      <c r="K26" s="44">
        <f>COUNTIFS(Detail!B:B,"LAPTOP",Detail!L:L,"M1",Detail!G:G,"HCM")+COUNTIFS(Detail!B:B,"LAPTOP",Detail!L:L,"M1",Detail!G:G,"HN")</f>
        <v>14</v>
      </c>
      <c r="L26" s="44">
        <f>COUNTIFS(Detail!B:B,"LAPTOP",Detail!L:L,"M1",Detail!C:C,"In Use",Detail!G:G,"HCM")+COUNTIFS(Detail!B:B,"LAPTOP",Detail!L:L,"M1",Detail!C:C,"In Use",Detail!G:G,"HN")</f>
        <v>5</v>
      </c>
      <c r="M26" s="44">
        <f>COUNTIFS(Detail!B:B,"LAPTOP",Detail!L:L,"M1",Detail!C:C,"In Stock",Detail!G:G,"HCM")+COUNTIFS(Detail!B:B,"LAPTOP",Detail!L:L,"M1",Detail!C:C,"In Stock",Detail!G:G,"HN")</f>
        <v>8</v>
      </c>
      <c r="N26" s="44">
        <f>COUNTIFS(Detail!B:B,"LAPTOP",Detail!L:L,"M1",Detail!C:C,"Damaged",Detail!G:G,"HCM")+COUNTIFS(Detail!B:B,"LAPTOP",Detail!L:L,"M1",Detail!C:C,"Damaged",Detail!G:G,"HN")</f>
        <v>1</v>
      </c>
      <c r="O26" s="44">
        <f>COUNTIFS(Detail!B:B,"LAPTOP",Detail!L:L,"M1",Detail!C:C,"Lost",Detail!G:G,"HCM")+COUNTIFS(Detail!B:B,"LAPTOP",Detail!L:L,"M1",Detail!C:C,"Lost",Detail!G:G,"HN")</f>
        <v>0</v>
      </c>
      <c r="P26" s="44">
        <f>COUNTIFS(Detail!B:B,"LAPTOP",Detail!L:L,"M1",Detail!C:C,"Sold",Detail!G:G,"HCM")+COUNTIFS(Detail!B:B,"LAPTOP",Detail!L:L,"M1",Detail!C:C,"Sold",Detail!G:G,"HN")</f>
        <v>0</v>
      </c>
      <c r="AB26" t="str">
        <v>IPL Meeting Room</v>
      </c>
    </row>
    <row r="27" spans="1:28">
      <c r="A27" s="4" t="str" cm="1">
        <f t="array" ref="A27:G30">IF(B24="","Select an employee",IFERROR(_xlfn._xlws.FILTER(_xlfn.HSTACK(IF(Detail!$H$2:$H$532=0,"",Detail!$H$2:$H$532),Detail!$I$2:$I$532,Detail!$B$2:$B$532,IF(Detail!$K$2:$K$532=0,"",Detail!$K$2:$K$532),IF(Detail!$P$2:$P$532=0,"",Detail!$P$2:$P$532),Detail!$G$2:$G$532,Detail!$C$2:$C$532),(Detail!$AK$2:$AK$532=$AC$5)*(Detail!$C$2:$C$532="In Use")*((Detail!$G$2:$G$532="HCM")+(Detail!$G$2:$G$532="HN")),"No assets found"),"No assets found"))</f>
        <v/>
      </c>
      <c r="B27" s="4" t="str">
        <v>LAP0062</v>
      </c>
      <c r="C27" s="4" t="str">
        <v>LAPTOP</v>
      </c>
      <c r="D27" s="4" t="str">
        <v>Macbook Pro M2 16GB | 256GB</v>
      </c>
      <c r="E27" s="4" t="str">
        <v>YQX1W3H610</v>
      </c>
      <c r="F27" s="4" t="str">
        <v>HCM</v>
      </c>
      <c r="G27" s="4" t="str">
        <v>In Use</v>
      </c>
      <c r="J27" s="85" t="s">
        <v>49</v>
      </c>
      <c r="K27" s="44">
        <f>COUNTIFS(Detail!B:B,"LAPTOP",Detail!L:L,"M2",Detail!G:G,"HCM")+COUNTIFS(Detail!B:B,"LAPTOP",Detail!L:L,"M2",Detail!G:G,"HN")</f>
        <v>5</v>
      </c>
      <c r="L27" s="44">
        <f>COUNTIFS(Detail!B:B,"LAPTOP",Detail!L:L,"M2",Detail!C:C,"In Use",Detail!G:G,"HCM")+COUNTIFS(Detail!B:B,"LAPTOP",Detail!L:L,"M2",Detail!C:C,"In Use",Detail!G:G,"HN")</f>
        <v>5</v>
      </c>
      <c r="M27" s="44">
        <f>COUNTIFS(Detail!B:B,"LAPTOP",Detail!L:L,"M2",Detail!C:C,"In Stock",Detail!G:G,"HCM")+COUNTIFS(Detail!B:B,"LAPTOP",Detail!L:L,"M2",Detail!C:C,"In Stock",Detail!G:G,"HN")</f>
        <v>0</v>
      </c>
      <c r="N27" s="44">
        <f>COUNTIFS(Detail!B:B,"LAPTOP",Detail!L:L,"M2",Detail!C:C,"Damaged",Detail!G:G,"HCM")+COUNTIFS(Detail!B:B,"LAPTOP",Detail!L:L,"M2",Detail!C:C,"Damaged",Detail!G:G,"HN")</f>
        <v>0</v>
      </c>
      <c r="O27" s="44">
        <f>COUNTIFS(Detail!B:B,"LAPTOP",Detail!L:L,"M2",Detail!C:C,"Lost",Detail!G:G,"HCM")+COUNTIFS(Detail!B:B,"LAPTOP",Detail!L:L,"M2",Detail!C:C,"Lost",Detail!G:G,"HN")</f>
        <v>0</v>
      </c>
      <c r="P27" s="44">
        <f>COUNTIFS(Detail!B:B,"LAPTOP",Detail!L:L,"M2",Detail!C:C,"Sold",Detail!G:G,"HCM")+COUNTIFS(Detail!B:B,"LAPTOP",Detail!L:L,"M2",Detail!C:C,"Sold",Detail!G:G,"HN")</f>
        <v>0</v>
      </c>
      <c r="AB27" t="str">
        <v>IT Dept CTD</v>
      </c>
    </row>
    <row r="28" spans="1:28" ht="24.75" customHeight="1">
      <c r="A28" s="4" t="str">
        <v/>
      </c>
      <c r="B28" s="4" t="str">
        <v>MOU0021</v>
      </c>
      <c r="C28" s="4" t="str">
        <v>MOUSE</v>
      </c>
      <c r="D28" s="4" t="str">
        <v>Logitech M221</v>
      </c>
      <c r="E28" s="4" t="str">
        <v>2445ZEW5H0K8</v>
      </c>
      <c r="F28" s="4" t="str">
        <v>HCM</v>
      </c>
      <c r="G28" s="4" t="str">
        <v>In Use</v>
      </c>
      <c r="J28" s="85" t="s">
        <v>50</v>
      </c>
      <c r="K28" s="44">
        <f>COUNTIFS(Detail!B:B,"LAPTOP",Detail!L:L,"M3",Detail!G:G,"HCM")+COUNTIFS(Detail!B:B,"LAPTOP",Detail!L:L,"M3",Detail!G:G,"HN")</f>
        <v>3</v>
      </c>
      <c r="L28" s="44">
        <f>COUNTIFS(Detail!B:B,"LAPTOP",Detail!L:L,"M3",Detail!C:C,"In Use",Detail!G:G,"HCM")+COUNTIFS(Detail!B:B,"LAPTOP",Detail!L:L,"M3",Detail!C:C,"In Use",Detail!G:G,"HN")</f>
        <v>2</v>
      </c>
      <c r="M28" s="44">
        <f>COUNTIFS(Detail!B:B,"LAPTOP",Detail!L:L,"M3",Detail!C:C,"In Stock",Detail!G:G,"HCM")+COUNTIFS(Detail!B:B,"LAPTOP",Detail!L:L,"M3",Detail!C:C,"In Stock",Detail!G:G,"HN")</f>
        <v>1</v>
      </c>
      <c r="N28" s="44">
        <f>COUNTIFS(Detail!B:B,"LAPTOP",Detail!L:L,"M3",Detail!C:C,"Damaged",Detail!G:G,"HCM")+COUNTIFS(Detail!B:B,"LAPTOP",Detail!L:L,"M3",Detail!C:C,"Damaged",Detail!G:G,"HN")</f>
        <v>0</v>
      </c>
      <c r="O28" s="44">
        <f>COUNTIFS(Detail!B:B,"LAPTOP",Detail!L:L,"M3",Detail!C:C,"Lost",Detail!G:G,"HCM")+COUNTIFS(Detail!B:B,"LAPTOP",Detail!L:L,"M3",Detail!C:C,"Lost",Detail!G:G,"HN")</f>
        <v>0</v>
      </c>
      <c r="P28" s="44">
        <f>COUNTIFS(Detail!B:B,"LAPTOP",Detail!L:L,"M3",Detail!C:C,"Sold",Detail!G:G,"HCM")+COUNTIFS(Detail!B:B,"LAPTOP",Detail!L:L,"M3",Detail!C:C,"Sold",Detail!G:G,"HN")</f>
        <v>0</v>
      </c>
      <c r="AB28" t="str">
        <v>Ivan</v>
      </c>
    </row>
    <row r="29" spans="1:28">
      <c r="A29" s="4" t="str">
        <v>MON16276</v>
      </c>
      <c r="B29" s="4" t="str">
        <v>MON0052</v>
      </c>
      <c r="C29" s="4" t="str">
        <v>MONITOR</v>
      </c>
      <c r="D29" s="4" t="str">
        <v>Dell P2425H 24 inches</v>
      </c>
      <c r="E29" s="4" t="str">
        <v>8BF2L34</v>
      </c>
      <c r="F29" s="4" t="str">
        <v>HCM</v>
      </c>
      <c r="G29" s="4" t="str">
        <v>In Use</v>
      </c>
      <c r="J29" s="85" t="s">
        <v>51</v>
      </c>
      <c r="K29" s="44">
        <f>COUNTIFS(Detail!B:B,"LAPTOP",Detail!L:L,"M4",Detail!G:G,"HCM")+COUNTIFS(Detail!B:B,"LAPTOP",Detail!L:L,"M4",Detail!G:G,"HN")</f>
        <v>20</v>
      </c>
      <c r="L29" s="44">
        <f>COUNTIFS(Detail!B:B,"LAPTOP",Detail!L:L,"M4",Detail!C:C,"In Use",Detail!G:G,"HCM")+COUNTIFS(Detail!B:B,"LAPTOP",Detail!L:L,"M4",Detail!C:C,"In Use",Detail!G:G,"HN")</f>
        <v>17</v>
      </c>
      <c r="M29" s="44">
        <f>COUNTIFS(Detail!B:B,"LAPTOP",Detail!L:L,"M4",Detail!C:C,"In Stock",Detail!G:G,"HCM")+COUNTIFS(Detail!B:B,"LAPTOP",Detail!L:L,"M4",Detail!C:C,"In Stock",Detail!G:G,"HN")</f>
        <v>1</v>
      </c>
      <c r="N29" s="44">
        <f>COUNTIFS(Detail!B:B,"LAPTOP",Detail!L:L,"M4",Detail!C:C,"Damaged",Detail!G:G,"HCM")+COUNTIFS(Detail!B:B,"LAPTOP",Detail!L:L,"M4",Detail!C:C,"Damaged",Detail!G:G,"HN")</f>
        <v>0</v>
      </c>
      <c r="O29" s="44">
        <f>COUNTIFS(Detail!B:B,"LAPTOP",Detail!L:L,"M4",Detail!C:C,"Lost",Detail!G:G,"HCM")+COUNTIFS(Detail!B:B,"LAPTOP",Detail!L:L,"M4",Detail!C:C,"Lost",Detail!G:G,"HN")</f>
        <v>0</v>
      </c>
      <c r="P29" s="44">
        <f>COUNTIFS(Detail!B:B,"LAPTOP",Detail!L:L,"M4",Detail!C:C,"Sold",Detail!G:G,"HCM")+COUNTIFS(Detail!B:B,"LAPTOP",Detail!L:L,"M4",Detail!C:C,"Sold",Detail!G:G,"HN")</f>
        <v>0</v>
      </c>
      <c r="AB29" t="str">
        <v>Khổng Gia Bình</v>
      </c>
    </row>
    <row r="30" spans="1:28">
      <c r="A30" s="4" t="str">
        <v/>
      </c>
      <c r="B30" s="4" t="str">
        <v>CAB0066</v>
      </c>
      <c r="C30" s="4" t="str">
        <v>CABLE</v>
      </c>
      <c r="D30" s="4" t="str">
        <v>Ugreen USB-C multifunction adapter</v>
      </c>
      <c r="E30" s="4" t="str">
        <v/>
      </c>
      <c r="F30" s="4" t="str">
        <v>HCM</v>
      </c>
      <c r="G30" s="4" t="str">
        <v>In Use</v>
      </c>
      <c r="J30" s="85" t="s">
        <v>52</v>
      </c>
      <c r="K30" s="44">
        <f>COUNTIFS(Detail!B:B,"LAPTOP",Detail!L:L,"i5",Detail!G:G,"HCM")+COUNTIFS(Detail!B:B,"LAPTOP",Detail!L:L,"i5",Detail!G:G,"HN")</f>
        <v>50</v>
      </c>
      <c r="L30" s="44">
        <f>COUNTIFS(Detail!B:B,"LAPTOP",Detail!L:L,"i5",Detail!C:C,"In Use",Detail!G:G,"HCM")+COUNTIFS(Detail!B:B,"LAPTOP",Detail!L:L,"i5",Detail!C:C,"In Use",Detail!G:G,"HN")</f>
        <v>12</v>
      </c>
      <c r="M30" s="44">
        <f>COUNTIFS(Detail!B:B,"LAPTOP",Detail!L:L,"i5",Detail!C:C,"In Stock",Detail!G:G,"HCM")+COUNTIFS(Detail!B:B,"LAPTOP",Detail!L:L,"i5",Detail!C:C,"In Stock",Detail!G:G,"HN")</f>
        <v>32</v>
      </c>
      <c r="N30" s="44">
        <f>COUNTIFS(Detail!B:B,"LAPTOP",Detail!L:L,"i5",Detail!C:C,"Damaged",Detail!G:G,"HCM")+COUNTIFS(Detail!B:B,"LAPTOP",Detail!L:L,"i5",Detail!C:C,"Damaged",Detail!G:G,"HN")</f>
        <v>3</v>
      </c>
      <c r="O30" s="44">
        <f>COUNTIFS(Detail!B:B,"LAPTOP",Detail!L:L,"i5",Detail!C:C,"Lost",Detail!G:G,"HCM")+COUNTIFS(Detail!B:B,"LAPTOP",Detail!L:L,"i5",Detail!C:C,"Lost",Detail!G:G,"HN")</f>
        <v>2</v>
      </c>
      <c r="P30" s="44">
        <f>COUNTIFS(Detail!B:B,"LAPTOP",Detail!L:L,"i5",Detail!C:C,"Sold",Detail!G:G,"HCM")+COUNTIFS(Detail!B:B,"LAPTOP",Detail!L:L,"i5",Detail!C:C,"Sold",Detail!G:G,"HN")</f>
        <v>1</v>
      </c>
      <c r="AB30" t="str">
        <v>Kiết Văn</v>
      </c>
    </row>
    <row r="31" spans="1:28">
      <c r="A31" s="4"/>
      <c r="B31" s="4"/>
      <c r="C31" s="4"/>
      <c r="D31" s="4"/>
      <c r="E31" s="4"/>
      <c r="F31" s="4"/>
      <c r="G31" s="4"/>
      <c r="J31" s="85" t="s">
        <v>53</v>
      </c>
      <c r="K31" s="44">
        <f>COUNTIFS(Detail!B:B,"LAPTOP",Detail!L:L,"i7",Detail!G:G,"HCM")+COUNTIFS(Detail!B:B,"LAPTOP",Detail!L:L,"i7",Detail!G:G,"HN")</f>
        <v>17</v>
      </c>
      <c r="L31" s="44">
        <f>COUNTIFS(Detail!B:B,"LAPTOP",Detail!L:L,"i7",Detail!C:C,"In Use",Detail!G:G,"HCM")+COUNTIFS(Detail!B:B,"LAPTOP",Detail!L:L,"i7",Detail!C:C,"In Use",Detail!G:G,"HN")</f>
        <v>6</v>
      </c>
      <c r="M31" s="44">
        <f>COUNTIFS(Detail!B:B,"LAPTOP",Detail!L:L,"i7",Detail!C:C,"In Stock",Detail!G:G,"HCM")+COUNTIFS(Detail!B:B,"LAPTOP",Detail!L:L,"i7",Detail!C:C,"In Stock",Detail!G:G,"HN")</f>
        <v>10</v>
      </c>
      <c r="N31" s="44">
        <f>COUNTIFS(Detail!B:B,"LAPTOP",Detail!L:L,"i7",Detail!C:C,"Damaged",Detail!G:G,"HCM")+COUNTIFS(Detail!B:B,"LAPTOP",Detail!L:L,"i7",Detail!C:C,"Damaged",Detail!G:G,"HN")</f>
        <v>0</v>
      </c>
      <c r="O31" s="44">
        <f>COUNTIFS(Detail!B:B,"LAPTOP",Detail!L:L,"i7",Detail!C:C,"Lost",Detail!G:G,"HCM")+COUNTIFS(Detail!B:B,"LAPTOP",Detail!L:L,"i7",Detail!C:C,"Lost",Detail!G:G,"HN")</f>
        <v>0</v>
      </c>
      <c r="P31" s="44">
        <f>COUNTIFS(Detail!B:B,"LAPTOP",Detail!L:L,"i7",Detail!C:C,"Sold",Detail!G:G,"HCM")+COUNTIFS(Detail!B:B,"LAPTOP",Detail!L:L,"i7",Detail!C:C,"Sold",Detail!G:G,"HN")</f>
        <v>1</v>
      </c>
      <c r="AB31" t="str">
        <v>Lại Thế Cường</v>
      </c>
    </row>
    <row r="32" spans="1:28">
      <c r="A32" s="4"/>
      <c r="B32" s="4"/>
      <c r="C32" s="4"/>
      <c r="D32" s="4"/>
      <c r="E32" s="4"/>
      <c r="F32" s="4"/>
      <c r="G32" s="4"/>
      <c r="J32" s="46" t="s">
        <v>54</v>
      </c>
      <c r="AB32" t="str">
        <v>Lê Cao Long Nhật</v>
      </c>
    </row>
    <row r="33" spans="1:28">
      <c r="A33" s="4"/>
      <c r="B33" s="4"/>
      <c r="C33" s="4"/>
      <c r="D33" s="4"/>
      <c r="E33" s="4"/>
      <c r="F33" s="4"/>
      <c r="G33" s="4"/>
      <c r="J33" s="86" t="s">
        <v>55</v>
      </c>
      <c r="K33" s="86" t="s">
        <v>11</v>
      </c>
      <c r="L33" s="86" t="s">
        <v>3</v>
      </c>
      <c r="M33" s="86" t="s">
        <v>4</v>
      </c>
      <c r="N33" s="86" t="s">
        <v>5</v>
      </c>
      <c r="O33" s="81" t="s">
        <v>6</v>
      </c>
      <c r="P33" s="81" t="s">
        <v>7</v>
      </c>
      <c r="AB33" t="str">
        <v>Lê Nam Hưng</v>
      </c>
    </row>
    <row r="34" spans="1:28">
      <c r="A34" s="4"/>
      <c r="B34" s="4"/>
      <c r="C34" s="4"/>
      <c r="D34" s="4"/>
      <c r="E34" s="4"/>
      <c r="F34" s="4"/>
      <c r="G34" s="4"/>
      <c r="J34" s="85" t="s">
        <v>56</v>
      </c>
      <c r="K34" s="44">
        <f>COUNTIFS(Detail!B:B,"LAPTOP",Detail!M:M,"*256GB*",Detail!G:G,"HCM")+COUNTIFS(Detail!B:B,"LAPTOP",Detail!M:M,"*256GB*",Detail!G:G,"HN")</f>
        <v>69</v>
      </c>
      <c r="L34" s="44">
        <f>COUNTIFS(Detail!B:B,"LAPTOP",Detail!M:M,"*256GB*",Detail!C:C,"In Use",Detail!G:G,"HCM")+COUNTIFS(Detail!B:B,"LAPTOP",Detail!M:M,"*256GB*",Detail!C:C,"In Use",Detail!G:G,"HN")</f>
        <v>22</v>
      </c>
      <c r="M34" s="44">
        <f>COUNTIFS(Detail!B:B,"LAPTOP",Detail!M:M,"*256GB*",Detail!C:C,"In Stock",Detail!G:G,"HCM")+COUNTIFS(Detail!B:B,"LAPTOP",Detail!M:M,"*256GB*",Detail!C:C,"In Stock",Detail!G:G,"HN")</f>
        <v>40</v>
      </c>
      <c r="N34" s="44">
        <f>COUNTIFS(Detail!B:B,"LAPTOP",Detail!M:M,"*256GB*",Detail!C:C,"Damaged",Detail!G:G,"HCM")+COUNTIFS(Detail!B:B,"LAPTOP",Detail!M:M,"*256GB*",Detail!C:C,"Damaged",Detail!G:G,"HN")</f>
        <v>4</v>
      </c>
      <c r="O34" s="44">
        <f>COUNTIFS(Detail!B:B,"LAPTOP",Detail!M:M,"*256GB*",Detail!C:C,"Lost",Detail!G:G,"HCM")+COUNTIFS(Detail!B:B,"LAPTOP",Detail!M:M,"*256GB*",Detail!C:C,"Lost",Detail!G:G,"HN")</f>
        <v>2</v>
      </c>
      <c r="P34" s="44">
        <f>COUNTIFS(Detail!B:B,"LAPTOP",Detail!M:M,"*256GB*",Detail!C:C,"Sold",Detail!G:G,"HCM")+COUNTIFS(Detail!B:B,"LAPTOP",Detail!M:M,"*256GB*",Detail!C:C,"Sold",Detail!G:G,"HN")</f>
        <v>1</v>
      </c>
      <c r="AB34" t="str">
        <v>Lê Nhựt Thịnh</v>
      </c>
    </row>
    <row r="35" spans="1:28">
      <c r="J35" s="85" t="s">
        <v>57</v>
      </c>
      <c r="K35" s="44">
        <f>COUNTIFS(Detail!B:B,"LAPTOP",Detail!M:M,"*512GB*",Detail!G:G,"HCM")+COUNTIFS(Detail!B:B,"LAPTOP",Detail!M:M,"*512GB*",Detail!G:G,"HN")</f>
        <v>38</v>
      </c>
      <c r="L35" s="44">
        <f>COUNTIFS(Detail!B:B,"LAPTOP",Detail!M:M,"*512GB*",Detail!C:C,"In Use",Detail!G:G,"HCM")+COUNTIFS(Detail!B:B,"LAPTOP",Detail!M:M,"*512GB*",Detail!C:C,"In Use",Detail!G:G,"HN")</f>
        <v>24</v>
      </c>
      <c r="M35" s="44">
        <f>COUNTIFS(Detail!B:B,"LAPTOP",Detail!M:M,"*512GB*",Detail!C:C,"In Stock",Detail!G:G,"HCM")+COUNTIFS(Detail!B:B,"LAPTOP",Detail!M:M,"*512GB*",Detail!C:C,"In Stock",Detail!G:G,"HN")</f>
        <v>11</v>
      </c>
      <c r="N35" s="44">
        <f>COUNTIFS(Detail!B:B,"LAPTOP",Detail!M:M,"*512GB*",Detail!C:C,"Damaged",Detail!G:G,"HCM")+COUNTIFS(Detail!B:B,"LAPTOP",Detail!M:M,"*512GB*",Detail!C:C,"Damaged",Detail!G:G,"HN")</f>
        <v>0</v>
      </c>
      <c r="O35" s="44">
        <f>COUNTIFS(Detail!B:B,"LAPTOP",Detail!M:M,"*512GB*",Detail!C:C,"Lost",Detail!G:G,"HCM")+COUNTIFS(Detail!B:B,"LAPTOP",Detail!M:M,"*512GB*",Detail!C:C,"Lost",Detail!G:G,"HN")</f>
        <v>0</v>
      </c>
      <c r="P35" s="44">
        <f>COUNTIFS(Detail!B:B,"LAPTOP",Detail!M:M,"*512GB*",Detail!C:C,"Sold",Detail!G:G,"HCM")+COUNTIFS(Detail!B:B,"LAPTOP",Detail!M:M,"*512GB*",Detail!C:C,"Sold",Detail!G:G,"HN")</f>
        <v>1</v>
      </c>
      <c r="AB35" t="str">
        <v>Lê Quang Hiếu</v>
      </c>
    </row>
    <row r="36" spans="1:28" ht="24.75" customHeight="1">
      <c r="J36" s="85" t="s">
        <v>58</v>
      </c>
      <c r="K36" s="44">
        <f>COUNTIFS(Detail!B:B,"LAPTOP",Detail!M:M,"*1TB*",Detail!G:G,"HCM")+COUNTIFS(Detail!B:B,"LAPTOP",Detail!M:M,"*1TB*",Detail!G:G,"HN")</f>
        <v>2</v>
      </c>
      <c r="L36" s="44">
        <f>COUNTIFS(Detail!B:B,"LAPTOP",Detail!M:M,"*1TB*",Detail!C:C,"In Use",Detail!G:G,"HCM")+COUNTIFS(Detail!B:B,"LAPTOP",Detail!M:M,"*1TB*",Detail!C:C,"In Use",Detail!G:G,"HN")</f>
        <v>1</v>
      </c>
      <c r="M36" s="44">
        <f>COUNTIFS(Detail!B:B,"LAPTOP",Detail!M:M,"*1TB*",Detail!C:C,"In Stock",Detail!G:G,"HCM")+COUNTIFS(Detail!B:B,"LAPTOP",Detail!M:M,"*1TB*",Detail!C:C,"In Stock",Detail!G:G,"HN")</f>
        <v>1</v>
      </c>
      <c r="N36" s="44">
        <f>COUNTIFS(Detail!B:B,"LAPTOP",Detail!M:M,"*1TB*",Detail!C:C,"Damaged",Detail!G:G,"HCM")+COUNTIFS(Detail!B:B,"LAPTOP",Detail!M:M,"*1TB*",Detail!C:C,"Damaged",Detail!G:G,"HN")</f>
        <v>0</v>
      </c>
      <c r="O36" s="44">
        <f>COUNTIFS(Detail!B:B,"LAPTOP",Detail!M:M,"*1TB*",Detail!C:C,"Lost",Detail!G:G,"HCM")+COUNTIFS(Detail!B:B,"LAPTOP",Detail!M:M,"*1TB*",Detail!C:C,"Lost",Detail!G:G,"HN")</f>
        <v>0</v>
      </c>
      <c r="P36" s="44">
        <f>COUNTIFS(Detail!B:B,"LAPTOP",Detail!M:M,"*1TB*",Detail!C:C,"Sold",Detail!G:G,"HCM")+COUNTIFS(Detail!B:B,"LAPTOP",Detail!M:M,"*1TB*",Detail!C:C,"Sold",Detail!G:G,"HN")</f>
        <v>0</v>
      </c>
      <c r="AB36" t="str">
        <v>Lê Quý Vân Anh</v>
      </c>
    </row>
    <row r="37" spans="1:28">
      <c r="J37" s="46" t="s">
        <v>59</v>
      </c>
      <c r="AB37" t="str">
        <v>Lê Thị Kim Anh</v>
      </c>
    </row>
    <row r="38" spans="1:28" ht="15.75">
      <c r="J38" s="96" t="s">
        <v>25</v>
      </c>
      <c r="K38" s="96" t="s">
        <v>11</v>
      </c>
      <c r="L38" s="96" t="s">
        <v>3</v>
      </c>
      <c r="M38" s="96" t="s">
        <v>4</v>
      </c>
      <c r="N38" s="96" t="s">
        <v>5</v>
      </c>
      <c r="O38" s="96" t="s">
        <v>6</v>
      </c>
      <c r="P38" s="96" t="s">
        <v>7</v>
      </c>
      <c r="AB38" t="str">
        <v>Lương Minh Hoàng</v>
      </c>
    </row>
    <row r="39" spans="1:28" ht="24.75" customHeight="1">
      <c r="J39" s="97" t="s">
        <v>27</v>
      </c>
      <c r="K39" s="44">
        <f>COUNTIFS(Detail!B:B,"LAPTOP",Detail!D:D,"Project",Detail!G:G,"HCM")+COUNTIFS(Detail!B:B,"LAPTOP",Detail!D:D,"Project",Detail!G:G,"HN")</f>
        <v>25</v>
      </c>
      <c r="L39" s="44">
        <f>COUNTIFS(Detail!B:B,"LAPTOP",Detail!D:D,"Project",Detail!C:C,"In Use",Detail!G:G,"HCM")+COUNTIFS(Detail!B:B,"LAPTOP",Detail!D:D,"Project",Detail!C:C,"In Use",Detail!G:G,"HN")</f>
        <v>25</v>
      </c>
      <c r="M39" s="44">
        <f>COUNTIFS(Detail!B:B,"LAPTOP",Detail!D:D,"Project",Detail!C:C,"In Stock",Detail!G:G,"HCM")+COUNTIFS(Detail!B:B,"LAPTOP",Detail!D:D,"Project",Detail!C:C,"In Stock",Detail!G:G,"HN")</f>
        <v>0</v>
      </c>
      <c r="N39" s="44">
        <f>COUNTIFS(Detail!B:B,"LAPTOP",Detail!D:D,"Project",Detail!C:C,"Damaged",Detail!G:G,"HCM")+COUNTIFS(Detail!B:B,"LAPTOP",Detail!D:D,"Project",Detail!C:C,"Damaged",Detail!G:G,"HN")</f>
        <v>0</v>
      </c>
      <c r="O39" s="44">
        <f>COUNTIFS(Detail!B:B,"LAPTOP",Detail!D:D,"Project",Detail!C:C,"Lost",Detail!G:G,"HCM")+COUNTIFS(Detail!B:B,"LAPTOP",Detail!D:D,"Project",Detail!C:C,"Lost",Detail!G:G,"HN")</f>
        <v>0</v>
      </c>
      <c r="P39" s="44">
        <f>COUNTIFS(Detail!B:B,"LAPTOP",Detail!D:D,"Project",Detail!C:C,"Sold",Detail!G:G,"HCM")+COUNTIFS(Detail!B:B,"LAPTOP",Detail!D:D,"Project",Detail!C:C,"Sold",Detail!G:G,"HN")</f>
        <v>0</v>
      </c>
      <c r="AB39" t="str">
        <v>Mai Thị Cẩm Hà</v>
      </c>
    </row>
    <row r="40" spans="1:28">
      <c r="J40" s="97" t="s">
        <v>29</v>
      </c>
      <c r="K40" s="44">
        <f>COUNTIFS(Detail!B:B,"LAPTOP",Detail!D:D,"BO",Detail!G:G,"HCM")+COUNTIFS(Detail!B:B,"LAPTOP",Detail!D:D,"BO",Detail!G:G,"HN")</f>
        <v>12</v>
      </c>
      <c r="L40" s="44">
        <f>COUNTIFS(Detail!B:B,"LAPTOP",Detail!D:D,"BO",Detail!C:C,"In Use",Detail!G:G,"HCM")+COUNTIFS(Detail!B:B,"LAPTOP",Detail!D:D,"BO",Detail!C:C,"In Use",Detail!G:G,"HN")</f>
        <v>9</v>
      </c>
      <c r="M40" s="44">
        <f>COUNTIFS(Detail!B:B,"LAPTOP",Detail!D:D,"BO",Detail!C:C,"In Stock",Detail!G:G,"HCM")+COUNTIFS(Detail!B:B,"LAPTOP",Detail!D:D,"BO",Detail!C:C,"In Stock",Detail!G:G,"HN")</f>
        <v>3</v>
      </c>
      <c r="N40" s="44">
        <f>COUNTIFS(Detail!B:B,"LAPTOP",Detail!D:D,"BO",Detail!C:C,"Damaged",Detail!G:G,"HCM")+COUNTIFS(Detail!B:B,"LAPTOP",Detail!D:D,"BO",Detail!C:C,"Damaged",Detail!G:G,"HN")</f>
        <v>0</v>
      </c>
      <c r="O40" s="44">
        <f>COUNTIFS(Detail!B:B,"LAPTOP",Detail!D:D,"BO",Detail!C:C,"Lost",Detail!G:G,"HCM")+COUNTIFS(Detail!B:B,"LAPTOP",Detail!D:D,"BO",Detail!C:C,"Lost",Detail!G:G,"HN")</f>
        <v>0</v>
      </c>
      <c r="P40" s="44">
        <f>COUNTIFS(Detail!B:B,"LAPTOP",Detail!D:D,"BO",Detail!C:C,"Sold",Detail!G:G,"HCM")+COUNTIFS(Detail!B:B,"LAPTOP",Detail!D:D,"BO",Detail!C:C,"Sold",Detail!G:G,"HN")</f>
        <v>0</v>
      </c>
      <c r="AB40" t="str">
        <v>Ngô Khánh Vy</v>
      </c>
    </row>
    <row r="41" spans="1:28">
      <c r="J41" s="97" t="s">
        <v>31</v>
      </c>
      <c r="K41" s="44">
        <f>COUNTIFS(Detail!B:B,"LAPTOP",Detail!D:D,"CTD",Detail!G:G,"HCM")+COUNTIFS(Detail!B:B,"LAPTOP",Detail!D:D,"CTD",Detail!G:G,"HN")</f>
        <v>7</v>
      </c>
      <c r="L41" s="44">
        <f>COUNTIFS(Detail!B:B,"LAPTOP",Detail!D:D,"CTD",Detail!C:C,"In Use",Detail!G:G,"HCM")+COUNTIFS(Detail!B:B,"LAPTOP",Detail!D:D,"CTD",Detail!C:C,"In Use",Detail!G:G,"HN")</f>
        <v>7</v>
      </c>
      <c r="M41" s="44">
        <f>COUNTIFS(Detail!B:B,"LAPTOP",Detail!D:D,"CTD",Detail!C:C,"In Stock",Detail!G:G,"HCM")+COUNTIFS(Detail!B:B,"LAPTOP",Detail!D:D,"CTD",Detail!C:C,"In Stock",Detail!G:G,"HN")</f>
        <v>0</v>
      </c>
      <c r="N41" s="44">
        <f>COUNTIFS(Detail!B:B,"LAPTOP",Detail!D:D,"CTD",Detail!C:C,"Damaged",Detail!G:G,"HCM")+COUNTIFS(Detail!B:B,"LAPTOP",Detail!D:D,"CTD",Detail!C:C,"Damaged",Detail!G:G,"HN")</f>
        <v>0</v>
      </c>
      <c r="O41" s="44">
        <f>COUNTIFS(Detail!B:B,"LAPTOP",Detail!D:D,"CTD",Detail!C:C,"Lost",Detail!G:G,"HCM")+COUNTIFS(Detail!B:B,"LAPTOP",Detail!D:D,"CTD",Detail!C:C,"Lost",Detail!G:G,"HN")</f>
        <v>0</v>
      </c>
      <c r="P41" s="44">
        <f>COUNTIFS(Detail!B:B,"LAPTOP",Detail!D:D,"CTD",Detail!C:C,"Sold",Detail!G:G,"HCM")+COUNTIFS(Detail!B:B,"LAPTOP",Detail!D:D,"CTD",Detail!C:C,"Sold",Detail!G:G,"HN")</f>
        <v>0</v>
      </c>
      <c r="AB41" t="str">
        <v>Nguyễn Anh Tuấn</v>
      </c>
    </row>
    <row r="42" spans="1:28">
      <c r="A42" s="37"/>
      <c r="B42" s="95"/>
      <c r="C42" s="95"/>
      <c r="D42" s="95"/>
      <c r="E42" s="95"/>
      <c r="F42" s="95"/>
      <c r="G42" s="95"/>
      <c r="J42" s="106" t="s">
        <v>33</v>
      </c>
      <c r="K42" s="44">
        <f>COUNTIFS(Detail!B:B,"LAPTOP",Detail!D:D,"AM",Detail!G:G,"HCM")+COUNTIFS(Detail!B:B,"LAPTOP",Detail!D:D,"AM",Detail!G:G,"HN")</f>
        <v>1</v>
      </c>
      <c r="L42" s="44">
        <f>COUNTIFS(Detail!B:B,"LAPTOP",Detail!D:D,"AM",Detail!C:C,"In Use",Detail!G:G,"HCM")+COUNTIFS(Detail!B:B,"LAPTOP",Detail!D:D,"AM",Detail!C:C,"In Use",Detail!G:G,"HN")</f>
        <v>1</v>
      </c>
      <c r="M42" s="44">
        <f>COUNTIFS(Detail!B:B,"LAPTOP",Detail!D:D,"AM",Detail!C:C,"In Stock",Detail!G:G,"HCM")+COUNTIFS(Detail!B:B,"LAPTOP",Detail!D:D,"AM",Detail!C:C,"In Stock",Detail!G:G,"HN")</f>
        <v>0</v>
      </c>
      <c r="N42" s="44">
        <f>COUNTIFS(Detail!B:B,"LAPTOP",Detail!D:D,"AM",Detail!C:C,"Damaged",Detail!G:G,"HCM")+COUNTIFS(Detail!B:B,"LAPTOP",Detail!D:D,"AM",Detail!C:C,"Damaged",Detail!G:G,"HN")</f>
        <v>0</v>
      </c>
      <c r="O42" s="44">
        <f>COUNTIFS(Detail!B:B,"LAPTOP",Detail!D:D,"AM",Detail!C:C,"Lost",Detail!G:G,"HCM")+COUNTIFS(Detail!B:B,"LAPTOP",Detail!D:D,"AM",Detail!C:C,"Lost",Detail!G:G,"HN")</f>
        <v>0</v>
      </c>
      <c r="P42" s="44">
        <f>COUNTIFS(Detail!B:B,"LAPTOP",Detail!D:D,"AM",Detail!C:C,"Sold",Detail!G:G,"HCM")+COUNTIFS(Detail!B:B,"LAPTOP",Detail!D:D,"AM",Detail!C:C,"Sold",Detail!G:G,"HN")</f>
        <v>0</v>
      </c>
      <c r="AB42" t="str">
        <v>Nguyễn Cao Bách</v>
      </c>
    </row>
    <row r="43" spans="1:28">
      <c r="A43" s="37"/>
      <c r="B43" s="1"/>
      <c r="C43" s="1"/>
      <c r="D43" s="1"/>
      <c r="E43" s="1"/>
      <c r="F43" s="1"/>
      <c r="G43" s="1"/>
      <c r="J43" s="104" t="s">
        <v>35</v>
      </c>
      <c r="K43" s="105">
        <f>COUNTIFS(Detail!B:B,"LAPTOP",Detail!D:D,"Undirect IT Staff",Detail!G:G,"HCM")+COUNTIFS(Detail!B:B,"LAPTOP",Detail!D:D,"Undirect IT Staff",Detail!G:G,"HN")</f>
        <v>7</v>
      </c>
      <c r="L43" s="44">
        <f>COUNTIFS(Detail!B:B,"LAPTOP",Detail!D:D,"Undirect IT Staff",Detail!C:C,"In Use",Detail!G:G,"HCM")+COUNTIFS(Detail!B:B,"LAPTOP",Detail!D:D,"Undirect IT Staff",Detail!C:C,"In Use",Detail!G:G,"HN")</f>
        <v>5</v>
      </c>
      <c r="M43" s="44">
        <f>COUNTIFS(Detail!B:B,"LAPTOP",Detail!D:D,"Undirect IT Staff",Detail!C:C,"In Stock",Detail!G:G,"HCM")+COUNTIFS(Detail!B:B,"LAPTOP",Detail!D:D,"Undirect IT Staff",Detail!C:C,"In Stock",Detail!G:G,"HN")</f>
        <v>2</v>
      </c>
      <c r="N43" s="44">
        <f>COUNTIFS(Detail!B:B,"LAPTOP",Detail!D:D,"Undirect IT Staff",Detail!C:C,"Damaged",Detail!G:G,"HCM")+COUNTIFS(Detail!B:B,"LAPTOP",Detail!D:D,"Undirect IT Staff",Detail!C:C,"Damaged",Detail!G:G,"HN")</f>
        <v>0</v>
      </c>
      <c r="O43" s="44">
        <f>COUNTIFS(Detail!B:B,"LAPTOP",Detail!D:D,"Undirect IT Staff",Detail!C:C,"Lost",Detail!G:G,"HCM")+COUNTIFS(Detail!B:B,"LAPTOP",Detail!D:D,"Undirect IT Staff",Detail!C:C,"Lost",Detail!G:G,"HN")</f>
        <v>0</v>
      </c>
      <c r="P43" s="44">
        <f>COUNTIFS(Detail!B:B,"LAPTOP",Detail!D:D,"Undirect IT Staff",Detail!C:C,"Sold",Detail!G:G,"HCM")+COUNTIFS(Detail!B:B,"LAPTOP",Detail!D:D,"Undirect IT Staff",Detail!C:C,"Sold",Detail!G:G,"HN")</f>
        <v>0</v>
      </c>
      <c r="AB43" t="str">
        <v>Nguyễn Công Bảo</v>
      </c>
    </row>
    <row r="44" spans="1:28">
      <c r="A44" s="37"/>
      <c r="B44" s="1"/>
      <c r="C44" s="1"/>
      <c r="D44" s="1"/>
      <c r="E44" s="1"/>
      <c r="F44" s="1"/>
      <c r="G44" s="1"/>
      <c r="AB44" t="str">
        <v>Nguyễn Đình Thái</v>
      </c>
    </row>
    <row r="45" spans="1:28">
      <c r="A45" s="37"/>
      <c r="B45" s="1"/>
      <c r="C45" s="1"/>
      <c r="D45" s="1"/>
      <c r="E45" s="1"/>
      <c r="F45" s="1"/>
      <c r="G45" s="1"/>
      <c r="J45" s="46" t="str">
        <f>"License Win 11 Pro Assignment ("&amp;COUNTIFS(Detail!$B:$B,"LAPTOP",Detail!$O:$O,TRUE)&amp;"/25)"</f>
        <v>License Win 11 Pro Assignment (23/25)</v>
      </c>
      <c r="AB45" t="str">
        <v>Nguyễn Duy Mạnh</v>
      </c>
    </row>
    <row r="46" spans="1:28">
      <c r="J46" s="86" t="s">
        <v>42</v>
      </c>
      <c r="K46" s="86" t="s">
        <v>43</v>
      </c>
      <c r="L46" s="86" t="s">
        <v>60</v>
      </c>
      <c r="M46" s="86" t="s">
        <v>13</v>
      </c>
      <c r="N46" s="86" t="s">
        <v>47</v>
      </c>
      <c r="AB46" t="str">
        <v>Nguyễn Hải Đăng</v>
      </c>
    </row>
    <row r="47" spans="1:28">
      <c r="J47" s="102" t="str" cm="1">
        <f t="array" ref="J47:N69">IFERROR(_xlfn._xlws.FILTER(_xlfn.HSTACK(IF(Detail!$H$2:$H$532=0,"",Detail!$H$2:$H$532),Detail!$I$2:$I$532,IF(ISERROR(Detail!$AJ$2:$AJ$532),"",Detail!$AJ$2:$AJ$532),Detail!$G$2:$G$532,Detail!$C$2:$C$532),(Detail!$B$2:$B$532="LAPTOP")*(Detail!$O$2:$O$532=TRUE)*((Detail!$C$2:$C$532="In Use")+(Detail!$C$2:$C$532="In Stock"))),"No data found")</f>
        <v/>
      </c>
      <c r="K47" s="102" t="str">
        <v>LAP0002</v>
      </c>
      <c r="L47" s="102" t="str">
        <v/>
      </c>
      <c r="M47" s="44" t="str">
        <v>HCM</v>
      </c>
      <c r="N47" s="44" t="str">
        <v>In Stock</v>
      </c>
      <c r="AB47" t="str">
        <v>Nguyễn Hồ Quốc Thịnh</v>
      </c>
    </row>
    <row r="48" spans="1:28">
      <c r="J48" s="102" t="str">
        <v/>
      </c>
      <c r="K48" s="102" t="str">
        <v>LAP0008</v>
      </c>
      <c r="L48" s="102" t="str">
        <v>Nguyễn Thanh Lê</v>
      </c>
      <c r="M48" s="44" t="str">
        <v>IPL</v>
      </c>
      <c r="N48" s="44" t="str">
        <v>In Use</v>
      </c>
      <c r="AB48" t="str">
        <v>Nguyễn Hồ Xuân Hương</v>
      </c>
    </row>
    <row r="49" spans="10:28">
      <c r="J49" s="102" t="str">
        <v/>
      </c>
      <c r="K49" s="102" t="str">
        <v>LAP0009</v>
      </c>
      <c r="L49" s="102" t="str">
        <v/>
      </c>
      <c r="M49" s="44" t="str">
        <v>HCM</v>
      </c>
      <c r="N49" s="44" t="str">
        <v>In Stock</v>
      </c>
      <c r="AB49" t="str">
        <v>Nguyễn Hoài Nam</v>
      </c>
    </row>
    <row r="50" spans="10:28">
      <c r="J50" s="102" t="str">
        <v>LAP60663</v>
      </c>
      <c r="K50" s="102" t="str">
        <v>LAP0015</v>
      </c>
      <c r="L50" s="102" t="str">
        <v/>
      </c>
      <c r="M50" s="44" t="str">
        <v>HCM</v>
      </c>
      <c r="N50" s="44" t="str">
        <v>In Stock</v>
      </c>
      <c r="AB50" t="str">
        <v>Nguyễn Hoàng Tâm</v>
      </c>
    </row>
    <row r="51" spans="10:28">
      <c r="J51" s="102" t="str">
        <v>LAP15265</v>
      </c>
      <c r="K51" s="102" t="str">
        <v>LAP0024</v>
      </c>
      <c r="L51" s="102" t="str">
        <v>Văn Tiến Đạt</v>
      </c>
      <c r="M51" s="44" t="str">
        <v>IPL</v>
      </c>
      <c r="N51" s="44" t="str">
        <v>In Use</v>
      </c>
      <c r="AB51" t="str">
        <v>Nguyễn Huỳnh Thanh Phong</v>
      </c>
    </row>
    <row r="52" spans="10:28">
      <c r="J52" s="102" t="str">
        <v/>
      </c>
      <c r="K52" s="102" t="str">
        <v>LAP0032</v>
      </c>
      <c r="L52" s="102" t="str">
        <v/>
      </c>
      <c r="M52" s="44" t="str">
        <v>HCM</v>
      </c>
      <c r="N52" s="44" t="str">
        <v>In Stock</v>
      </c>
      <c r="AB52" t="str">
        <v>Nguyễn Lâm Khánh Quỳnh</v>
      </c>
    </row>
    <row r="53" spans="10:28">
      <c r="J53" s="102" t="str">
        <v/>
      </c>
      <c r="K53" s="102" t="str">
        <v>LAP0033</v>
      </c>
      <c r="L53" s="102" t="str">
        <v/>
      </c>
      <c r="M53" s="44" t="str">
        <v>HCM</v>
      </c>
      <c r="N53" s="44" t="str">
        <v>In Stock</v>
      </c>
      <c r="AB53" t="str">
        <v>Nguyễn Lê Thanh Trúc</v>
      </c>
    </row>
    <row r="54" spans="10:28">
      <c r="J54" s="102" t="str">
        <v>LAP16385</v>
      </c>
      <c r="K54" s="102" t="str">
        <v>LAP0034</v>
      </c>
      <c r="L54" s="102" t="str">
        <v>Bùi Tuấn Huy</v>
      </c>
      <c r="M54" s="44" t="str">
        <v>HCM</v>
      </c>
      <c r="N54" s="44" t="str">
        <v>In Use</v>
      </c>
      <c r="AB54" t="str">
        <v>Nguyễn Minh Hùng</v>
      </c>
    </row>
    <row r="55" spans="10:28">
      <c r="J55" s="102" t="str">
        <v/>
      </c>
      <c r="K55" s="102" t="str">
        <v>LAP0036</v>
      </c>
      <c r="L55" s="102" t="str">
        <v/>
      </c>
      <c r="M55" s="44" t="str">
        <v>HCM</v>
      </c>
      <c r="N55" s="44" t="str">
        <v>In Stock</v>
      </c>
      <c r="AB55" t="str">
        <v>Nguyễn Minh Thy</v>
      </c>
    </row>
    <row r="56" spans="10:28">
      <c r="J56" s="102" t="str">
        <v/>
      </c>
      <c r="K56" s="102" t="str">
        <v>LAP0037</v>
      </c>
      <c r="L56" s="102" t="str">
        <v/>
      </c>
      <c r="M56" s="44" t="str">
        <v>HCM</v>
      </c>
      <c r="N56" s="44" t="str">
        <v>In Stock</v>
      </c>
      <c r="AB56" t="str">
        <v>Nguyễn Mỹ Duyên</v>
      </c>
    </row>
    <row r="57" spans="10:28">
      <c r="J57" s="102" t="str">
        <v/>
      </c>
      <c r="K57" s="102" t="str">
        <v>LAP0041</v>
      </c>
      <c r="L57" s="102" t="str">
        <v>Võ Lê Nguyên Khang</v>
      </c>
      <c r="M57" s="44" t="str">
        <v>HCM</v>
      </c>
      <c r="N57" s="44" t="str">
        <v>In Use</v>
      </c>
      <c r="AB57" t="str">
        <v>Nguyễn Ngọc Châu Sang</v>
      </c>
    </row>
    <row r="58" spans="10:28">
      <c r="J58" s="102" t="str">
        <v/>
      </c>
      <c r="K58" s="102" t="str">
        <v>LAP0043</v>
      </c>
      <c r="L58" s="102" t="str">
        <v>Trần Hải Trình</v>
      </c>
      <c r="M58" s="44" t="str">
        <v>IPL</v>
      </c>
      <c r="N58" s="44" t="str">
        <v>In Use</v>
      </c>
      <c r="AB58" t="str">
        <v>Nguyễn Ngọc Lân</v>
      </c>
    </row>
    <row r="59" spans="10:28">
      <c r="J59" s="102" t="str">
        <v>LAP15378</v>
      </c>
      <c r="K59" s="102" t="str">
        <v>LAP0046</v>
      </c>
      <c r="L59" s="102" t="str">
        <v>Nguyễn Nhã Minh</v>
      </c>
      <c r="M59" s="44" t="str">
        <v>HCM</v>
      </c>
      <c r="N59" s="44" t="str">
        <v>In Use</v>
      </c>
      <c r="AB59" t="str">
        <v>Nguyễn Ngọc Nhiên</v>
      </c>
    </row>
    <row r="60" spans="10:28">
      <c r="J60" s="102" t="str">
        <v/>
      </c>
      <c r="K60" s="102" t="str">
        <v>LAP0050</v>
      </c>
      <c r="L60" s="102" t="str">
        <v/>
      </c>
      <c r="M60" s="44" t="str">
        <v>HCM</v>
      </c>
      <c r="N60" s="44" t="str">
        <v>In Stock</v>
      </c>
      <c r="AB60" t="str">
        <v>Nguyễn Ngọc Trinh</v>
      </c>
    </row>
    <row r="61" spans="10:28">
      <c r="J61" s="102" t="str">
        <v/>
      </c>
      <c r="K61" s="102" t="str">
        <v>LAP0051</v>
      </c>
      <c r="L61" s="102" t="str">
        <v>Trương Thanh Đông</v>
      </c>
      <c r="M61" s="44" t="str">
        <v>IPL</v>
      </c>
      <c r="N61" s="44" t="str">
        <v>In Use</v>
      </c>
      <c r="AB61" t="str">
        <v>Nguyễn Nhã Minh</v>
      </c>
    </row>
    <row r="62" spans="10:28">
      <c r="J62" s="102" t="str">
        <v/>
      </c>
      <c r="K62" s="102" t="str">
        <v>LAP0057</v>
      </c>
      <c r="L62" s="102" t="str">
        <v/>
      </c>
      <c r="M62" s="44" t="str">
        <v>HCM</v>
      </c>
      <c r="N62" s="44" t="str">
        <v>In Stock</v>
      </c>
      <c r="AB62" t="str">
        <v>Nguyễn Quang Hoàng</v>
      </c>
    </row>
    <row r="63" spans="10:28">
      <c r="J63" s="102" t="str">
        <v/>
      </c>
      <c r="K63" s="102" t="str">
        <v>LAP0058</v>
      </c>
      <c r="L63" s="102" t="str">
        <v>Nguyễn Ngọc Nhiên</v>
      </c>
      <c r="M63" s="44" t="str">
        <v>HCM</v>
      </c>
      <c r="N63" s="44" t="str">
        <v>In Use</v>
      </c>
      <c r="AB63" t="str">
        <v>Nguyễn Quốc Bảo</v>
      </c>
    </row>
    <row r="64" spans="10:28">
      <c r="J64" s="102" t="str">
        <v>LAP14138</v>
      </c>
      <c r="K64" s="102" t="str">
        <v>LAP0059</v>
      </c>
      <c r="L64" s="102" t="str">
        <v/>
      </c>
      <c r="M64" s="44" t="str">
        <v>HCM</v>
      </c>
      <c r="N64" s="44" t="str">
        <v>In Stock</v>
      </c>
      <c r="AB64" t="str">
        <v>Nguyễn Quốc Huy</v>
      </c>
    </row>
    <row r="65" spans="10:28">
      <c r="J65" s="102" t="str">
        <v/>
      </c>
      <c r="K65" s="102" t="str">
        <v>LAP0061</v>
      </c>
      <c r="L65" s="102" t="str">
        <v>Nguyễn Công Bảo</v>
      </c>
      <c r="M65" s="44" t="str">
        <v>IPL</v>
      </c>
      <c r="N65" s="44" t="str">
        <v>In Use</v>
      </c>
      <c r="AB65" t="str">
        <v>Nguyễn Quốc Trung</v>
      </c>
    </row>
    <row r="66" spans="10:28">
      <c r="J66" s="102" t="str">
        <v/>
      </c>
      <c r="K66" s="102" t="str">
        <v>LAP0065</v>
      </c>
      <c r="L66" s="102" t="str">
        <v>Nguyễn Minh Thy</v>
      </c>
      <c r="M66" s="44" t="str">
        <v>HCM</v>
      </c>
      <c r="N66" s="44" t="str">
        <v>In Use</v>
      </c>
      <c r="AB66" t="str">
        <v>Nguyễn Quý</v>
      </c>
    </row>
    <row r="67" spans="10:28">
      <c r="J67" s="102" t="str">
        <v/>
      </c>
      <c r="K67" s="102" t="str">
        <v>LAP0074</v>
      </c>
      <c r="L67" s="102" t="str">
        <v>Hoàng Thị Trang</v>
      </c>
      <c r="M67" s="44" t="str">
        <v>HCM</v>
      </c>
      <c r="N67" s="44" t="str">
        <v>In Use</v>
      </c>
      <c r="AB67" t="str">
        <v>Nguyễn Thanh Lê</v>
      </c>
    </row>
    <row r="68" spans="10:28">
      <c r="J68" s="102" t="str">
        <v/>
      </c>
      <c r="K68" s="102" t="str">
        <v>LAP0090</v>
      </c>
      <c r="L68" s="102" t="str">
        <v>Trần Gia Ân</v>
      </c>
      <c r="M68" s="44" t="str">
        <v>HCM</v>
      </c>
      <c r="N68" s="44" t="str">
        <v>In Use</v>
      </c>
      <c r="AB68" t="str">
        <v>Nguyễn Thành Trung</v>
      </c>
    </row>
    <row r="69" spans="10:28">
      <c r="J69" s="102" t="str">
        <v/>
      </c>
      <c r="K69" s="102" t="str">
        <v>LAP0149</v>
      </c>
      <c r="L69" s="102" t="str">
        <v>Nguyễn Viết Khải</v>
      </c>
      <c r="M69" s="44" t="str">
        <v>HCM</v>
      </c>
      <c r="N69" s="44" t="str">
        <v>In Use</v>
      </c>
      <c r="AB69" t="str">
        <v>Nguyễn Thị Hoàng Yến</v>
      </c>
    </row>
    <row r="70" spans="10:28">
      <c r="J70" s="101"/>
      <c r="K70" s="101"/>
      <c r="L70" s="101"/>
      <c r="M70" s="103"/>
      <c r="N70" s="103"/>
      <c r="AB70" t="str">
        <v>Nguyễn Thị My Sa</v>
      </c>
    </row>
    <row r="71" spans="10:28">
      <c r="J71" s="4"/>
      <c r="K71" s="4"/>
      <c r="L71" s="4"/>
      <c r="M71" s="4"/>
      <c r="N71" s="4"/>
      <c r="AB71" t="str">
        <v>Nguyễn Thị Thuý Hằng</v>
      </c>
    </row>
    <row r="72" spans="10:28">
      <c r="AB72" t="str">
        <v>Nguyễn Thị Việt Hà</v>
      </c>
    </row>
    <row r="73" spans="10:28">
      <c r="AB73" t="str">
        <v>Nguyễn Thiện Nhân</v>
      </c>
    </row>
    <row r="74" spans="10:28">
      <c r="AB74" t="str">
        <v>Nguyễn Trung Kiên</v>
      </c>
    </row>
    <row r="75" spans="10:28">
      <c r="AB75" t="str">
        <v>Nguyễn Vân Anh</v>
      </c>
    </row>
    <row r="76" spans="10:28">
      <c r="AB76" t="str">
        <v>Nguyễn Văn Bình</v>
      </c>
    </row>
    <row r="77" spans="10:28">
      <c r="AB77" t="str">
        <v>Nguyễn Văn Lân</v>
      </c>
    </row>
    <row r="78" spans="10:28">
      <c r="AB78" t="str">
        <v>Nguyễn Viết Khải</v>
      </c>
    </row>
    <row r="79" spans="10:28">
      <c r="AB79" t="str">
        <v>Nguyễn Việt Trung</v>
      </c>
    </row>
    <row r="80" spans="10:28">
      <c r="AB80" t="str">
        <v>P.Datacenter F9</v>
      </c>
    </row>
    <row r="81" spans="28:28">
      <c r="AB81" t="str">
        <v>Phạm Bằng</v>
      </c>
    </row>
    <row r="82" spans="28:28">
      <c r="AB82" t="str">
        <v>Phạm Hồng Quốc Anh</v>
      </c>
    </row>
    <row r="83" spans="28:28">
      <c r="AB83" t="str">
        <v>Phạm Thị Trúc Linh</v>
      </c>
    </row>
    <row r="84" spans="28:28">
      <c r="AB84" t="str">
        <v>Phùng Thanh Huy</v>
      </c>
    </row>
    <row r="85" spans="28:28">
      <c r="AB85" t="str">
        <v>Reception</v>
      </c>
    </row>
    <row r="86" spans="28:28">
      <c r="AB86" t="str">
        <v>Tăng Huy</v>
      </c>
    </row>
    <row r="87" spans="28:28">
      <c r="AB87" t="str">
        <v>Trần Gia Ân</v>
      </c>
    </row>
    <row r="88" spans="28:28">
      <c r="AB88" t="str">
        <v>Trần Hải Trình</v>
      </c>
    </row>
    <row r="89" spans="28:28">
      <c r="AB89" t="str">
        <v>Trần Hoàng Anh</v>
      </c>
    </row>
    <row r="90" spans="28:28">
      <c r="AB90" t="str">
        <v>Trần Hoàng Minh</v>
      </c>
    </row>
    <row r="91" spans="28:28">
      <c r="AB91" t="str">
        <v>Trần Huyền Thanh</v>
      </c>
    </row>
    <row r="92" spans="28:28">
      <c r="AB92" t="str">
        <v>Trần Kiên</v>
      </c>
    </row>
    <row r="93" spans="28:28">
      <c r="AB93" t="str">
        <v>Trần Thanh Vinh</v>
      </c>
    </row>
    <row r="94" spans="28:28">
      <c r="AB94" t="str">
        <v>Trần Triệu Dương</v>
      </c>
    </row>
    <row r="95" spans="28:28">
      <c r="AB95" t="str">
        <v>Trịnh Khánh Hòa</v>
      </c>
    </row>
    <row r="96" spans="28:28">
      <c r="AB96" t="str">
        <v>Trịnh Minh Toàn</v>
      </c>
    </row>
    <row r="97" spans="28:28">
      <c r="AB97" t="str">
        <v>Trịnh Xuân Vượng</v>
      </c>
    </row>
    <row r="98" spans="28:28">
      <c r="AB98" t="str">
        <v>Trương Nữ Ngọc Mai</v>
      </c>
    </row>
    <row r="99" spans="28:28">
      <c r="AB99" t="str">
        <v>Trương Thanh Đông</v>
      </c>
    </row>
    <row r="100" spans="28:28">
      <c r="AB100" t="str">
        <v>Trương Thanh Nhân</v>
      </c>
    </row>
    <row r="101" spans="28:28">
      <c r="AB101" t="str">
        <v>Văn Tiến Đạt</v>
      </c>
    </row>
    <row r="102" spans="28:28">
      <c r="AB102" t="str">
        <v>Võ Lê Nguyên Khang</v>
      </c>
    </row>
    <row r="103" spans="28:28">
      <c r="AB103" t="str">
        <v>Võ Thành Nhơn</v>
      </c>
    </row>
    <row r="104" spans="28:28">
      <c r="AB104" t="str">
        <v>Vũ Đức Thuận</v>
      </c>
    </row>
  </sheetData>
  <mergeCells count="7">
    <mergeCell ref="B24:G24"/>
    <mergeCell ref="A1:P1"/>
    <mergeCell ref="A2:P2"/>
    <mergeCell ref="J23:P23"/>
    <mergeCell ref="A4:P4"/>
    <mergeCell ref="J15:P15"/>
    <mergeCell ref="A23:G23"/>
  </mergeCells>
  <dataValidations count="1">
    <dataValidation type="list" allowBlank="1" showInputMessage="1" showErrorMessage="1" sqref="B24" xr:uid="{4D577E26-8AFA-4AE0-960D-C3C43948209E}">
      <formula1>_xlfn.ANCHORARRAY($AB$1)</formula1>
    </dataValidation>
  </dataValidations>
  <pageMargins left="0.7" right="0.7" top="0.75" bottom="0.75" header="0.3" footer="0.3"/>
  <pageSetup paperSize="0" scale="0" firstPageNumber="0" fitToWidth="0" fitToHeight="0" orientation="portrait" usePrinterDefaults="0" horizontalDpi="0" verticalDpi="0" copies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20B48-E951-4155-9518-473C3E20D000}">
  <sheetPr filterMode="1">
    <tabColor rgb="FFFFFF00"/>
  </sheetPr>
  <dimension ref="A1:CZ537"/>
  <sheetViews>
    <sheetView workbookViewId="0">
      <pane ySplit="1" topLeftCell="A79" activePane="bottomLeft" state="frozen"/>
      <selection pane="bottomLeft" activeCell="G537" sqref="G537"/>
    </sheetView>
  </sheetViews>
  <sheetFormatPr defaultColWidth="9.140625" defaultRowHeight="15"/>
  <cols>
    <col min="1" max="1" width="4.7109375" style="1" bestFit="1" customWidth="1"/>
    <col min="2" max="2" width="14.42578125" bestFit="1" customWidth="1"/>
    <col min="3" max="3" width="12" bestFit="1" customWidth="1"/>
    <col min="4" max="4" width="17.85546875" bestFit="1" customWidth="1"/>
    <col min="5" max="6" width="16.140625" customWidth="1"/>
    <col min="7" max="8" width="11.5703125" customWidth="1"/>
    <col min="9" max="9" width="9.140625" customWidth="1"/>
    <col min="10" max="10" width="8.7109375" customWidth="1"/>
    <col min="11" max="11" width="43.5703125" customWidth="1"/>
    <col min="12" max="15" width="8.28515625" customWidth="1"/>
    <col min="16" max="16" width="20" customWidth="1"/>
    <col min="17" max="17" width="16" customWidth="1"/>
    <col min="18" max="18" width="14.140625" customWidth="1"/>
    <col min="19" max="19" width="11.42578125" customWidth="1"/>
    <col min="20" max="20" width="17.42578125" hidden="1" customWidth="1"/>
    <col min="21" max="21" width="16.28515625" hidden="1" customWidth="1"/>
    <col min="22" max="22" width="24.7109375" hidden="1" customWidth="1"/>
    <col min="23" max="30" width="9.140625" hidden="1" customWidth="1"/>
    <col min="31" max="31" width="17.140625" hidden="1" customWidth="1"/>
    <col min="32" max="32" width="15.5703125" hidden="1" customWidth="1"/>
    <col min="33" max="33" width="11.42578125" hidden="1" customWidth="1"/>
    <col min="34" max="34" width="17.5703125" hidden="1" customWidth="1"/>
    <col min="35" max="35" width="13.7109375" hidden="1" customWidth="1"/>
    <col min="36" max="36" width="27.7109375" bestFit="1" customWidth="1"/>
    <col min="37" max="37" width="12" customWidth="1"/>
    <col min="38" max="38" width="35.28515625" customWidth="1"/>
    <col min="39" max="39" width="16.140625" customWidth="1"/>
    <col min="40" max="40" width="32" customWidth="1"/>
    <col min="41" max="42" width="9.140625" customWidth="1"/>
    <col min="43" max="43" width="29.5703125" bestFit="1" customWidth="1"/>
    <col min="44" max="45" width="9.140625" customWidth="1"/>
  </cols>
  <sheetData>
    <row r="1" spans="1:104" s="3" customFormat="1" ht="52.5" customHeight="1">
      <c r="A1" s="23" t="s">
        <v>61</v>
      </c>
      <c r="B1" s="23" t="s">
        <v>62</v>
      </c>
      <c r="C1" s="23" t="s">
        <v>63</v>
      </c>
      <c r="D1" s="23" t="s">
        <v>25</v>
      </c>
      <c r="E1" s="23" t="s">
        <v>64</v>
      </c>
      <c r="F1" s="23" t="s">
        <v>27</v>
      </c>
      <c r="G1" s="24" t="s">
        <v>13</v>
      </c>
      <c r="H1" s="24" t="s">
        <v>42</v>
      </c>
      <c r="I1" s="12" t="s">
        <v>43</v>
      </c>
      <c r="J1" s="12" t="s">
        <v>65</v>
      </c>
      <c r="K1" s="12" t="s">
        <v>45</v>
      </c>
      <c r="L1" s="12" t="s">
        <v>41</v>
      </c>
      <c r="M1" s="12" t="s">
        <v>55</v>
      </c>
      <c r="N1" s="12" t="s">
        <v>66</v>
      </c>
      <c r="O1" s="100" t="s">
        <v>67</v>
      </c>
      <c r="P1" s="12" t="s">
        <v>68</v>
      </c>
      <c r="Q1" s="25" t="s">
        <v>69</v>
      </c>
      <c r="R1" s="12" t="s">
        <v>70</v>
      </c>
      <c r="S1" s="12" t="s">
        <v>71</v>
      </c>
      <c r="T1" s="12" t="s">
        <v>72</v>
      </c>
      <c r="U1" s="26" t="s">
        <v>73</v>
      </c>
      <c r="V1" s="27" t="s">
        <v>74</v>
      </c>
      <c r="W1" s="28" t="s">
        <v>75</v>
      </c>
      <c r="X1" s="28" t="s">
        <v>76</v>
      </c>
      <c r="Y1" s="28" t="s">
        <v>77</v>
      </c>
      <c r="Z1" s="28" t="s">
        <v>78</v>
      </c>
      <c r="AA1" s="28" t="s">
        <v>79</v>
      </c>
      <c r="AB1" s="28" t="s">
        <v>80</v>
      </c>
      <c r="AC1" s="28" t="s">
        <v>81</v>
      </c>
      <c r="AD1" s="28" t="s">
        <v>82</v>
      </c>
      <c r="AE1" s="29" t="s">
        <v>83</v>
      </c>
      <c r="AF1" s="30" t="s">
        <v>84</v>
      </c>
      <c r="AG1" s="30" t="s">
        <v>85</v>
      </c>
      <c r="AH1" s="30" t="s">
        <v>86</v>
      </c>
      <c r="AI1" s="30" t="s">
        <v>87</v>
      </c>
      <c r="AJ1" s="31" t="s">
        <v>88</v>
      </c>
      <c r="AK1" s="31" t="s">
        <v>89</v>
      </c>
      <c r="AL1" s="31" t="s">
        <v>90</v>
      </c>
      <c r="AM1" s="31" t="s">
        <v>91</v>
      </c>
      <c r="AN1" s="32" t="s">
        <v>92</v>
      </c>
      <c r="AO1" s="33" t="s">
        <v>93</v>
      </c>
      <c r="AP1" s="33" t="s">
        <v>94</v>
      </c>
      <c r="AQ1" s="23" t="s">
        <v>95</v>
      </c>
      <c r="AR1" s="34" t="s">
        <v>96</v>
      </c>
      <c r="AS1" s="35" t="s">
        <v>97</v>
      </c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5"/>
    </row>
    <row r="2" spans="1:104" s="4" customFormat="1" hidden="1">
      <c r="A2" s="3">
        <f t="shared" ref="A2:A42" si="0">IF(B2&lt;&gt;"",ROW()-1,"")</f>
        <v>1</v>
      </c>
      <c r="B2" s="4" t="s">
        <v>14</v>
      </c>
      <c r="C2" s="4" t="s">
        <v>3</v>
      </c>
      <c r="D2" s="4" t="str">
        <f>INDEX(Employee!E:E,MATCH(AK2,Employee!B:B,0))</f>
        <v>Project</v>
      </c>
      <c r="E2" s="4" t="str">
        <f>INDEX(Employee!F:F,MATCH(AK2,Employee!B:B,0))</f>
        <v>Tech</v>
      </c>
      <c r="F2" s="4" t="str">
        <f>INDEX(Employee!G:G,MATCH(AK2,Employee!B:B,0))</f>
        <v>Venture</v>
      </c>
      <c r="G2" s="4" t="s">
        <v>15</v>
      </c>
      <c r="I2" s="4" t="s">
        <v>98</v>
      </c>
      <c r="J2" s="4" t="s">
        <v>99</v>
      </c>
      <c r="K2" s="4" t="s">
        <v>100</v>
      </c>
      <c r="L2" s="4" t="s">
        <v>49</v>
      </c>
      <c r="M2" s="4" t="str">
        <f>RIGHT(K2,5)</f>
        <v>256GB</v>
      </c>
      <c r="N2" s="13" t="b">
        <v>1</v>
      </c>
      <c r="O2" s="13" t="b">
        <v>0</v>
      </c>
      <c r="P2" s="20" t="s">
        <v>101</v>
      </c>
      <c r="Q2" s="14">
        <v>45618</v>
      </c>
      <c r="R2" s="4" t="s">
        <v>102</v>
      </c>
      <c r="S2" s="10">
        <v>24710000</v>
      </c>
      <c r="AE2" s="21"/>
      <c r="AF2" s="4" t="str">
        <f>INDEX(Employee!C:C,MATCH(AG2,Employee!B:B,0))</f>
        <v>Nguyễn Viết Khải</v>
      </c>
      <c r="AG2" s="4" t="s">
        <v>103</v>
      </c>
      <c r="AH2" s="4" t="str">
        <f>INDEX(Employee!D:D,MATCH(AG2,Employee!B:B,0))</f>
        <v>Lead IT Support Engineer</v>
      </c>
      <c r="AI2" s="4" t="str">
        <f>INDEX(Employee!F:F,MATCH(AG2,Employee!B:B,0))</f>
        <v>Tech</v>
      </c>
      <c r="AJ2" s="4" t="str">
        <f>INDEX(Employee!C:C,MATCH(AK2,Employee!B:B,0))</f>
        <v>Bùi Quốc Thái</v>
      </c>
      <c r="AK2" s="4" t="s">
        <v>104</v>
      </c>
      <c r="AL2" s="4" t="str">
        <f>INDEX(Employee!D:D,MATCH(AK2,Employee!B:B,0))</f>
        <v>Associate QC Engineer</v>
      </c>
      <c r="AM2" s="4" t="str">
        <f>INDEX(Employee!F:F,MATCH(AK2,Employee!B:B,0))</f>
        <v>Tech</v>
      </c>
      <c r="AN2" s="4" t="str">
        <f>INDEX(Employee!H:H,MATCH(AK2,Employee!B:B,0))</f>
        <v>Nguyễn Khánh Vy</v>
      </c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 s="6"/>
      <c r="CY2"/>
      <c r="CZ2"/>
    </row>
    <row r="3" spans="1:104" s="4" customFormat="1" hidden="1">
      <c r="A3" s="3">
        <f t="shared" si="0"/>
        <v>2</v>
      </c>
      <c r="B3" s="4" t="s">
        <v>16</v>
      </c>
      <c r="C3" s="4" t="s">
        <v>3</v>
      </c>
      <c r="D3" s="4" t="str">
        <f>INDEX(Employee!E:E,MATCH(AK3,Employee!B:B,0))</f>
        <v>Project</v>
      </c>
      <c r="E3" s="4" t="str">
        <f>INDEX(Employee!F:F,MATCH(AK3,Employee!B:B,0))</f>
        <v>Tech</v>
      </c>
      <c r="F3" s="4" t="str">
        <f>INDEX(Employee!G:G,MATCH(AK3,Employee!B:B,0))</f>
        <v>Venture</v>
      </c>
      <c r="G3" s="4" t="s">
        <v>15</v>
      </c>
      <c r="H3" s="4" t="s">
        <v>105</v>
      </c>
      <c r="I3" s="4" t="s">
        <v>106</v>
      </c>
      <c r="J3" s="4" t="s">
        <v>107</v>
      </c>
      <c r="K3" s="7" t="s">
        <v>108</v>
      </c>
      <c r="N3" s="13" t="b">
        <v>0</v>
      </c>
      <c r="O3" s="13" t="b">
        <v>0</v>
      </c>
      <c r="P3" s="15" t="s">
        <v>109</v>
      </c>
      <c r="Q3" s="14">
        <v>45622</v>
      </c>
      <c r="R3" s="4" t="s">
        <v>102</v>
      </c>
      <c r="S3" s="10">
        <v>4190287</v>
      </c>
      <c r="AF3" s="4" t="str">
        <f>INDEX(Employee!C:C,MATCH(AG3,Employee!B:B,0))</f>
        <v>Nguyễn Viết Khải</v>
      </c>
      <c r="AG3" s="4" t="s">
        <v>103</v>
      </c>
      <c r="AH3" s="4" t="str">
        <f>INDEX(Employee!D:D,MATCH(AG3,Employee!B:B,0))</f>
        <v>Lead IT Support Engineer</v>
      </c>
      <c r="AI3" s="4" t="str">
        <f>INDEX(Employee!F:F,MATCH(AG3,Employee!B:B,0))</f>
        <v>Tech</v>
      </c>
      <c r="AJ3" s="4" t="str">
        <f>INDEX(Employee!C:C,MATCH(AK3,Employee!B:B,0))</f>
        <v>Bùi Quốc Thái</v>
      </c>
      <c r="AK3" s="4" t="s">
        <v>104</v>
      </c>
      <c r="AL3" s="4" t="str">
        <f>INDEX(Employee!D:D,MATCH(AK3,Employee!B:B,0))</f>
        <v>Associate QC Engineer</v>
      </c>
      <c r="AM3" s="4" t="str">
        <f>INDEX(Employee!F:F,MATCH(AK3,Employee!B:B,0))</f>
        <v>Tech</v>
      </c>
      <c r="AN3" s="4" t="str">
        <f>INDEX(Employee!H:H,MATCH(AK3,Employee!B:B,0))</f>
        <v>Nguyễn Khánh Vy</v>
      </c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 s="6"/>
      <c r="CY3"/>
      <c r="CZ3"/>
    </row>
    <row r="4" spans="1:104" s="4" customFormat="1" hidden="1">
      <c r="A4" s="3">
        <f t="shared" si="0"/>
        <v>3</v>
      </c>
      <c r="B4" s="4" t="s">
        <v>18</v>
      </c>
      <c r="C4" s="4" t="s">
        <v>3</v>
      </c>
      <c r="D4" s="4" t="str">
        <f>INDEX(Employee!E:E,MATCH(AK4,Employee!B:B,0))</f>
        <v>Project</v>
      </c>
      <c r="E4" s="4" t="str">
        <f>INDEX(Employee!F:F,MATCH(AK4,Employee!B:B,0))</f>
        <v>Tech</v>
      </c>
      <c r="F4" s="4" t="str">
        <f>INDEX(Employee!G:G,MATCH(AK4,Employee!B:B,0))</f>
        <v>Venture</v>
      </c>
      <c r="G4" s="4" t="s">
        <v>15</v>
      </c>
      <c r="I4" s="4" t="s">
        <v>110</v>
      </c>
      <c r="J4" s="4" t="s">
        <v>111</v>
      </c>
      <c r="K4" s="4" t="s">
        <v>112</v>
      </c>
      <c r="N4" s="13" t="b">
        <v>0</v>
      </c>
      <c r="O4" s="13" t="b">
        <v>0</v>
      </c>
      <c r="P4" s="4" t="s">
        <v>113</v>
      </c>
      <c r="Q4" s="14">
        <v>44462</v>
      </c>
      <c r="R4" s="4" t="s">
        <v>102</v>
      </c>
      <c r="S4" s="10">
        <v>36364</v>
      </c>
      <c r="AF4" s="4" t="str">
        <f>INDEX(Employee!C:C,MATCH(AG4,Employee!B:B,0))</f>
        <v>Nguyễn Viết Khải</v>
      </c>
      <c r="AG4" s="4" t="s">
        <v>103</v>
      </c>
      <c r="AH4" s="4" t="str">
        <f>INDEX(Employee!D:D,MATCH(AG4,Employee!B:B,0))</f>
        <v>Lead IT Support Engineer</v>
      </c>
      <c r="AI4" s="4" t="str">
        <f>INDEX(Employee!F:F,MATCH(AG4,Employee!B:B,0))</f>
        <v>Tech</v>
      </c>
      <c r="AJ4" s="4" t="str">
        <f>INDEX(Employee!C:C,MATCH(AK4,Employee!B:B,0))</f>
        <v>Bùi Quốc Thái</v>
      </c>
      <c r="AK4" s="4" t="s">
        <v>104</v>
      </c>
      <c r="AL4" s="4" t="str">
        <f>INDEX(Employee!D:D,MATCH(AK4,Employee!B:B,0))</f>
        <v>Associate QC Engineer</v>
      </c>
      <c r="AM4" s="4" t="str">
        <f>INDEX(Employee!F:F,MATCH(AK4,Employee!B:B,0))</f>
        <v>Tech</v>
      </c>
      <c r="AN4" s="4" t="str">
        <f>INDEX(Employee!H:H,MATCH(AK4,Employee!B:B,0))</f>
        <v>Nguyễn Khánh Vy</v>
      </c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 s="6"/>
      <c r="CY4"/>
      <c r="CZ4"/>
    </row>
    <row r="5" spans="1:104" s="4" customFormat="1" hidden="1">
      <c r="A5" s="3">
        <f t="shared" si="0"/>
        <v>4</v>
      </c>
      <c r="B5" s="4" t="s">
        <v>14</v>
      </c>
      <c r="C5" s="4" t="s">
        <v>4</v>
      </c>
      <c r="D5" s="4" t="e">
        <f>INDEX(Employee!E:E,MATCH(AK5,Employee!B:B,0))</f>
        <v>#N/A</v>
      </c>
      <c r="E5" s="4" t="e">
        <f>INDEX(Employee!F:F,MATCH(AK5,Employee!B:B,0))</f>
        <v>#N/A</v>
      </c>
      <c r="F5" s="4" t="e">
        <f>INDEX(Employee!G:G,MATCH(AK5,Employee!B:B,0))</f>
        <v>#N/A</v>
      </c>
      <c r="G5" s="4" t="s">
        <v>15</v>
      </c>
      <c r="I5" s="4" t="s">
        <v>114</v>
      </c>
      <c r="J5" s="4" t="s">
        <v>115</v>
      </c>
      <c r="K5" s="7" t="s">
        <v>116</v>
      </c>
      <c r="L5" s="7" t="s">
        <v>52</v>
      </c>
      <c r="M5" s="4" t="str">
        <f>RIGHT(K5,5)</f>
        <v>256GB</v>
      </c>
      <c r="N5" s="13" t="b">
        <v>1</v>
      </c>
      <c r="O5" s="13" t="b">
        <v>1</v>
      </c>
      <c r="P5" s="8" t="s">
        <v>117</v>
      </c>
      <c r="Q5" s="14">
        <v>43747</v>
      </c>
      <c r="R5" s="4" t="s">
        <v>102</v>
      </c>
      <c r="S5" s="10">
        <v>2660800</v>
      </c>
      <c r="AJ5" s="4" t="e">
        <f>INDEX(Employee!C:C,MATCH(AK5,Employee!B:B,0))</f>
        <v>#N/A</v>
      </c>
      <c r="AL5" s="4" t="e">
        <f>INDEX(Employee!D:D,MATCH(AK5,Employee!B:B,0))</f>
        <v>#N/A</v>
      </c>
      <c r="AM5" s="4" t="e">
        <f>INDEX(Employee!F:F,MATCH(AK5,Employee!B:B,0))</f>
        <v>#N/A</v>
      </c>
      <c r="AN5" s="4" t="e">
        <f>INDEX(Employee!H:H,MATCH(AK5,Employee!B:B,0))</f>
        <v>#N/A</v>
      </c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 s="6"/>
      <c r="CY5"/>
      <c r="CZ5"/>
    </row>
    <row r="6" spans="1:104" s="4" customFormat="1" hidden="1">
      <c r="A6" s="3">
        <f t="shared" si="0"/>
        <v>5</v>
      </c>
      <c r="B6" s="4" t="s">
        <v>18</v>
      </c>
      <c r="C6" s="4" t="s">
        <v>5</v>
      </c>
      <c r="D6" s="4" t="e">
        <f>INDEX(Employee!E:E,MATCH(AK6,Employee!B:B,0))</f>
        <v>#N/A</v>
      </c>
      <c r="E6" s="4" t="e">
        <f>INDEX(Employee!F:F,MATCH(AK6,Employee!B:B,0))</f>
        <v>#N/A</v>
      </c>
      <c r="F6" s="4" t="e">
        <f>INDEX(Employee!G:G,MATCH(AK6,Employee!B:B,0))</f>
        <v>#N/A</v>
      </c>
      <c r="G6" s="4" t="s">
        <v>15</v>
      </c>
      <c r="I6" s="4" t="s">
        <v>118</v>
      </c>
      <c r="J6" s="4" t="s">
        <v>111</v>
      </c>
      <c r="K6" s="4" t="s">
        <v>112</v>
      </c>
      <c r="N6" s="13" t="b">
        <v>0</v>
      </c>
      <c r="O6" s="13" t="b">
        <v>0</v>
      </c>
      <c r="Q6" s="14">
        <v>44536</v>
      </c>
      <c r="R6" s="4" t="s">
        <v>102</v>
      </c>
      <c r="S6" s="10">
        <v>21500</v>
      </c>
      <c r="AF6" s="4" t="str">
        <f>INDEX(Employee!C:C,MATCH(AG6,Employee!B:B,0))</f>
        <v>Nguyễn Viết Khải</v>
      </c>
      <c r="AG6" s="4" t="s">
        <v>103</v>
      </c>
      <c r="AH6" s="4" t="str">
        <f>INDEX(Employee!D:D,MATCH(AG6,Employee!B:B,0))</f>
        <v>Lead IT Support Engineer</v>
      </c>
      <c r="AI6" s="4" t="str">
        <f>INDEX(Employee!F:F,MATCH(AG6,Employee!B:B,0))</f>
        <v>Tech</v>
      </c>
      <c r="AJ6" s="4" t="e">
        <f>INDEX(Employee!C:C,MATCH(AK6,Employee!B:B,0))</f>
        <v>#N/A</v>
      </c>
      <c r="AL6" s="4" t="e">
        <f>INDEX(Employee!D:D,MATCH(AK6,Employee!B:B,0))</f>
        <v>#N/A</v>
      </c>
      <c r="AM6" s="4" t="e">
        <f>INDEX(Employee!F:F,MATCH(AK6,Employee!B:B,0))</f>
        <v>#N/A</v>
      </c>
      <c r="AN6" s="4" t="e">
        <f>INDEX(Employee!H:H,MATCH(AK6,Employee!B:B,0))</f>
        <v>#N/A</v>
      </c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 s="6"/>
      <c r="CY6"/>
      <c r="CZ6"/>
    </row>
    <row r="7" spans="1:104" s="4" customFormat="1" hidden="1">
      <c r="A7" s="3">
        <f t="shared" si="0"/>
        <v>6</v>
      </c>
      <c r="B7" s="4" t="s">
        <v>14</v>
      </c>
      <c r="C7" s="4" t="s">
        <v>3</v>
      </c>
      <c r="D7" s="4">
        <f>INDEX(Employee!E:E,MATCH(AK7,Employee!B:B,0))</f>
        <v>0</v>
      </c>
      <c r="E7" s="4" t="str">
        <f>INDEX(Employee!F:F,MATCH(AK7,Employee!B:B,0))</f>
        <v>Tech</v>
      </c>
      <c r="F7" s="4">
        <f>INDEX(Employee!G:G,MATCH(AK7,Employee!B:B,0))</f>
        <v>0</v>
      </c>
      <c r="G7" s="4" t="s">
        <v>119</v>
      </c>
      <c r="I7" s="4" t="s">
        <v>120</v>
      </c>
      <c r="J7" s="4" t="s">
        <v>99</v>
      </c>
      <c r="K7" s="7" t="s">
        <v>121</v>
      </c>
      <c r="L7" s="7" t="s">
        <v>48</v>
      </c>
      <c r="M7" s="4" t="str">
        <f>RIGHT(K7,5)</f>
        <v>256GB</v>
      </c>
      <c r="N7" s="13" t="b">
        <v>0</v>
      </c>
      <c r="O7" s="13" t="b">
        <v>0</v>
      </c>
      <c r="P7" s="4" t="s">
        <v>122</v>
      </c>
      <c r="Q7" s="14" t="s">
        <v>123</v>
      </c>
      <c r="R7" s="4" t="s">
        <v>102</v>
      </c>
      <c r="S7" s="10">
        <v>6683562</v>
      </c>
      <c r="AE7" s="21"/>
      <c r="AF7" s="4" t="str">
        <f>INDEX(Employee!C:C,MATCH(AG7,Employee!B:B,0))</f>
        <v>Nguyễn Viết Khải</v>
      </c>
      <c r="AG7" s="4" t="s">
        <v>103</v>
      </c>
      <c r="AH7" s="4" t="str">
        <f>INDEX(Employee!D:D,MATCH(AG7,Employee!B:B,0))</f>
        <v>Lead IT Support Engineer</v>
      </c>
      <c r="AI7" s="4" t="str">
        <f>INDEX(Employee!F:F,MATCH(AG7,Employee!B:B,0))</f>
        <v>Tech</v>
      </c>
      <c r="AJ7" s="4" t="str">
        <f>INDEX(Employee!C:C,MATCH(AK7,Employee!B:B,0))</f>
        <v>Lê Nhựt Thịnh</v>
      </c>
      <c r="AK7" s="4" t="s">
        <v>124</v>
      </c>
      <c r="AL7" s="4" t="str">
        <f>INDEX(Employee!D:D,MATCH(AK7,Employee!B:B,0))</f>
        <v>Software Engineer</v>
      </c>
      <c r="AM7" s="4" t="str">
        <f>INDEX(Employee!F:F,MATCH(AK7,Employee!B:B,0))</f>
        <v>Tech</v>
      </c>
      <c r="AN7" s="4" t="str">
        <f>INDEX(Employee!H:H,MATCH(AK7,Employee!B:B,0))</f>
        <v>Trần Triệu Dương (duongtt5)</v>
      </c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 s="6"/>
      <c r="CY7"/>
      <c r="CZ7"/>
    </row>
    <row r="8" spans="1:104" s="4" customFormat="1" hidden="1">
      <c r="A8" s="3">
        <f t="shared" si="0"/>
        <v>7</v>
      </c>
      <c r="B8" s="4" t="s">
        <v>14</v>
      </c>
      <c r="C8" s="4" t="s">
        <v>4</v>
      </c>
      <c r="D8" s="4" t="e">
        <f>INDEX(Employee!E:E,MATCH(AK8,Employee!B:B,0))</f>
        <v>#N/A</v>
      </c>
      <c r="E8" s="4" t="e">
        <f>INDEX(Employee!F:F,MATCH(AK8,Employee!B:B,0))</f>
        <v>#N/A</v>
      </c>
      <c r="F8" s="4" t="e">
        <f>INDEX(Employee!G:G,MATCH(AK8,Employee!B:B,0))</f>
        <v>#N/A</v>
      </c>
      <c r="G8" s="4" t="s">
        <v>15</v>
      </c>
      <c r="I8" s="4" t="s">
        <v>125</v>
      </c>
      <c r="J8" s="4" t="s">
        <v>99</v>
      </c>
      <c r="K8" s="7" t="s">
        <v>121</v>
      </c>
      <c r="L8" s="7" t="s">
        <v>48</v>
      </c>
      <c r="M8" s="4" t="str">
        <f>RIGHT(K8,5)</f>
        <v>256GB</v>
      </c>
      <c r="N8" s="13" t="b">
        <v>1</v>
      </c>
      <c r="O8" s="13" t="b">
        <v>0</v>
      </c>
      <c r="P8" s="22" t="s">
        <v>126</v>
      </c>
      <c r="Q8" s="14">
        <v>44999</v>
      </c>
      <c r="R8" s="4" t="s">
        <v>102</v>
      </c>
      <c r="S8" s="10">
        <v>3379715</v>
      </c>
      <c r="AE8" s="21"/>
      <c r="AF8" s="4" t="str">
        <f>INDEX(Employee!C:C,MATCH(AG8,Employee!B:B,0))</f>
        <v>Nguyễn Viết Khải</v>
      </c>
      <c r="AG8" s="4" t="s">
        <v>103</v>
      </c>
      <c r="AH8" s="4" t="str">
        <f>INDEX(Employee!D:D,MATCH(AG8,Employee!B:B,0))</f>
        <v>Lead IT Support Engineer</v>
      </c>
      <c r="AI8" s="4" t="str">
        <f>INDEX(Employee!F:F,MATCH(AG8,Employee!B:B,0))</f>
        <v>Tech</v>
      </c>
      <c r="AJ8" s="4" t="e">
        <f>INDEX(Employee!C:C,MATCH(AK8,Employee!B:B,0))</f>
        <v>#N/A</v>
      </c>
      <c r="AL8" s="4" t="e">
        <f>INDEX(Employee!D:D,MATCH(AK8,Employee!B:B,0))</f>
        <v>#N/A</v>
      </c>
      <c r="AM8" s="4" t="e">
        <f>INDEX(Employee!F:F,MATCH(AK8,Employee!B:B,0))</f>
        <v>#N/A</v>
      </c>
      <c r="AN8" s="4" t="e">
        <f>INDEX(Employee!H:H,MATCH(AK8,Employee!B:B,0))</f>
        <v>#N/A</v>
      </c>
      <c r="AS8" s="4" t="s">
        <v>127</v>
      </c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 s="6"/>
      <c r="CY8"/>
      <c r="CZ8"/>
    </row>
    <row r="9" spans="1:104" s="4" customFormat="1" hidden="1">
      <c r="A9" s="3">
        <f t="shared" si="0"/>
        <v>8</v>
      </c>
      <c r="B9" s="4" t="s">
        <v>18</v>
      </c>
      <c r="C9" s="4" t="s">
        <v>5</v>
      </c>
      <c r="D9" s="4" t="e">
        <f>INDEX(Employee!E:E,MATCH(AK9,Employee!B:B,0))</f>
        <v>#N/A</v>
      </c>
      <c r="E9" s="4" t="e">
        <f>INDEX(Employee!F:F,MATCH(AK9,Employee!B:B,0))</f>
        <v>#N/A</v>
      </c>
      <c r="F9" s="4" t="e">
        <f>INDEX(Employee!G:G,MATCH(AK9,Employee!B:B,0))</f>
        <v>#N/A</v>
      </c>
      <c r="G9" s="4" t="s">
        <v>15</v>
      </c>
      <c r="I9" s="4" t="s">
        <v>128</v>
      </c>
      <c r="J9" s="4" t="s">
        <v>111</v>
      </c>
      <c r="K9" s="4" t="s">
        <v>112</v>
      </c>
      <c r="N9" s="13" t="b">
        <v>0</v>
      </c>
      <c r="O9" s="13" t="b">
        <v>0</v>
      </c>
      <c r="P9" s="4" t="s">
        <v>129</v>
      </c>
      <c r="Q9" s="14">
        <v>44621</v>
      </c>
      <c r="R9" s="4" t="s">
        <v>102</v>
      </c>
      <c r="S9" s="10">
        <v>21000</v>
      </c>
      <c r="AF9" s="4" t="str">
        <f>INDEX(Employee!C:C,MATCH(AG9,Employee!B:B,0))</f>
        <v>Nguyễn Viết Khải</v>
      </c>
      <c r="AG9" s="4" t="s">
        <v>103</v>
      </c>
      <c r="AH9" s="4" t="str">
        <f>INDEX(Employee!D:D,MATCH(AG9,Employee!B:B,0))</f>
        <v>Lead IT Support Engineer</v>
      </c>
      <c r="AI9" s="4" t="str">
        <f>INDEX(Employee!F:F,MATCH(AG9,Employee!B:B,0))</f>
        <v>Tech</v>
      </c>
      <c r="AJ9" s="4" t="e">
        <f>INDEX(Employee!C:C,MATCH(AK9,Employee!B:B,0))</f>
        <v>#N/A</v>
      </c>
      <c r="AL9" s="4" t="e">
        <f>INDEX(Employee!D:D,MATCH(AK9,Employee!B:B,0))</f>
        <v>#N/A</v>
      </c>
      <c r="AM9" s="4" t="e">
        <f>INDEX(Employee!F:F,MATCH(AK9,Employee!B:B,0))</f>
        <v>#N/A</v>
      </c>
      <c r="AN9" s="4" t="e">
        <f>INDEX(Employee!H:H,MATCH(AK9,Employee!B:B,0))</f>
        <v>#N/A</v>
      </c>
      <c r="AS9" s="4" t="s">
        <v>127</v>
      </c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 s="6"/>
      <c r="CY9"/>
      <c r="CZ9"/>
    </row>
    <row r="10" spans="1:104" s="4" customFormat="1" hidden="1">
      <c r="A10" s="3">
        <f t="shared" si="0"/>
        <v>9</v>
      </c>
      <c r="B10" s="4" t="s">
        <v>14</v>
      </c>
      <c r="C10" s="4" t="s">
        <v>3</v>
      </c>
      <c r="D10" s="4" t="str">
        <f>INDEX(Employee!E:E,MATCH(AK10,Employee!B:B,0))</f>
        <v>Project</v>
      </c>
      <c r="E10" s="4" t="str">
        <f>INDEX(Employee!F:F,MATCH(AK10,Employee!B:B,0))</f>
        <v>Tech</v>
      </c>
      <c r="F10" s="4" t="str">
        <f>INDEX(Employee!G:G,MATCH(AK10,Employee!B:B,0))</f>
        <v>Venture</v>
      </c>
      <c r="G10" s="4" t="s">
        <v>15</v>
      </c>
      <c r="I10" s="4" t="s">
        <v>130</v>
      </c>
      <c r="J10" s="4" t="s">
        <v>99</v>
      </c>
      <c r="K10" s="7" t="s">
        <v>121</v>
      </c>
      <c r="L10" s="7" t="s">
        <v>48</v>
      </c>
      <c r="M10" s="4" t="str">
        <f>RIGHT(K10,5)</f>
        <v>256GB</v>
      </c>
      <c r="N10" s="13" t="b">
        <v>1</v>
      </c>
      <c r="O10" s="13" t="b">
        <v>0</v>
      </c>
      <c r="P10" s="4" t="s">
        <v>131</v>
      </c>
      <c r="Q10" s="14">
        <v>44831</v>
      </c>
      <c r="R10" s="4" t="s">
        <v>102</v>
      </c>
      <c r="S10" s="10">
        <v>3300000</v>
      </c>
      <c r="AE10" s="21"/>
      <c r="AF10" s="4" t="str">
        <f>INDEX(Employee!C:C,MATCH(AG10,Employee!B:B,0))</f>
        <v>Nguyễn Viết Khải</v>
      </c>
      <c r="AG10" s="4" t="s">
        <v>103</v>
      </c>
      <c r="AH10" s="4" t="str">
        <f>INDEX(Employee!D:D,MATCH(AG10,Employee!B:B,0))</f>
        <v>Lead IT Support Engineer</v>
      </c>
      <c r="AI10" s="4" t="str">
        <f>INDEX(Employee!F:F,MATCH(AG10,Employee!B:B,0))</f>
        <v>Tech</v>
      </c>
      <c r="AJ10" s="4" t="str">
        <f>INDEX(Employee!C:C,MATCH(AK10,Employee!B:B,0))</f>
        <v>Huỳnh Thúy Diễm</v>
      </c>
      <c r="AK10" s="4" t="s">
        <v>132</v>
      </c>
      <c r="AL10" s="4" t="str">
        <f>INDEX(Employee!D:D,MATCH(AK10,Employee!B:B,0))</f>
        <v>Fresher Business Analyst</v>
      </c>
      <c r="AM10" s="4" t="str">
        <f>INDEX(Employee!F:F,MATCH(AK10,Employee!B:B,0))</f>
        <v>Tech</v>
      </c>
      <c r="AN10" s="4" t="str">
        <f>INDEX(Employee!H:H,MATCH(AK10,Employee!B:B,0))</f>
        <v>Nguyễn Khánh Vy</v>
      </c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 s="6"/>
      <c r="CY10"/>
      <c r="CZ10"/>
    </row>
    <row r="11" spans="1:104" s="4" customFormat="1" hidden="1">
      <c r="A11" s="3">
        <f t="shared" si="0"/>
        <v>10</v>
      </c>
      <c r="B11" s="4" t="s">
        <v>14</v>
      </c>
      <c r="C11" s="4" t="s">
        <v>3</v>
      </c>
      <c r="D11" s="4">
        <f>INDEX(Employee!E:E,MATCH(AK11,Employee!B:B,0))</f>
        <v>0</v>
      </c>
      <c r="E11" s="4" t="str">
        <f>INDEX(Employee!F:F,MATCH(AK11,Employee!B:B,0))</f>
        <v>Tech</v>
      </c>
      <c r="F11" s="4">
        <f>INDEX(Employee!G:G,MATCH(AK11,Employee!B:B,0))</f>
        <v>0</v>
      </c>
      <c r="G11" s="4" t="s">
        <v>119</v>
      </c>
      <c r="I11" s="4" t="s">
        <v>133</v>
      </c>
      <c r="J11" s="4" t="s">
        <v>99</v>
      </c>
      <c r="K11" s="7" t="s">
        <v>121</v>
      </c>
      <c r="L11" s="7" t="s">
        <v>48</v>
      </c>
      <c r="M11" s="4" t="str">
        <f>RIGHT(K11,5)</f>
        <v>256GB</v>
      </c>
      <c r="N11" s="13" t="b">
        <v>0</v>
      </c>
      <c r="O11" s="13" t="b">
        <v>0</v>
      </c>
      <c r="P11" s="4" t="s">
        <v>134</v>
      </c>
      <c r="Q11" s="14">
        <v>44807</v>
      </c>
      <c r="R11" s="4" t="s">
        <v>102</v>
      </c>
      <c r="S11" s="10">
        <v>3245455</v>
      </c>
      <c r="AE11" s="21"/>
      <c r="AF11" s="4" t="str">
        <f>INDEX(Employee!C:C,MATCH(AG11,Employee!B:B,0))</f>
        <v>Nguyễn Viết Khải</v>
      </c>
      <c r="AG11" s="4" t="s">
        <v>103</v>
      </c>
      <c r="AH11" s="4" t="str">
        <f>INDEX(Employee!D:D,MATCH(AG11,Employee!B:B,0))</f>
        <v>Lead IT Support Engineer</v>
      </c>
      <c r="AI11" s="4" t="str">
        <f>INDEX(Employee!F:F,MATCH(AG11,Employee!B:B,0))</f>
        <v>Tech</v>
      </c>
      <c r="AJ11" s="4" t="str">
        <f>INDEX(Employee!C:C,MATCH(AK11,Employee!B:B,0))</f>
        <v>Nguyễn Ngọc Châu Sang</v>
      </c>
      <c r="AK11" s="4" t="s">
        <v>135</v>
      </c>
      <c r="AL11" s="4" t="str">
        <f>INDEX(Employee!D:D,MATCH(AK11,Employee!B:B,0))</f>
        <v>Solutions Architect</v>
      </c>
      <c r="AM11" s="4" t="str">
        <f>INDEX(Employee!F:F,MATCH(AK11,Employee!B:B,0))</f>
        <v>Tech</v>
      </c>
      <c r="AN11" s="4" t="str">
        <f>INDEX(Employee!H:H,MATCH(AK11,Employee!B:B,0))</f>
        <v>Dương Huỳnh Nghĩa (nghiadh)</v>
      </c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 s="6"/>
    </row>
    <row r="12" spans="1:104" s="4" customFormat="1" hidden="1">
      <c r="A12" s="3">
        <f t="shared" si="0"/>
        <v>11</v>
      </c>
      <c r="B12" s="4" t="s">
        <v>14</v>
      </c>
      <c r="C12" s="4" t="s">
        <v>4</v>
      </c>
      <c r="D12" s="4" t="e">
        <f>INDEX(Employee!E:E,MATCH(AK12,Employee!B:B,0))</f>
        <v>#N/A</v>
      </c>
      <c r="E12" s="4" t="e">
        <f>INDEX(Employee!F:F,MATCH(AK12,Employee!B:B,0))</f>
        <v>#N/A</v>
      </c>
      <c r="F12" s="4" t="e">
        <f>INDEX(Employee!G:G,MATCH(AK12,Employee!B:B,0))</f>
        <v>#N/A</v>
      </c>
      <c r="G12" s="4" t="s">
        <v>15</v>
      </c>
      <c r="I12" s="4" t="s">
        <v>136</v>
      </c>
      <c r="J12" s="4" t="s">
        <v>115</v>
      </c>
      <c r="K12" s="7" t="s">
        <v>137</v>
      </c>
      <c r="L12" s="7" t="s">
        <v>52</v>
      </c>
      <c r="M12" s="4" t="str">
        <f>RIGHT(K12,5)</f>
        <v>256GB</v>
      </c>
      <c r="N12" s="13" t="b">
        <v>1</v>
      </c>
      <c r="O12" s="13" t="b">
        <v>0</v>
      </c>
      <c r="P12" s="4" t="s">
        <v>138</v>
      </c>
      <c r="Q12" s="14">
        <v>44115</v>
      </c>
      <c r="R12" s="4" t="s">
        <v>102</v>
      </c>
      <c r="S12" s="10">
        <v>2644500</v>
      </c>
      <c r="AE12" s="21"/>
      <c r="AF12" s="4" t="str">
        <f>INDEX(Employee!C:C,MATCH(AG12,Employee!B:B,0))</f>
        <v>Nguyễn Viết Khải</v>
      </c>
      <c r="AG12" s="4" t="s">
        <v>103</v>
      </c>
      <c r="AH12" s="4" t="str">
        <f>INDEX(Employee!D:D,MATCH(AG12,Employee!B:B,0))</f>
        <v>Lead IT Support Engineer</v>
      </c>
      <c r="AI12" s="4" t="str">
        <f>INDEX(Employee!F:F,MATCH(AG12,Employee!B:B,0))</f>
        <v>Tech</v>
      </c>
      <c r="AJ12" s="4" t="e">
        <f>INDEX(Employee!C:C,MATCH(AK12,Employee!B:B,0))</f>
        <v>#N/A</v>
      </c>
      <c r="AL12" s="4" t="e">
        <f>INDEX(Employee!D:D,MATCH(AK12,Employee!B:B,0))</f>
        <v>#N/A</v>
      </c>
      <c r="AM12" s="4" t="e">
        <f>INDEX(Employee!F:F,MATCH(AK12,Employee!B:B,0))</f>
        <v>#N/A</v>
      </c>
      <c r="AN12" s="4" t="e">
        <f>INDEX(Employee!H:H,MATCH(AK12,Employee!B:B,0))</f>
        <v>#N/A</v>
      </c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 s="6"/>
    </row>
    <row r="13" spans="1:104" s="4" customFormat="1" hidden="1">
      <c r="A13" s="3">
        <f t="shared" si="0"/>
        <v>12</v>
      </c>
      <c r="B13" s="4" t="s">
        <v>18</v>
      </c>
      <c r="C13" s="4" t="s">
        <v>3</v>
      </c>
      <c r="D13" s="4">
        <f>INDEX(Employee!E:E,MATCH(AK13,Employee!B:B,0))</f>
        <v>0</v>
      </c>
      <c r="E13" s="4" t="str">
        <f>INDEX(Employee!F:F,MATCH(AK13,Employee!B:B,0))</f>
        <v>Tech</v>
      </c>
      <c r="F13" s="4">
        <f>INDEX(Employee!G:G,MATCH(AK13,Employee!B:B,0))</f>
        <v>0</v>
      </c>
      <c r="G13" s="4" t="s">
        <v>119</v>
      </c>
      <c r="I13" s="4" t="s">
        <v>139</v>
      </c>
      <c r="J13" s="4" t="s">
        <v>111</v>
      </c>
      <c r="K13" s="4" t="s">
        <v>112</v>
      </c>
      <c r="N13" s="13" t="b">
        <v>0</v>
      </c>
      <c r="O13" s="13" t="b">
        <v>0</v>
      </c>
      <c r="Q13" s="14">
        <v>44621</v>
      </c>
      <c r="R13" s="4" t="s">
        <v>102</v>
      </c>
      <c r="S13" s="10">
        <v>21000</v>
      </c>
      <c r="AF13" s="4" t="str">
        <f>INDEX(Employee!C:C,MATCH(AG13,Employee!B:B,0))</f>
        <v>Nguyễn Viết Khải</v>
      </c>
      <c r="AG13" s="4" t="s">
        <v>103</v>
      </c>
      <c r="AH13" s="4" t="str">
        <f>INDEX(Employee!D:D,MATCH(AG13,Employee!B:B,0))</f>
        <v>Lead IT Support Engineer</v>
      </c>
      <c r="AI13" s="4" t="str">
        <f>INDEX(Employee!F:F,MATCH(AG13,Employee!B:B,0))</f>
        <v>Tech</v>
      </c>
      <c r="AJ13" s="4" t="str">
        <f>INDEX(Employee!C:C,MATCH(AK13,Employee!B:B,0))</f>
        <v>Nguyễn Ngọc Châu Sang</v>
      </c>
      <c r="AK13" s="4" t="s">
        <v>135</v>
      </c>
      <c r="AL13" s="4" t="str">
        <f>INDEX(Employee!D:D,MATCH(AK13,Employee!B:B,0))</f>
        <v>Solutions Architect</v>
      </c>
      <c r="AM13" s="4" t="str">
        <f>INDEX(Employee!F:F,MATCH(AK13,Employee!B:B,0))</f>
        <v>Tech</v>
      </c>
      <c r="AN13" s="4" t="str">
        <f>INDEX(Employee!H:H,MATCH(AK13,Employee!B:B,0))</f>
        <v>Dương Huỳnh Nghĩa (nghiadh)</v>
      </c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 s="6"/>
    </row>
    <row r="14" spans="1:104" s="4" customFormat="1" hidden="1">
      <c r="A14" s="3">
        <f t="shared" si="0"/>
        <v>13</v>
      </c>
      <c r="B14" s="4" t="s">
        <v>14</v>
      </c>
      <c r="C14" s="4" t="s">
        <v>3</v>
      </c>
      <c r="D14" s="4">
        <f>INDEX(Employee!E:E,MATCH(AK14,Employee!B:B,0))</f>
        <v>0</v>
      </c>
      <c r="E14" s="4" t="str">
        <f>INDEX(Employee!F:F,MATCH(AK14,Employee!B:B,0))</f>
        <v>Tech</v>
      </c>
      <c r="F14" s="4">
        <f>INDEX(Employee!G:G,MATCH(AK14,Employee!B:B,0))</f>
        <v>0</v>
      </c>
      <c r="G14" s="4" t="s">
        <v>119</v>
      </c>
      <c r="I14" s="4" t="s">
        <v>140</v>
      </c>
      <c r="J14" s="4" t="s">
        <v>115</v>
      </c>
      <c r="K14" s="7" t="s">
        <v>141</v>
      </c>
      <c r="L14" s="7" t="s">
        <v>52</v>
      </c>
      <c r="M14" s="4" t="str">
        <f>RIGHT(K14,5)</f>
        <v>256GB</v>
      </c>
      <c r="N14" s="13" t="b">
        <v>0</v>
      </c>
      <c r="O14" s="13" t="b">
        <v>1</v>
      </c>
      <c r="P14" s="4" t="s">
        <v>142</v>
      </c>
      <c r="Q14" s="14">
        <v>45491</v>
      </c>
      <c r="R14" s="4" t="s">
        <v>102</v>
      </c>
      <c r="S14" s="10">
        <v>25408445</v>
      </c>
      <c r="AE14" s="21"/>
      <c r="AF14" s="4" t="str">
        <f>INDEX(Employee!C:C,MATCH(AG14,Employee!B:B,0))</f>
        <v>Nguyễn Viết Khải</v>
      </c>
      <c r="AG14" s="4" t="s">
        <v>103</v>
      </c>
      <c r="AH14" s="4" t="str">
        <f>INDEX(Employee!D:D,MATCH(AG14,Employee!B:B,0))</f>
        <v>Lead IT Support Engineer</v>
      </c>
      <c r="AI14" s="4" t="str">
        <f>INDEX(Employee!F:F,MATCH(AG14,Employee!B:B,0))</f>
        <v>Tech</v>
      </c>
      <c r="AJ14" s="4" t="str">
        <f>INDEX(Employee!C:C,MATCH(AK14,Employee!B:B,0))</f>
        <v>Nguyễn Thanh Lê</v>
      </c>
      <c r="AK14" s="4" t="s">
        <v>143</v>
      </c>
      <c r="AL14" s="4" t="str">
        <f>INDEX(Employee!D:D,MATCH(AK14,Employee!B:B,0))</f>
        <v>Senior GIS Specialist</v>
      </c>
      <c r="AM14" s="4" t="str">
        <f>INDEX(Employee!F:F,MATCH(AK14,Employee!B:B,0))</f>
        <v>Tech</v>
      </c>
      <c r="AN14" s="4" t="str">
        <f>INDEX(Employee!H:H,MATCH(AK14,Employee!B:B,0))</f>
        <v>Dương Huỳnh Nghĩa (nghiadh)</v>
      </c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 s="6"/>
    </row>
    <row r="15" spans="1:104" s="4" customFormat="1" hidden="1">
      <c r="A15" s="3">
        <f t="shared" si="0"/>
        <v>14</v>
      </c>
      <c r="B15" s="4" t="s">
        <v>18</v>
      </c>
      <c r="C15" s="4" t="s">
        <v>3</v>
      </c>
      <c r="D15" s="4" t="str">
        <f>INDEX(Employee!E:E,MATCH(AK15,Employee!B:B,0))</f>
        <v>Project</v>
      </c>
      <c r="E15" s="4" t="str">
        <f>INDEX(Employee!F:F,MATCH(AK15,Employee!B:B,0))</f>
        <v>Data</v>
      </c>
      <c r="F15" s="4" t="str">
        <f>INDEX(Employee!G:G,MATCH(AK15,Employee!B:B,0))</f>
        <v>Resource Pool</v>
      </c>
      <c r="G15" s="4" t="s">
        <v>15</v>
      </c>
      <c r="H15" s="4" t="s">
        <v>144</v>
      </c>
      <c r="I15" s="4" t="s">
        <v>145</v>
      </c>
      <c r="J15" s="4" t="s">
        <v>111</v>
      </c>
      <c r="K15" s="4" t="s">
        <v>112</v>
      </c>
      <c r="N15" s="13" t="b">
        <v>0</v>
      </c>
      <c r="O15" s="13" t="b">
        <v>0</v>
      </c>
      <c r="P15" s="4" t="s">
        <v>146</v>
      </c>
      <c r="Q15" s="14">
        <v>44621</v>
      </c>
      <c r="R15" s="4" t="s">
        <v>102</v>
      </c>
      <c r="S15" s="10">
        <v>21000</v>
      </c>
      <c r="AF15" s="4" t="str">
        <f>INDEX(Employee!C:C,MATCH(AG15,Employee!B:B,0))</f>
        <v>Nguyễn Viết Khải</v>
      </c>
      <c r="AG15" s="4" t="s">
        <v>103</v>
      </c>
      <c r="AH15" s="4" t="str">
        <f>INDEX(Employee!D:D,MATCH(AG15,Employee!B:B,0))</f>
        <v>Lead IT Support Engineer</v>
      </c>
      <c r="AI15" s="4" t="str">
        <f>INDEX(Employee!F:F,MATCH(AG15,Employee!B:B,0))</f>
        <v>Tech</v>
      </c>
      <c r="AJ15" s="4" t="str">
        <f>INDEX(Employee!C:C,MATCH(AK15,Employee!B:B,0))</f>
        <v>Phạm Bằng</v>
      </c>
      <c r="AK15" s="4" t="s">
        <v>147</v>
      </c>
      <c r="AL15" s="4" t="str">
        <f>INDEX(Employee!D:D,MATCH(AK15,Employee!B:B,0))</f>
        <v>Fresher Data Engineer</v>
      </c>
      <c r="AM15" s="4" t="str">
        <f>INDEX(Employee!F:F,MATCH(AK15,Employee!B:B,0))</f>
        <v>Data</v>
      </c>
      <c r="AN15" s="4" t="str">
        <f>INDEX(Employee!H:H,MATCH(AK15,Employee!B:B,0))</f>
        <v>Đoàn Hải Nam</v>
      </c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 s="6"/>
    </row>
    <row r="16" spans="1:104" s="4" customFormat="1" hidden="1">
      <c r="A16" s="3">
        <f t="shared" si="0"/>
        <v>15</v>
      </c>
      <c r="B16" s="4" t="s">
        <v>14</v>
      </c>
      <c r="C16" s="4" t="s">
        <v>4</v>
      </c>
      <c r="D16" s="4" t="e">
        <f>INDEX(Employee!E:E,MATCH(AK16,Employee!B:B,0))</f>
        <v>#N/A</v>
      </c>
      <c r="E16" s="4" t="e">
        <f>INDEX(Employee!F:F,MATCH(AK16,Employee!B:B,0))</f>
        <v>#N/A</v>
      </c>
      <c r="F16" s="4" t="e">
        <f>INDEX(Employee!G:G,MATCH(AK16,Employee!B:B,0))</f>
        <v>#N/A</v>
      </c>
      <c r="G16" s="4" t="s">
        <v>15</v>
      </c>
      <c r="I16" s="4" t="s">
        <v>148</v>
      </c>
      <c r="J16" s="4" t="s">
        <v>115</v>
      </c>
      <c r="K16" s="7" t="s">
        <v>137</v>
      </c>
      <c r="L16" s="7" t="s">
        <v>52</v>
      </c>
      <c r="M16" s="4" t="str">
        <f>RIGHT(K16,5)</f>
        <v>256GB</v>
      </c>
      <c r="N16" s="13" t="b">
        <v>1</v>
      </c>
      <c r="O16" s="13" t="b">
        <v>1</v>
      </c>
      <c r="P16" s="4" t="s">
        <v>149</v>
      </c>
      <c r="Q16" s="14">
        <v>44357</v>
      </c>
      <c r="R16" s="4" t="s">
        <v>102</v>
      </c>
      <c r="S16" s="10">
        <v>2597900</v>
      </c>
      <c r="AE16" s="21"/>
      <c r="AF16" s="4" t="str">
        <f>INDEX(Employee!C:C,MATCH(AG16,Employee!B:B,0))</f>
        <v>Nguyễn Viết Khải</v>
      </c>
      <c r="AG16" s="4" t="s">
        <v>103</v>
      </c>
      <c r="AH16" s="4" t="str">
        <f>INDEX(Employee!D:D,MATCH(AG16,Employee!B:B,0))</f>
        <v>Lead IT Support Engineer</v>
      </c>
      <c r="AI16" s="4" t="str">
        <f>INDEX(Employee!F:F,MATCH(AG16,Employee!B:B,0))</f>
        <v>Tech</v>
      </c>
      <c r="AJ16" s="4" t="e">
        <f>INDEX(Employee!C:C,MATCH(AK16,Employee!B:B,0))</f>
        <v>#N/A</v>
      </c>
      <c r="AL16" s="4" t="e">
        <f>INDEX(Employee!D:D,MATCH(AK16,Employee!B:B,0))</f>
        <v>#N/A</v>
      </c>
      <c r="AM16" s="4" t="e">
        <f>INDEX(Employee!F:F,MATCH(AK16,Employee!B:B,0))</f>
        <v>#N/A</v>
      </c>
      <c r="AN16" s="4" t="e">
        <f>INDEX(Employee!H:H,MATCH(AK16,Employee!B:B,0))</f>
        <v>#N/A</v>
      </c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 s="6"/>
    </row>
    <row r="17" spans="1:102" s="4" customFormat="1" hidden="1">
      <c r="A17" s="3">
        <f t="shared" si="0"/>
        <v>16</v>
      </c>
      <c r="B17" s="4" t="s">
        <v>18</v>
      </c>
      <c r="C17" s="4" t="s">
        <v>5</v>
      </c>
      <c r="D17" s="4">
        <f>INDEX(Employee!E:E,MATCH(AK17,Employee!B:B,0))</f>
        <v>0</v>
      </c>
      <c r="E17" s="4" t="str">
        <f>INDEX(Employee!F:F,MATCH(AK17,Employee!B:B,0))</f>
        <v>Tech</v>
      </c>
      <c r="F17" s="4">
        <f>INDEX(Employee!G:G,MATCH(AK17,Employee!B:B,0))</f>
        <v>0</v>
      </c>
      <c r="G17" s="4" t="s">
        <v>15</v>
      </c>
      <c r="H17" s="4" t="s">
        <v>150</v>
      </c>
      <c r="I17" s="4" t="s">
        <v>151</v>
      </c>
      <c r="J17" s="4" t="s">
        <v>111</v>
      </c>
      <c r="K17" s="4" t="s">
        <v>112</v>
      </c>
      <c r="N17" s="13" t="b">
        <v>0</v>
      </c>
      <c r="O17" s="13" t="b">
        <v>0</v>
      </c>
      <c r="Q17" s="14">
        <v>44621</v>
      </c>
      <c r="R17" s="4" t="s">
        <v>102</v>
      </c>
      <c r="S17" s="10">
        <v>21000</v>
      </c>
      <c r="AF17" s="4" t="str">
        <f>INDEX(Employee!C:C,MATCH(AG17,Employee!B:B,0))</f>
        <v>Nguyễn Viết Khải</v>
      </c>
      <c r="AG17" s="4" t="s">
        <v>103</v>
      </c>
      <c r="AH17" s="4" t="str">
        <f>INDEX(Employee!D:D,MATCH(AG17,Employee!B:B,0))</f>
        <v>Lead IT Support Engineer</v>
      </c>
      <c r="AI17" s="4" t="str">
        <f>INDEX(Employee!F:F,MATCH(AG17,Employee!B:B,0))</f>
        <v>Tech</v>
      </c>
      <c r="AJ17" s="4" t="str">
        <f>INDEX(Employee!C:C,MATCH(AK17,Employee!B:B,0))</f>
        <v>Nguyễn Thanh Lê</v>
      </c>
      <c r="AK17" s="4" t="s">
        <v>143</v>
      </c>
      <c r="AL17" s="4" t="str">
        <f>INDEX(Employee!D:D,MATCH(AK17,Employee!B:B,0))</f>
        <v>Senior GIS Specialist</v>
      </c>
      <c r="AM17" s="4" t="str">
        <f>INDEX(Employee!F:F,MATCH(AK17,Employee!B:B,0))</f>
        <v>Tech</v>
      </c>
      <c r="AN17" s="4" t="str">
        <f>INDEX(Employee!H:H,MATCH(AK17,Employee!B:B,0))</f>
        <v>Dương Huỳnh Nghĩa (nghiadh)</v>
      </c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 s="6"/>
    </row>
    <row r="18" spans="1:102" s="4" customFormat="1" hidden="1">
      <c r="A18" s="3">
        <f t="shared" si="0"/>
        <v>17</v>
      </c>
      <c r="B18" s="4" t="s">
        <v>14</v>
      </c>
      <c r="C18" s="4" t="s">
        <v>3</v>
      </c>
      <c r="D18" s="4">
        <f>INDEX(Employee!E:E,MATCH(AK18,Employee!B:B,0))</f>
        <v>0</v>
      </c>
      <c r="E18" s="4" t="str">
        <f>INDEX(Employee!F:F,MATCH(AK18,Employee!B:B,0))</f>
        <v>Tech</v>
      </c>
      <c r="F18" s="4">
        <f>INDEX(Employee!G:G,MATCH(AK18,Employee!B:B,0))</f>
        <v>0</v>
      </c>
      <c r="G18" s="4" t="s">
        <v>119</v>
      </c>
      <c r="I18" s="4" t="s">
        <v>152</v>
      </c>
      <c r="J18" s="4" t="s">
        <v>99</v>
      </c>
      <c r="K18" s="4" t="s">
        <v>153</v>
      </c>
      <c r="L18" s="4" t="s">
        <v>49</v>
      </c>
      <c r="M18" s="4" t="str">
        <f>RIGHT(K18,5)</f>
        <v>512GB</v>
      </c>
      <c r="N18" s="13" t="b">
        <v>0</v>
      </c>
      <c r="O18" s="13" t="b">
        <v>0</v>
      </c>
      <c r="P18" s="4" t="s">
        <v>154</v>
      </c>
      <c r="Q18" s="14">
        <v>45252</v>
      </c>
      <c r="R18" s="4" t="s">
        <v>102</v>
      </c>
      <c r="S18" s="10">
        <v>24710000</v>
      </c>
      <c r="AE18" s="21"/>
      <c r="AF18" s="4" t="str">
        <f>INDEX(Employee!C:C,MATCH(AG18,Employee!B:B,0))</f>
        <v>Nguyễn Viết Khải</v>
      </c>
      <c r="AG18" s="4" t="s">
        <v>103</v>
      </c>
      <c r="AH18" s="4" t="str">
        <f>INDEX(Employee!D:D,MATCH(AG18,Employee!B:B,0))</f>
        <v>Lead IT Support Engineer</v>
      </c>
      <c r="AI18" s="4" t="str">
        <f>INDEX(Employee!F:F,MATCH(AG18,Employee!B:B,0))</f>
        <v>Tech</v>
      </c>
      <c r="AJ18" s="4" t="str">
        <f>INDEX(Employee!C:C,MATCH(AK18,Employee!B:B,0))</f>
        <v>Đào Xuân Tùng</v>
      </c>
      <c r="AK18" s="4" t="s">
        <v>155</v>
      </c>
      <c r="AL18" s="4" t="str">
        <f>INDEX(Employee!D:D,MATCH(AK18,Employee!B:B,0))</f>
        <v>Software Engineer</v>
      </c>
      <c r="AM18" s="4" t="str">
        <f>INDEX(Employee!F:F,MATCH(AK18,Employee!B:B,0))</f>
        <v>Tech</v>
      </c>
      <c r="AN18" s="4" t="str">
        <f>INDEX(Employee!H:H,MATCH(AK18,Employee!B:B,0))</f>
        <v>Trần Triệu Dương (duongtt5)</v>
      </c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 s="6"/>
    </row>
    <row r="19" spans="1:102" s="4" customFormat="1" hidden="1">
      <c r="A19" s="3">
        <f t="shared" si="0"/>
        <v>18</v>
      </c>
      <c r="B19" s="4" t="s">
        <v>18</v>
      </c>
      <c r="C19" s="4" t="s">
        <v>5</v>
      </c>
      <c r="D19" s="4">
        <f>INDEX(Employee!E:E,MATCH(AK19,Employee!B:B,0))</f>
        <v>0</v>
      </c>
      <c r="E19" s="4" t="str">
        <f>INDEX(Employee!F:F,MATCH(AK19,Employee!B:B,0))</f>
        <v>OP</v>
      </c>
      <c r="F19" s="4">
        <f>INDEX(Employee!G:G,MATCH(AK19,Employee!B:B,0))</f>
        <v>0</v>
      </c>
      <c r="G19" s="4" t="s">
        <v>15</v>
      </c>
      <c r="I19" s="4" t="s">
        <v>156</v>
      </c>
      <c r="J19" s="4" t="s">
        <v>111</v>
      </c>
      <c r="K19" s="4" t="s">
        <v>112</v>
      </c>
      <c r="N19" s="13" t="b">
        <v>0</v>
      </c>
      <c r="O19" s="13" t="b">
        <v>0</v>
      </c>
      <c r="P19" s="4" t="s">
        <v>157</v>
      </c>
      <c r="Q19" s="14">
        <v>44621</v>
      </c>
      <c r="R19" s="4" t="s">
        <v>102</v>
      </c>
      <c r="S19" s="10">
        <v>21000</v>
      </c>
      <c r="AF19" s="4" t="str">
        <f>INDEX(Employee!C:C,MATCH(AG19,Employee!B:B,0))</f>
        <v>Nguyễn Viết Khải</v>
      </c>
      <c r="AG19" s="4" t="s">
        <v>103</v>
      </c>
      <c r="AH19" s="4" t="str">
        <f>INDEX(Employee!D:D,MATCH(AG19,Employee!B:B,0))</f>
        <v>Lead IT Support Engineer</v>
      </c>
      <c r="AI19" s="4" t="str">
        <f>INDEX(Employee!F:F,MATCH(AG19,Employee!B:B,0))</f>
        <v>Tech</v>
      </c>
      <c r="AJ19" s="4" t="str">
        <f>INDEX(Employee!C:C,MATCH(AK19,Employee!B:B,0))</f>
        <v>Hà Quốc Nguyên</v>
      </c>
      <c r="AK19" s="4" t="s">
        <v>158</v>
      </c>
      <c r="AL19" s="4" t="str">
        <f>INDEX(Employee!D:D,MATCH(AK19,Employee!B:B,0))</f>
        <v>Technical Support Engineer</v>
      </c>
      <c r="AM19" s="4" t="str">
        <f>INDEX(Employee!F:F,MATCH(AK19,Employee!B:B,0))</f>
        <v>OP</v>
      </c>
      <c r="AN19" s="4" t="str">
        <f>INDEX(Employee!H:H,MATCH(AK19,Employee!B:B,0))</f>
        <v>Chu Văn Toàn (ToanCV)</v>
      </c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 s="6"/>
    </row>
    <row r="20" spans="1:102" s="4" customFormat="1" hidden="1">
      <c r="A20" s="3">
        <f t="shared" si="0"/>
        <v>19</v>
      </c>
      <c r="B20" s="4" t="s">
        <v>14</v>
      </c>
      <c r="C20" s="4" t="s">
        <v>3</v>
      </c>
      <c r="D20" s="4" t="str">
        <f>INDEX(Employee!E:E,MATCH(AK20,Employee!B:B,0))</f>
        <v>Project</v>
      </c>
      <c r="E20" s="4" t="str">
        <f>INDEX(Employee!F:F,MATCH(AK20,Employee!B:B,0))</f>
        <v>Tech</v>
      </c>
      <c r="F20" s="4" t="str">
        <f>INDEX(Employee!G:G,MATCH(AK20,Employee!B:B,0))</f>
        <v>Resource Pool</v>
      </c>
      <c r="G20" s="4" t="s">
        <v>15</v>
      </c>
      <c r="I20" s="4" t="s">
        <v>159</v>
      </c>
      <c r="J20" s="4" t="s">
        <v>115</v>
      </c>
      <c r="K20" s="7" t="s">
        <v>160</v>
      </c>
      <c r="L20" s="7" t="s">
        <v>52</v>
      </c>
      <c r="M20" s="4" t="str">
        <f>RIGHT(K20,5)</f>
        <v>256GB</v>
      </c>
      <c r="N20" s="13" t="b">
        <v>1</v>
      </c>
      <c r="O20" s="13" t="b">
        <v>0</v>
      </c>
      <c r="P20" s="4" t="s">
        <v>161</v>
      </c>
      <c r="Q20" s="14">
        <v>44043</v>
      </c>
      <c r="R20" s="4" t="s">
        <v>102</v>
      </c>
      <c r="S20" s="10">
        <v>2565000</v>
      </c>
      <c r="AE20" s="21"/>
      <c r="AF20" s="4" t="str">
        <f>INDEX(Employee!C:C,MATCH(AG20,Employee!B:B,0))</f>
        <v>Nguyễn Viết Khải</v>
      </c>
      <c r="AG20" s="4" t="s">
        <v>103</v>
      </c>
      <c r="AH20" s="4" t="str">
        <f>INDEX(Employee!D:D,MATCH(AG20,Employee!B:B,0))</f>
        <v>Lead IT Support Engineer</v>
      </c>
      <c r="AI20" s="4" t="str">
        <f>INDEX(Employee!F:F,MATCH(AG20,Employee!B:B,0))</f>
        <v>Tech</v>
      </c>
      <c r="AJ20" s="4" t="str">
        <f>INDEX(Employee!C:C,MATCH(AK20,Employee!B:B,0))</f>
        <v>Huỳnh Nguyên Phương</v>
      </c>
      <c r="AK20" s="4" t="s">
        <v>162</v>
      </c>
      <c r="AL20" s="4" t="str">
        <f>INDEX(Employee!D:D,MATCH(AK20,Employee!B:B,0))</f>
        <v>Hardware Designer</v>
      </c>
      <c r="AM20" s="4" t="str">
        <f>INDEX(Employee!F:F,MATCH(AK20,Employee!B:B,0))</f>
        <v>Tech</v>
      </c>
      <c r="AN20" s="4" t="str">
        <f>INDEX(Employee!H:H,MATCH(AK20,Employee!B:B,0))</f>
        <v>Đoàn Hải Nam</v>
      </c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 s="6"/>
    </row>
    <row r="21" spans="1:102" s="4" customFormat="1" hidden="1">
      <c r="A21" s="3">
        <f t="shared" si="0"/>
        <v>20</v>
      </c>
      <c r="B21" s="4" t="s">
        <v>14</v>
      </c>
      <c r="C21" s="4" t="s">
        <v>5</v>
      </c>
      <c r="D21" s="4" t="e">
        <f>INDEX(Employee!E:E,MATCH(AK21,Employee!B:B,0))</f>
        <v>#N/A</v>
      </c>
      <c r="E21" s="4" t="e">
        <f>INDEX(Employee!F:F,MATCH(AK21,Employee!B:B,0))</f>
        <v>#N/A</v>
      </c>
      <c r="F21" s="4" t="e">
        <f>INDEX(Employee!G:G,MATCH(AK21,Employee!B:B,0))</f>
        <v>#N/A</v>
      </c>
      <c r="G21" s="4" t="s">
        <v>15</v>
      </c>
      <c r="I21" s="4" t="s">
        <v>163</v>
      </c>
      <c r="J21" s="4" t="s">
        <v>115</v>
      </c>
      <c r="K21" s="7" t="s">
        <v>164</v>
      </c>
      <c r="L21" s="7" t="s">
        <v>52</v>
      </c>
      <c r="M21" s="4" t="str">
        <f>RIGHT(K21,5)</f>
        <v>256GB</v>
      </c>
      <c r="N21" s="13" t="b">
        <v>1</v>
      </c>
      <c r="O21" s="13" t="b">
        <v>0</v>
      </c>
      <c r="P21" s="4" t="s">
        <v>165</v>
      </c>
      <c r="Q21" s="14">
        <v>44204</v>
      </c>
      <c r="R21" s="4" t="s">
        <v>102</v>
      </c>
      <c r="S21" s="10">
        <v>2534220</v>
      </c>
      <c r="AE21" s="21"/>
      <c r="AF21" s="4" t="str">
        <f>INDEX(Employee!C:C,MATCH(AG21,Employee!B:B,0))</f>
        <v>Nguyễn Viết Khải</v>
      </c>
      <c r="AG21" s="4" t="s">
        <v>103</v>
      </c>
      <c r="AH21" s="4" t="str">
        <f>INDEX(Employee!D:D,MATCH(AG21,Employee!B:B,0))</f>
        <v>Lead IT Support Engineer</v>
      </c>
      <c r="AI21" s="4" t="str">
        <f>INDEX(Employee!F:F,MATCH(AG21,Employee!B:B,0))</f>
        <v>Tech</v>
      </c>
      <c r="AJ21" s="4" t="e">
        <f>INDEX(Employee!C:C,MATCH(AK21,Employee!B:B,0))</f>
        <v>#N/A</v>
      </c>
      <c r="AL21" s="4" t="e">
        <f>INDEX(Employee!D:D,MATCH(AK21,Employee!B:B,0))</f>
        <v>#N/A</v>
      </c>
      <c r="AM21" s="4" t="e">
        <f>INDEX(Employee!F:F,MATCH(AK21,Employee!B:B,0))</f>
        <v>#N/A</v>
      </c>
      <c r="AN21" s="4" t="e">
        <f>INDEX(Employee!H:H,MATCH(AK21,Employee!B:B,0))</f>
        <v>#N/A</v>
      </c>
      <c r="AQ21" s="4" t="s">
        <v>166</v>
      </c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 s="6"/>
    </row>
    <row r="22" spans="1:102" s="4" customFormat="1" hidden="1">
      <c r="A22" s="3">
        <f t="shared" si="0"/>
        <v>21</v>
      </c>
      <c r="B22" s="4" t="s">
        <v>18</v>
      </c>
      <c r="C22" s="4" t="s">
        <v>3</v>
      </c>
      <c r="D22" s="4">
        <f>INDEX(Employee!E:E,MATCH(AK22,Employee!B:B,0))</f>
        <v>0</v>
      </c>
      <c r="E22" s="4" t="str">
        <f>INDEX(Employee!F:F,MATCH(AK22,Employee!B:B,0))</f>
        <v>Tech</v>
      </c>
      <c r="F22" s="4">
        <f>INDEX(Employee!G:G,MATCH(AK22,Employee!B:B,0))</f>
        <v>0</v>
      </c>
      <c r="G22" s="4" t="s">
        <v>119</v>
      </c>
      <c r="I22" s="4" t="s">
        <v>167</v>
      </c>
      <c r="J22" s="4" t="s">
        <v>111</v>
      </c>
      <c r="K22" s="4" t="s">
        <v>112</v>
      </c>
      <c r="N22" s="13" t="b">
        <v>0</v>
      </c>
      <c r="O22" s="13" t="b">
        <v>0</v>
      </c>
      <c r="Q22" s="14">
        <v>44699</v>
      </c>
      <c r="R22" s="4" t="s">
        <v>102</v>
      </c>
      <c r="S22" s="10">
        <v>20900</v>
      </c>
      <c r="AF22" s="4" t="str">
        <f>INDEX(Employee!C:C,MATCH(AG22,Employee!B:B,0))</f>
        <v>Nguyễn Viết Khải</v>
      </c>
      <c r="AG22" s="4" t="s">
        <v>103</v>
      </c>
      <c r="AH22" s="4" t="str">
        <f>INDEX(Employee!D:D,MATCH(AG22,Employee!B:B,0))</f>
        <v>Lead IT Support Engineer</v>
      </c>
      <c r="AI22" s="4" t="str">
        <f>INDEX(Employee!F:F,MATCH(AG22,Employee!B:B,0))</f>
        <v>Tech</v>
      </c>
      <c r="AJ22" s="4" t="str">
        <f>INDEX(Employee!C:C,MATCH(AK22,Employee!B:B,0))</f>
        <v>Đào Xuân Tùng</v>
      </c>
      <c r="AK22" s="4" t="s">
        <v>155</v>
      </c>
      <c r="AL22" s="4" t="str">
        <f>INDEX(Employee!D:D,MATCH(AK22,Employee!B:B,0))</f>
        <v>Software Engineer</v>
      </c>
      <c r="AM22" s="4" t="str">
        <f>INDEX(Employee!F:F,MATCH(AK22,Employee!B:B,0))</f>
        <v>Tech</v>
      </c>
      <c r="AN22" s="4" t="str">
        <f>INDEX(Employee!H:H,MATCH(AK22,Employee!B:B,0))</f>
        <v>Trần Triệu Dương (duongtt5)</v>
      </c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 s="6"/>
    </row>
    <row r="23" spans="1:102" s="4" customFormat="1" hidden="1">
      <c r="A23" s="3">
        <f t="shared" si="0"/>
        <v>22</v>
      </c>
      <c r="B23" s="4" t="s">
        <v>14</v>
      </c>
      <c r="C23" s="4" t="s">
        <v>4</v>
      </c>
      <c r="D23" s="4" t="e">
        <f>INDEX(Employee!E:E,MATCH(AK23,Employee!B:B,0))</f>
        <v>#N/A</v>
      </c>
      <c r="E23" s="4" t="e">
        <f>INDEX(Employee!F:F,MATCH(AK23,Employee!B:B,0))</f>
        <v>#N/A</v>
      </c>
      <c r="F23" s="4" t="e">
        <f>INDEX(Employee!G:G,MATCH(AK23,Employee!B:B,0))</f>
        <v>#N/A</v>
      </c>
      <c r="G23" s="4" t="s">
        <v>15</v>
      </c>
      <c r="I23" s="4" t="s">
        <v>168</v>
      </c>
      <c r="J23" s="4" t="s">
        <v>99</v>
      </c>
      <c r="K23" s="7" t="s">
        <v>121</v>
      </c>
      <c r="L23" s="7" t="s">
        <v>48</v>
      </c>
      <c r="M23" s="4" t="str">
        <f>RIGHT(K23,5)</f>
        <v>256GB</v>
      </c>
      <c r="N23" s="13" t="b">
        <v>1</v>
      </c>
      <c r="O23" s="13" t="b">
        <v>0</v>
      </c>
      <c r="P23" s="4" t="s">
        <v>169</v>
      </c>
      <c r="Q23" s="14">
        <v>44743</v>
      </c>
      <c r="R23" s="4" t="s">
        <v>102</v>
      </c>
      <c r="S23" s="10">
        <v>5512828</v>
      </c>
      <c r="AE23" s="21"/>
      <c r="AF23" s="4" t="str">
        <f>INDEX(Employee!C:C,MATCH(AG23,Employee!B:B,0))</f>
        <v>Nguyễn Viết Khải</v>
      </c>
      <c r="AG23" s="4" t="s">
        <v>103</v>
      </c>
      <c r="AH23" s="4" t="str">
        <f>INDEX(Employee!D:D,MATCH(AG23,Employee!B:B,0))</f>
        <v>Lead IT Support Engineer</v>
      </c>
      <c r="AI23" s="4" t="str">
        <f>INDEX(Employee!F:F,MATCH(AG23,Employee!B:B,0))</f>
        <v>Tech</v>
      </c>
      <c r="AJ23" s="4" t="e">
        <f>INDEX(Employee!C:C,MATCH(AK23,Employee!B:B,0))</f>
        <v>#N/A</v>
      </c>
      <c r="AL23" s="4" t="e">
        <f>INDEX(Employee!D:D,MATCH(AK23,Employee!B:B,0))</f>
        <v>#N/A</v>
      </c>
      <c r="AM23" s="4" t="e">
        <f>INDEX(Employee!F:F,MATCH(AK23,Employee!B:B,0))</f>
        <v>#N/A</v>
      </c>
      <c r="AN23" s="4" t="e">
        <f>INDEX(Employee!H:H,MATCH(AK23,Employee!B:B,0))</f>
        <v>#N/A</v>
      </c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 s="6"/>
    </row>
    <row r="24" spans="1:102" s="4" customFormat="1" hidden="1">
      <c r="A24" s="3">
        <f t="shared" si="0"/>
        <v>23</v>
      </c>
      <c r="B24" s="4" t="s">
        <v>18</v>
      </c>
      <c r="C24" s="4" t="s">
        <v>5</v>
      </c>
      <c r="D24" s="4" t="str">
        <f>INDEX(Employee!E:E,MATCH(AK24,Employee!B:B,0))</f>
        <v>Undirect IT Staff</v>
      </c>
      <c r="E24" s="4" t="str">
        <f>INDEX(Employee!F:F,MATCH(AK24,Employee!B:B,0))</f>
        <v>Tech</v>
      </c>
      <c r="F24" s="4" t="str">
        <f>INDEX(Employee!G:G,MATCH(AK24,Employee!B:B,0))</f>
        <v>Odoo</v>
      </c>
      <c r="G24" s="4" t="s">
        <v>15</v>
      </c>
      <c r="H24" s="4" t="s">
        <v>170</v>
      </c>
      <c r="I24" s="4" t="s">
        <v>171</v>
      </c>
      <c r="J24" s="4" t="s">
        <v>111</v>
      </c>
      <c r="K24" s="4" t="s">
        <v>112</v>
      </c>
      <c r="N24" s="13" t="b">
        <v>0</v>
      </c>
      <c r="O24" s="13" t="b">
        <v>0</v>
      </c>
      <c r="P24" s="4" t="s">
        <v>172</v>
      </c>
      <c r="Q24" s="14">
        <v>44727</v>
      </c>
      <c r="R24" s="4" t="s">
        <v>102</v>
      </c>
      <c r="S24" s="10">
        <v>20900</v>
      </c>
      <c r="AF24" s="4" t="str">
        <f>INDEX(Employee!C:C,MATCH(AG24,Employee!B:B,0))</f>
        <v>Nguyễn Viết Khải</v>
      </c>
      <c r="AG24" s="4" t="s">
        <v>103</v>
      </c>
      <c r="AH24" s="4" t="str">
        <f>INDEX(Employee!D:D,MATCH(AG24,Employee!B:B,0))</f>
        <v>Lead IT Support Engineer</v>
      </c>
      <c r="AI24" s="4" t="str">
        <f>INDEX(Employee!F:F,MATCH(AG24,Employee!B:B,0))</f>
        <v>Tech</v>
      </c>
      <c r="AJ24" s="4" t="str">
        <f>INDEX(Employee!C:C,MATCH(AK24,Employee!B:B,0))</f>
        <v>Nguyễn Lâm Khánh Quỳnh</v>
      </c>
      <c r="AK24" s="4" t="s">
        <v>173</v>
      </c>
      <c r="AL24" s="4" t="str">
        <f>INDEX(Employee!D:D,MATCH(AK24,Employee!B:B,0))</f>
        <v>Business Analyst</v>
      </c>
      <c r="AM24" s="4" t="str">
        <f>INDEX(Employee!F:F,MATCH(AK24,Employee!B:B,0))</f>
        <v>Tech</v>
      </c>
      <c r="AN24" s="4" t="str">
        <f>INDEX(Employee!H:H,MATCH(AK24,Employee!B:B,0))</f>
        <v>Dương Phạm Thành Công (congdpt)</v>
      </c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 s="6"/>
    </row>
    <row r="25" spans="1:102" s="4" customFormat="1" hidden="1">
      <c r="A25" s="3">
        <f t="shared" si="0"/>
        <v>24</v>
      </c>
      <c r="B25" s="4" t="s">
        <v>14</v>
      </c>
      <c r="C25" s="4" t="s">
        <v>4</v>
      </c>
      <c r="D25" s="4" t="e">
        <f>INDEX(Employee!E:E,MATCH(AK25,Employee!B:B,0))</f>
        <v>#N/A</v>
      </c>
      <c r="E25" s="4" t="e">
        <f>INDEX(Employee!F:F,MATCH(AK25,Employee!B:B,0))</f>
        <v>#N/A</v>
      </c>
      <c r="F25" s="4" t="e">
        <f>INDEX(Employee!G:G,MATCH(AK25,Employee!B:B,0))</f>
        <v>#N/A</v>
      </c>
      <c r="G25" s="4" t="s">
        <v>15</v>
      </c>
      <c r="I25" s="4" t="s">
        <v>174</v>
      </c>
      <c r="J25" s="4" t="s">
        <v>99</v>
      </c>
      <c r="K25" s="7" t="s">
        <v>121</v>
      </c>
      <c r="L25" s="7" t="s">
        <v>48</v>
      </c>
      <c r="M25" s="4" t="str">
        <f t="shared" ref="M25:M34" si="1">RIGHT(K25,5)</f>
        <v>256GB</v>
      </c>
      <c r="N25" s="13" t="b">
        <v>1</v>
      </c>
      <c r="O25" s="13" t="b">
        <v>0</v>
      </c>
      <c r="P25" s="4" t="s">
        <v>175</v>
      </c>
      <c r="Q25" s="14">
        <v>44743</v>
      </c>
      <c r="R25" s="4" t="s">
        <v>102</v>
      </c>
      <c r="S25" s="10">
        <v>5512828</v>
      </c>
      <c r="AE25" s="21"/>
      <c r="AF25" s="4" t="str">
        <f>INDEX(Employee!C:C,MATCH(AG25,Employee!B:B,0))</f>
        <v>Nguyễn Viết Khải</v>
      </c>
      <c r="AG25" s="4" t="s">
        <v>103</v>
      </c>
      <c r="AH25" s="4" t="str">
        <f>INDEX(Employee!D:D,MATCH(AG25,Employee!B:B,0))</f>
        <v>Lead IT Support Engineer</v>
      </c>
      <c r="AI25" s="4" t="str">
        <f>INDEX(Employee!F:F,MATCH(AG25,Employee!B:B,0))</f>
        <v>Tech</v>
      </c>
      <c r="AJ25" s="4" t="e">
        <f>INDEX(Employee!C:C,MATCH(AK25,Employee!B:B,0))</f>
        <v>#N/A</v>
      </c>
      <c r="AL25" s="4" t="e">
        <f>INDEX(Employee!D:D,MATCH(AK25,Employee!B:B,0))</f>
        <v>#N/A</v>
      </c>
      <c r="AM25" s="4" t="e">
        <f>INDEX(Employee!F:F,MATCH(AK25,Employee!B:B,0))</f>
        <v>#N/A</v>
      </c>
      <c r="AN25" s="4" t="e">
        <f>INDEX(Employee!H:H,MATCH(AK25,Employee!B:B,0))</f>
        <v>#N/A</v>
      </c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 s="6"/>
    </row>
    <row r="26" spans="1:102" s="4" customFormat="1" hidden="1">
      <c r="A26" s="3">
        <f t="shared" si="0"/>
        <v>25</v>
      </c>
      <c r="B26" s="4" t="s">
        <v>14</v>
      </c>
      <c r="C26" s="4" t="s">
        <v>4</v>
      </c>
      <c r="D26" s="4" t="e">
        <f>INDEX(Employee!E:E,MATCH(AK26,Employee!B:B,0))</f>
        <v>#N/A</v>
      </c>
      <c r="E26" s="4" t="e">
        <f>INDEX(Employee!F:F,MATCH(AK26,Employee!B:B,0))</f>
        <v>#N/A</v>
      </c>
      <c r="F26" s="4" t="e">
        <f>INDEX(Employee!G:G,MATCH(AK26,Employee!B:B,0))</f>
        <v>#N/A</v>
      </c>
      <c r="G26" s="4" t="s">
        <v>15</v>
      </c>
      <c r="H26" s="4" t="s">
        <v>176</v>
      </c>
      <c r="I26" s="4" t="s">
        <v>177</v>
      </c>
      <c r="J26" s="4" t="s">
        <v>115</v>
      </c>
      <c r="K26" s="7" t="s">
        <v>164</v>
      </c>
      <c r="L26" s="7" t="s">
        <v>52</v>
      </c>
      <c r="M26" s="4" t="str">
        <f t="shared" si="1"/>
        <v>256GB</v>
      </c>
      <c r="N26" s="13" t="b">
        <v>1</v>
      </c>
      <c r="O26" s="13" t="b">
        <v>1</v>
      </c>
      <c r="P26" s="4" t="s">
        <v>178</v>
      </c>
      <c r="Q26" s="14">
        <v>44272</v>
      </c>
      <c r="R26" s="4" t="s">
        <v>102</v>
      </c>
      <c r="S26" s="10">
        <v>2545300</v>
      </c>
      <c r="AE26" s="21"/>
      <c r="AF26" s="4" t="str">
        <f>INDEX(Employee!C:C,MATCH(AG26,Employee!B:B,0))</f>
        <v>Nguyễn Viết Khải</v>
      </c>
      <c r="AG26" s="4" t="s">
        <v>103</v>
      </c>
      <c r="AH26" s="4" t="str">
        <f>INDEX(Employee!D:D,MATCH(AG26,Employee!B:B,0))</f>
        <v>Lead IT Support Engineer</v>
      </c>
      <c r="AI26" s="4" t="str">
        <f>INDEX(Employee!F:F,MATCH(AG26,Employee!B:B,0))</f>
        <v>Tech</v>
      </c>
      <c r="AJ26" s="4" t="e">
        <f>INDEX(Employee!C:C,MATCH(AK26,Employee!B:B,0))</f>
        <v>#N/A</v>
      </c>
      <c r="AL26" s="4" t="e">
        <f>INDEX(Employee!D:D,MATCH(AK26,Employee!B:B,0))</f>
        <v>#N/A</v>
      </c>
      <c r="AM26" s="4" t="e">
        <f>INDEX(Employee!F:F,MATCH(AK26,Employee!B:B,0))</f>
        <v>#N/A</v>
      </c>
      <c r="AN26" s="4" t="e">
        <f>INDEX(Employee!H:H,MATCH(AK26,Employee!B:B,0))</f>
        <v>#N/A</v>
      </c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 s="6"/>
    </row>
    <row r="27" spans="1:102" s="4" customFormat="1" hidden="1">
      <c r="A27" s="3">
        <f t="shared" si="0"/>
        <v>26</v>
      </c>
      <c r="B27" s="4" t="s">
        <v>14</v>
      </c>
      <c r="C27" s="4" t="s">
        <v>3</v>
      </c>
      <c r="D27" s="4" t="str">
        <f>INDEX(Employee!E:E,MATCH(AK27,Employee!B:B,0))</f>
        <v>Project</v>
      </c>
      <c r="E27" s="4" t="str">
        <f>INDEX(Employee!F:F,MATCH(AK27,Employee!B:B,0))</f>
        <v>Tech</v>
      </c>
      <c r="F27" s="4" t="str">
        <f>INDEX(Employee!G:G,MATCH(AK27,Employee!B:B,0))</f>
        <v>Venture</v>
      </c>
      <c r="G27" s="4" t="s">
        <v>15</v>
      </c>
      <c r="I27" s="4" t="s">
        <v>179</v>
      </c>
      <c r="J27" s="4" t="s">
        <v>115</v>
      </c>
      <c r="K27" s="7" t="s">
        <v>137</v>
      </c>
      <c r="L27" s="7" t="s">
        <v>52</v>
      </c>
      <c r="M27" s="4" t="str">
        <f t="shared" si="1"/>
        <v>256GB</v>
      </c>
      <c r="N27" s="13" t="b">
        <v>1</v>
      </c>
      <c r="O27" s="13" t="b">
        <v>0</v>
      </c>
      <c r="P27" s="4" t="s">
        <v>180</v>
      </c>
      <c r="Q27" s="14">
        <v>44680</v>
      </c>
      <c r="R27" s="4" t="s">
        <v>102</v>
      </c>
      <c r="S27" s="10">
        <v>2916891</v>
      </c>
      <c r="AE27" s="21"/>
      <c r="AF27" s="4" t="str">
        <f>INDEX(Employee!C:C,MATCH(AG27,Employee!B:B,0))</f>
        <v>Nguyễn Viết Khải</v>
      </c>
      <c r="AG27" s="4" t="s">
        <v>103</v>
      </c>
      <c r="AH27" s="4" t="str">
        <f>INDEX(Employee!D:D,MATCH(AG27,Employee!B:B,0))</f>
        <v>Lead IT Support Engineer</v>
      </c>
      <c r="AI27" s="4" t="str">
        <f>INDEX(Employee!F:F,MATCH(AG27,Employee!B:B,0))</f>
        <v>Tech</v>
      </c>
      <c r="AJ27" s="4" t="str">
        <f>INDEX(Employee!C:C,MATCH(AK27,Employee!B:B,0))</f>
        <v>Nguyễn Quý</v>
      </c>
      <c r="AK27" s="4" t="s">
        <v>181</v>
      </c>
      <c r="AL27" s="4" t="str">
        <f>INDEX(Employee!D:D,MATCH(AK27,Employee!B:B,0))</f>
        <v>Senior Software Engineer</v>
      </c>
      <c r="AM27" s="4" t="str">
        <f>INDEX(Employee!F:F,MATCH(AK27,Employee!B:B,0))</f>
        <v>Tech</v>
      </c>
      <c r="AN27" s="4" t="str">
        <f>INDEX(Employee!H:H,MATCH(AK27,Employee!B:B,0))</f>
        <v>Đoàn Nhật Duẩn (duandn)</v>
      </c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 s="6"/>
    </row>
    <row r="28" spans="1:102" s="4" customFormat="1" hidden="1">
      <c r="A28" s="3">
        <f t="shared" si="0"/>
        <v>27</v>
      </c>
      <c r="B28" s="4" t="s">
        <v>14</v>
      </c>
      <c r="C28" s="4" t="s">
        <v>4</v>
      </c>
      <c r="D28" s="4" t="e">
        <f>INDEX(Employee!E:E,MATCH(AK28,Employee!B:B,0))</f>
        <v>#N/A</v>
      </c>
      <c r="E28" s="4" t="e">
        <f>INDEX(Employee!F:F,MATCH(AK28,Employee!B:B,0))</f>
        <v>#N/A</v>
      </c>
      <c r="F28" s="4" t="e">
        <f>INDEX(Employee!G:G,MATCH(AK28,Employee!B:B,0))</f>
        <v>#N/A</v>
      </c>
      <c r="G28" s="4" t="s">
        <v>15</v>
      </c>
      <c r="H28" s="4" t="s">
        <v>182</v>
      </c>
      <c r="I28" s="4" t="s">
        <v>183</v>
      </c>
      <c r="J28" s="4" t="s">
        <v>115</v>
      </c>
      <c r="K28" s="7" t="s">
        <v>184</v>
      </c>
      <c r="L28" s="7" t="s">
        <v>52</v>
      </c>
      <c r="M28" s="4" t="str">
        <f t="shared" si="1"/>
        <v>256GB</v>
      </c>
      <c r="N28" s="13" t="b">
        <v>1</v>
      </c>
      <c r="O28" s="13" t="b">
        <v>0</v>
      </c>
      <c r="P28" s="4" t="s">
        <v>185</v>
      </c>
      <c r="Q28" s="14">
        <v>43448</v>
      </c>
      <c r="R28" s="4" t="s">
        <v>102</v>
      </c>
      <c r="S28" s="10">
        <v>2590300</v>
      </c>
      <c r="AE28" s="21"/>
      <c r="AF28" s="4" t="str">
        <f>INDEX(Employee!C:C,MATCH(AG28,Employee!B:B,0))</f>
        <v>Nguyễn Viết Khải</v>
      </c>
      <c r="AG28" s="4" t="s">
        <v>103</v>
      </c>
      <c r="AH28" s="4" t="str">
        <f>INDEX(Employee!D:D,MATCH(AG28,Employee!B:B,0))</f>
        <v>Lead IT Support Engineer</v>
      </c>
      <c r="AI28" s="4" t="str">
        <f>INDEX(Employee!F:F,MATCH(AG28,Employee!B:B,0))</f>
        <v>Tech</v>
      </c>
      <c r="AJ28" s="4" t="e">
        <f>INDEX(Employee!C:C,MATCH(AK28,Employee!B:B,0))</f>
        <v>#N/A</v>
      </c>
      <c r="AL28" s="4" t="e">
        <f>INDEX(Employee!D:D,MATCH(AK28,Employee!B:B,0))</f>
        <v>#N/A</v>
      </c>
      <c r="AM28" s="4" t="e">
        <f>INDEX(Employee!F:F,MATCH(AK28,Employee!B:B,0))</f>
        <v>#N/A</v>
      </c>
      <c r="AN28" s="4" t="e">
        <f>INDEX(Employee!H:H,MATCH(AK28,Employee!B:B,0))</f>
        <v>#N/A</v>
      </c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 s="6"/>
    </row>
    <row r="29" spans="1:102" s="4" customFormat="1" hidden="1">
      <c r="A29" s="3">
        <f t="shared" si="0"/>
        <v>28</v>
      </c>
      <c r="B29" s="4" t="s">
        <v>14</v>
      </c>
      <c r="C29" s="4" t="s">
        <v>3</v>
      </c>
      <c r="D29" s="4" t="str">
        <f>INDEX(Employee!E:E,MATCH(AK29,Employee!B:B,0))</f>
        <v>Project</v>
      </c>
      <c r="E29" s="4" t="str">
        <f>INDEX(Employee!F:F,MATCH(AK29,Employee!B:B,0))</f>
        <v>Tech</v>
      </c>
      <c r="F29" s="4" t="str">
        <f>INDEX(Employee!G:G,MATCH(AK29,Employee!B:B,0))</f>
        <v>Resource Pool</v>
      </c>
      <c r="G29" s="4" t="s">
        <v>15</v>
      </c>
      <c r="I29" s="4" t="s">
        <v>186</v>
      </c>
      <c r="J29" s="4" t="s">
        <v>115</v>
      </c>
      <c r="K29" s="7" t="s">
        <v>164</v>
      </c>
      <c r="L29" s="7" t="s">
        <v>52</v>
      </c>
      <c r="M29" s="4" t="str">
        <f t="shared" si="1"/>
        <v>256GB</v>
      </c>
      <c r="N29" s="13" t="b">
        <v>1</v>
      </c>
      <c r="O29" s="13" t="b">
        <v>0</v>
      </c>
      <c r="P29" s="4" t="s">
        <v>187</v>
      </c>
      <c r="Q29" s="14">
        <v>44347</v>
      </c>
      <c r="R29" s="4" t="s">
        <v>102</v>
      </c>
      <c r="S29" s="10">
        <v>2538700</v>
      </c>
      <c r="AE29" s="21"/>
      <c r="AF29" s="4" t="str">
        <f>INDEX(Employee!C:C,MATCH(AG29,Employee!B:B,0))</f>
        <v>Nguyễn Viết Khải</v>
      </c>
      <c r="AG29" s="4" t="s">
        <v>103</v>
      </c>
      <c r="AH29" s="4" t="str">
        <f>INDEX(Employee!D:D,MATCH(AG29,Employee!B:B,0))</f>
        <v>Lead IT Support Engineer</v>
      </c>
      <c r="AI29" s="4" t="str">
        <f>INDEX(Employee!F:F,MATCH(AG29,Employee!B:B,0))</f>
        <v>Tech</v>
      </c>
      <c r="AJ29" s="4" t="str">
        <f>INDEX(Employee!C:C,MATCH(AK29,Employee!B:B,0))</f>
        <v>Huỳnh Nguyên Phương</v>
      </c>
      <c r="AK29" s="4" t="s">
        <v>162</v>
      </c>
      <c r="AL29" s="4" t="str">
        <f>INDEX(Employee!D:D,MATCH(AK29,Employee!B:B,0))</f>
        <v>Hardware Designer</v>
      </c>
      <c r="AM29" s="4" t="str">
        <f>INDEX(Employee!F:F,MATCH(AK29,Employee!B:B,0))</f>
        <v>Tech</v>
      </c>
      <c r="AN29" s="4" t="str">
        <f>INDEX(Employee!H:H,MATCH(AK29,Employee!B:B,0))</f>
        <v>Đoàn Hải Nam</v>
      </c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 s="6"/>
    </row>
    <row r="30" spans="1:102" s="4" customFormat="1" hidden="1">
      <c r="A30" s="3">
        <f t="shared" si="0"/>
        <v>29</v>
      </c>
      <c r="B30" s="4" t="s">
        <v>14</v>
      </c>
      <c r="C30" s="4" t="s">
        <v>4</v>
      </c>
      <c r="D30" s="4" t="e">
        <f>INDEX(Employee!E:E,MATCH(AK30,Employee!B:B,0))</f>
        <v>#N/A</v>
      </c>
      <c r="E30" s="4" t="e">
        <f>INDEX(Employee!F:F,MATCH(AK30,Employee!B:B,0))</f>
        <v>#N/A</v>
      </c>
      <c r="F30" s="4" t="e">
        <f>INDEX(Employee!G:G,MATCH(AK30,Employee!B:B,0))</f>
        <v>#N/A</v>
      </c>
      <c r="G30" s="4" t="s">
        <v>15</v>
      </c>
      <c r="H30" s="4" t="s">
        <v>188</v>
      </c>
      <c r="I30" s="4" t="s">
        <v>189</v>
      </c>
      <c r="J30" s="4" t="s">
        <v>115</v>
      </c>
      <c r="K30" s="7" t="s">
        <v>190</v>
      </c>
      <c r="L30" s="7" t="s">
        <v>52</v>
      </c>
      <c r="M30" s="4" t="str">
        <f t="shared" si="1"/>
        <v>256GB</v>
      </c>
      <c r="N30" s="13" t="b">
        <v>1</v>
      </c>
      <c r="O30" s="13" t="b">
        <v>0</v>
      </c>
      <c r="P30" s="9" t="s">
        <v>191</v>
      </c>
      <c r="Q30" s="14">
        <v>43363</v>
      </c>
      <c r="R30" s="4" t="s">
        <v>102</v>
      </c>
      <c r="S30" s="10">
        <v>2683700</v>
      </c>
      <c r="AE30" s="21"/>
      <c r="AF30" s="4" t="str">
        <f>INDEX(Employee!C:C,MATCH(AG30,Employee!B:B,0))</f>
        <v>Nguyễn Viết Khải</v>
      </c>
      <c r="AG30" s="4" t="s">
        <v>103</v>
      </c>
      <c r="AH30" s="4" t="str">
        <f>INDEX(Employee!D:D,MATCH(AG30,Employee!B:B,0))</f>
        <v>Lead IT Support Engineer</v>
      </c>
      <c r="AI30" s="4" t="str">
        <f>INDEX(Employee!F:F,MATCH(AG30,Employee!B:B,0))</f>
        <v>Tech</v>
      </c>
      <c r="AJ30" s="4" t="e">
        <f>INDEX(Employee!C:C,MATCH(AK30,Employee!B:B,0))</f>
        <v>#N/A</v>
      </c>
      <c r="AL30" s="4" t="e">
        <f>INDEX(Employee!D:D,MATCH(AK30,Employee!B:B,0))</f>
        <v>#N/A</v>
      </c>
      <c r="AM30" s="4" t="e">
        <f>INDEX(Employee!F:F,MATCH(AK30,Employee!B:B,0))</f>
        <v>#N/A</v>
      </c>
      <c r="AN30" s="4" t="e">
        <f>INDEX(Employee!H:H,MATCH(AK30,Employee!B:B,0))</f>
        <v>#N/A</v>
      </c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 s="6"/>
    </row>
    <row r="31" spans="1:102" s="4" customFormat="1" hidden="1">
      <c r="A31" s="3">
        <f t="shared" si="0"/>
        <v>30</v>
      </c>
      <c r="B31" s="4" t="s">
        <v>14</v>
      </c>
      <c r="C31" s="4" t="s">
        <v>5</v>
      </c>
      <c r="D31" s="4" t="e">
        <f>INDEX(Employee!E:E,MATCH(AK31,Employee!B:B,0))</f>
        <v>#N/A</v>
      </c>
      <c r="E31" s="4" t="e">
        <f>INDEX(Employee!F:F,MATCH(AK31,Employee!B:B,0))</f>
        <v>#N/A</v>
      </c>
      <c r="F31" s="4" t="e">
        <f>INDEX(Employee!G:G,MATCH(AK31,Employee!B:B,0))</f>
        <v>#N/A</v>
      </c>
      <c r="G31" s="4" t="s">
        <v>15</v>
      </c>
      <c r="I31" s="4" t="s">
        <v>192</v>
      </c>
      <c r="J31" s="4" t="s">
        <v>115</v>
      </c>
      <c r="K31" s="7" t="s">
        <v>164</v>
      </c>
      <c r="L31" s="7" t="s">
        <v>52</v>
      </c>
      <c r="M31" s="4" t="str">
        <f t="shared" si="1"/>
        <v>256GB</v>
      </c>
      <c r="N31" s="13" t="b">
        <v>1</v>
      </c>
      <c r="O31" s="13" t="b">
        <v>0</v>
      </c>
      <c r="P31" s="4" t="s">
        <v>193</v>
      </c>
      <c r="Q31" s="14">
        <v>44272</v>
      </c>
      <c r="R31" s="4" t="s">
        <v>102</v>
      </c>
      <c r="S31" s="10">
        <v>2545300</v>
      </c>
      <c r="AE31" s="21"/>
      <c r="AF31" s="4" t="str">
        <f>INDEX(Employee!C:C,MATCH(AG31,Employee!B:B,0))</f>
        <v>Nguyễn Viết Khải</v>
      </c>
      <c r="AG31" s="4" t="s">
        <v>103</v>
      </c>
      <c r="AH31" s="4" t="str">
        <f>INDEX(Employee!D:D,MATCH(AG31,Employee!B:B,0))</f>
        <v>Lead IT Support Engineer</v>
      </c>
      <c r="AI31" s="4" t="str">
        <f>INDEX(Employee!F:F,MATCH(AG31,Employee!B:B,0))</f>
        <v>Tech</v>
      </c>
      <c r="AJ31" s="4" t="e">
        <f>INDEX(Employee!C:C,MATCH(AK31,Employee!B:B,0))</f>
        <v>#N/A</v>
      </c>
      <c r="AL31" s="4" t="e">
        <f>INDEX(Employee!D:D,MATCH(AK31,Employee!B:B,0))</f>
        <v>#N/A</v>
      </c>
      <c r="AM31" s="4" t="e">
        <f>INDEX(Employee!F:F,MATCH(AK31,Employee!B:B,0))</f>
        <v>#N/A</v>
      </c>
      <c r="AN31" s="4" t="e">
        <f>INDEX(Employee!H:H,MATCH(AK31,Employee!B:B,0))</f>
        <v>#N/A</v>
      </c>
      <c r="AQ31" s="4" t="s">
        <v>194</v>
      </c>
      <c r="AS31" s="4" t="s">
        <v>195</v>
      </c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 s="6"/>
    </row>
    <row r="32" spans="1:102" s="4" customFormat="1" hidden="1">
      <c r="A32" s="3">
        <f t="shared" si="0"/>
        <v>31</v>
      </c>
      <c r="B32" s="4" t="s">
        <v>14</v>
      </c>
      <c r="C32" s="4" t="s">
        <v>3</v>
      </c>
      <c r="D32" s="4">
        <f>INDEX(Employee!E:E,MATCH(AK32,Employee!B:B,0))</f>
        <v>0</v>
      </c>
      <c r="E32" s="4" t="str">
        <f>INDEX(Employee!F:F,MATCH(AK32,Employee!B:B,0))</f>
        <v>Tech</v>
      </c>
      <c r="F32" s="4">
        <f>INDEX(Employee!G:G,MATCH(AK32,Employee!B:B,0))</f>
        <v>0</v>
      </c>
      <c r="G32" s="4" t="s">
        <v>119</v>
      </c>
      <c r="I32" s="4" t="s">
        <v>196</v>
      </c>
      <c r="J32" s="4" t="s">
        <v>99</v>
      </c>
      <c r="K32" s="4" t="s">
        <v>100</v>
      </c>
      <c r="L32" s="4" t="s">
        <v>49</v>
      </c>
      <c r="M32" s="4" t="str">
        <f t="shared" si="1"/>
        <v>256GB</v>
      </c>
      <c r="N32" s="13" t="b">
        <v>0</v>
      </c>
      <c r="O32" s="13" t="b">
        <v>0</v>
      </c>
      <c r="P32" s="4" t="s">
        <v>197</v>
      </c>
      <c r="Q32" s="14">
        <v>44804</v>
      </c>
      <c r="R32" s="4" t="s">
        <v>102</v>
      </c>
      <c r="S32" s="10">
        <v>7342466</v>
      </c>
      <c r="AE32" s="21"/>
      <c r="AF32" s="4" t="str">
        <f>INDEX(Employee!C:C,MATCH(AG32,Employee!B:B,0))</f>
        <v>Nguyễn Viết Khải</v>
      </c>
      <c r="AG32" s="4" t="s">
        <v>103</v>
      </c>
      <c r="AH32" s="4" t="str">
        <f>INDEX(Employee!D:D,MATCH(AG32,Employee!B:B,0))</f>
        <v>Lead IT Support Engineer</v>
      </c>
      <c r="AI32" s="4" t="str">
        <f>INDEX(Employee!F:F,MATCH(AG32,Employee!B:B,0))</f>
        <v>Tech</v>
      </c>
      <c r="AJ32" s="4" t="str">
        <f>INDEX(Employee!C:C,MATCH(AK32,Employee!B:B,0))</f>
        <v>Trần Kiên</v>
      </c>
      <c r="AK32" s="4" t="s">
        <v>198</v>
      </c>
      <c r="AL32" s="4" t="str">
        <f>INDEX(Employee!D:D,MATCH(AK32,Employee!B:B,0))</f>
        <v>QC Engineer</v>
      </c>
      <c r="AM32" s="4" t="str">
        <f>INDEX(Employee!F:F,MATCH(AK32,Employee!B:B,0))</f>
        <v>Tech</v>
      </c>
      <c r="AN32" s="4" t="str">
        <f>INDEX(Employee!H:H,MATCH(AK32,Employee!B:B,0))</f>
        <v>Trần Triệu Dương (duongtt5)</v>
      </c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 s="6"/>
    </row>
    <row r="33" spans="1:102" s="4" customFormat="1" hidden="1">
      <c r="A33" s="3">
        <f t="shared" si="0"/>
        <v>32</v>
      </c>
      <c r="B33" s="4" t="s">
        <v>14</v>
      </c>
      <c r="C33" s="4" t="s">
        <v>4</v>
      </c>
      <c r="D33" s="4" t="e">
        <f>INDEX(Employee!E:E,MATCH(AK33,Employee!B:B,0))</f>
        <v>#N/A</v>
      </c>
      <c r="E33" s="4" t="e">
        <f>INDEX(Employee!F:F,MATCH(AK33,Employee!B:B,0))</f>
        <v>#N/A</v>
      </c>
      <c r="F33" s="4" t="e">
        <f>INDEX(Employee!G:G,MATCH(AK33,Employee!B:B,0))</f>
        <v>#N/A</v>
      </c>
      <c r="G33" s="4" t="s">
        <v>15</v>
      </c>
      <c r="I33" s="4" t="s">
        <v>199</v>
      </c>
      <c r="J33" s="4" t="s">
        <v>99</v>
      </c>
      <c r="K33" s="4" t="s">
        <v>121</v>
      </c>
      <c r="L33" s="4" t="s">
        <v>48</v>
      </c>
      <c r="M33" s="4" t="str">
        <f t="shared" si="1"/>
        <v>256GB</v>
      </c>
      <c r="N33" s="13" t="b">
        <v>1</v>
      </c>
      <c r="O33" s="13" t="b">
        <v>0</v>
      </c>
      <c r="P33" s="4" t="s">
        <v>200</v>
      </c>
      <c r="Q33" s="14">
        <v>44807</v>
      </c>
      <c r="R33" s="4" t="s">
        <v>102</v>
      </c>
      <c r="S33" s="10">
        <v>3245455</v>
      </c>
      <c r="AE33" s="21"/>
      <c r="AF33" s="4" t="str">
        <f>INDEX(Employee!C:C,MATCH(AG33,Employee!B:B,0))</f>
        <v>Nguyễn Viết Khải</v>
      </c>
      <c r="AG33" s="4" t="s">
        <v>103</v>
      </c>
      <c r="AH33" s="4" t="str">
        <f>INDEX(Employee!D:D,MATCH(AG33,Employee!B:B,0))</f>
        <v>Lead IT Support Engineer</v>
      </c>
      <c r="AI33" s="4" t="str">
        <f>INDEX(Employee!F:F,MATCH(AG33,Employee!B:B,0))</f>
        <v>Tech</v>
      </c>
      <c r="AJ33" s="4" t="e">
        <f>INDEX(Employee!C:C,MATCH(AK33,Employee!B:B,0))</f>
        <v>#N/A</v>
      </c>
      <c r="AL33" s="4" t="e">
        <f>INDEX(Employee!D:D,MATCH(AK33,Employee!B:B,0))</f>
        <v>#N/A</v>
      </c>
      <c r="AM33" s="4" t="e">
        <f>INDEX(Employee!F:F,MATCH(AK33,Employee!B:B,0))</f>
        <v>#N/A</v>
      </c>
      <c r="AN33" s="4" t="e">
        <f>INDEX(Employee!H:H,MATCH(AK33,Employee!B:B,0))</f>
        <v>#N/A</v>
      </c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 s="6"/>
    </row>
    <row r="34" spans="1:102" s="4" customFormat="1" hidden="1">
      <c r="A34" s="3">
        <f t="shared" si="0"/>
        <v>33</v>
      </c>
      <c r="B34" s="4" t="s">
        <v>14</v>
      </c>
      <c r="C34" s="4" t="s">
        <v>4</v>
      </c>
      <c r="D34" s="4" t="e">
        <f>INDEX(Employee!E:E,MATCH(AK34,Employee!B:B,0))</f>
        <v>#N/A</v>
      </c>
      <c r="E34" s="4" t="e">
        <f>INDEX(Employee!F:F,MATCH(AK34,Employee!B:B,0))</f>
        <v>#N/A</v>
      </c>
      <c r="F34" s="4" t="e">
        <f>INDEX(Employee!G:G,MATCH(AK34,Employee!B:B,0))</f>
        <v>#N/A</v>
      </c>
      <c r="G34" s="4" t="s">
        <v>15</v>
      </c>
      <c r="H34" s="4" t="s">
        <v>201</v>
      </c>
      <c r="I34" s="4" t="s">
        <v>202</v>
      </c>
      <c r="J34" s="4" t="s">
        <v>115</v>
      </c>
      <c r="K34" s="7" t="s">
        <v>164</v>
      </c>
      <c r="L34" s="7" t="s">
        <v>52</v>
      </c>
      <c r="M34" s="4" t="str">
        <f t="shared" si="1"/>
        <v>256GB</v>
      </c>
      <c r="N34" s="13" t="b">
        <v>1</v>
      </c>
      <c r="O34" s="13" t="b">
        <v>0</v>
      </c>
      <c r="P34" s="4" t="s">
        <v>203</v>
      </c>
      <c r="Q34" s="14">
        <v>44796</v>
      </c>
      <c r="R34" s="4" t="s">
        <v>102</v>
      </c>
      <c r="S34" s="10">
        <v>5736667</v>
      </c>
      <c r="AE34" s="21"/>
      <c r="AF34" s="4" t="str">
        <f>INDEX(Employee!C:C,MATCH(AG34,Employee!B:B,0))</f>
        <v>Nguyễn Viết Khải</v>
      </c>
      <c r="AG34" s="4" t="s">
        <v>103</v>
      </c>
      <c r="AH34" s="4" t="str">
        <f>INDEX(Employee!D:D,MATCH(AG34,Employee!B:B,0))</f>
        <v>Lead IT Support Engineer</v>
      </c>
      <c r="AI34" s="4" t="str">
        <f>INDEX(Employee!F:F,MATCH(AG34,Employee!B:B,0))</f>
        <v>Tech</v>
      </c>
      <c r="AJ34" s="4" t="e">
        <f>INDEX(Employee!C:C,MATCH(AK34,Employee!B:B,0))</f>
        <v>#N/A</v>
      </c>
      <c r="AL34" s="4" t="e">
        <f>INDEX(Employee!D:D,MATCH(AK34,Employee!B:B,0))</f>
        <v>#N/A</v>
      </c>
      <c r="AM34" s="4" t="e">
        <f>INDEX(Employee!F:F,MATCH(AK34,Employee!B:B,0))</f>
        <v>#N/A</v>
      </c>
      <c r="AN34" s="4" t="e">
        <f>INDEX(Employee!H:H,MATCH(AK34,Employee!B:B,0))</f>
        <v>#N/A</v>
      </c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 s="6"/>
    </row>
    <row r="35" spans="1:102" s="4" customFormat="1" hidden="1">
      <c r="A35" s="3">
        <f t="shared" si="0"/>
        <v>34</v>
      </c>
      <c r="B35" s="4" t="s">
        <v>18</v>
      </c>
      <c r="C35" s="4" t="s">
        <v>5</v>
      </c>
      <c r="D35" s="4">
        <f>INDEX(Employee!E:E,MATCH(AK35,Employee!B:B,0))</f>
        <v>0</v>
      </c>
      <c r="E35" s="4" t="str">
        <f>INDEX(Employee!F:F,MATCH(AK35,Employee!B:B,0))</f>
        <v>Tech</v>
      </c>
      <c r="F35" s="4">
        <f>INDEX(Employee!G:G,MATCH(AK35,Employee!B:B,0))</f>
        <v>0</v>
      </c>
      <c r="G35" s="4" t="s">
        <v>15</v>
      </c>
      <c r="H35" s="4" t="s">
        <v>204</v>
      </c>
      <c r="I35" s="4" t="s">
        <v>205</v>
      </c>
      <c r="J35" s="4" t="s">
        <v>111</v>
      </c>
      <c r="K35" s="4" t="s">
        <v>112</v>
      </c>
      <c r="N35" s="13" t="b">
        <v>0</v>
      </c>
      <c r="O35" s="13" t="b">
        <v>0</v>
      </c>
      <c r="Q35" s="14">
        <v>44742</v>
      </c>
      <c r="R35" s="4" t="s">
        <v>102</v>
      </c>
      <c r="S35" s="10">
        <v>19500</v>
      </c>
      <c r="AF35" s="4" t="str">
        <f>INDEX(Employee!C:C,MATCH(AG35,Employee!B:B,0))</f>
        <v>Nguyễn Viết Khải</v>
      </c>
      <c r="AG35" s="4" t="s">
        <v>103</v>
      </c>
      <c r="AH35" s="4" t="str">
        <f>INDEX(Employee!D:D,MATCH(AG35,Employee!B:B,0))</f>
        <v>Lead IT Support Engineer</v>
      </c>
      <c r="AI35" s="4" t="str">
        <f>INDEX(Employee!F:F,MATCH(AG35,Employee!B:B,0))</f>
        <v>Tech</v>
      </c>
      <c r="AJ35" s="4" t="str">
        <f>INDEX(Employee!C:C,MATCH(AK35,Employee!B:B,0))</f>
        <v>Nguyễn Hoài Nam</v>
      </c>
      <c r="AK35" s="4" t="s">
        <v>206</v>
      </c>
      <c r="AL35" s="4" t="str">
        <f>INDEX(Employee!D:D,MATCH(AK35,Employee!B:B,0))</f>
        <v>Technical Support Engineer</v>
      </c>
      <c r="AM35" s="4" t="str">
        <f>INDEX(Employee!F:F,MATCH(AK35,Employee!B:B,0))</f>
        <v>Tech</v>
      </c>
      <c r="AN35" s="4" t="str">
        <f>INDEX(Employee!H:H,MATCH(AK35,Employee!B:B,0))</f>
        <v>Nguyễn Tấn Thơ (thont2)</v>
      </c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 s="6"/>
    </row>
    <row r="36" spans="1:102" s="4" customFormat="1" hidden="1">
      <c r="A36" s="3">
        <f t="shared" si="0"/>
        <v>35</v>
      </c>
      <c r="B36" s="4" t="s">
        <v>14</v>
      </c>
      <c r="C36" s="4" t="s">
        <v>3</v>
      </c>
      <c r="D36" s="4">
        <f>INDEX(Employee!E:E,MATCH(AK36,Employee!B:B,0))</f>
        <v>0</v>
      </c>
      <c r="E36" s="4" t="str">
        <f>INDEX(Employee!F:F,MATCH(AK36,Employee!B:B,0))</f>
        <v>HR</v>
      </c>
      <c r="F36" s="4">
        <f>INDEX(Employee!G:G,MATCH(AK36,Employee!B:B,0))</f>
        <v>0</v>
      </c>
      <c r="G36" s="4" t="s">
        <v>119</v>
      </c>
      <c r="H36" s="4" t="s">
        <v>207</v>
      </c>
      <c r="I36" s="4" t="s">
        <v>208</v>
      </c>
      <c r="J36" s="4" t="s">
        <v>115</v>
      </c>
      <c r="K36" s="7" t="s">
        <v>164</v>
      </c>
      <c r="L36" s="7" t="s">
        <v>52</v>
      </c>
      <c r="M36" s="4" t="str">
        <f>RIGHT(K36,5)</f>
        <v>256GB</v>
      </c>
      <c r="N36" s="13" t="b">
        <v>0</v>
      </c>
      <c r="O36" s="13" t="b">
        <v>1</v>
      </c>
      <c r="P36" s="4" t="s">
        <v>209</v>
      </c>
      <c r="Q36" s="14">
        <v>44642</v>
      </c>
      <c r="R36" s="4" t="s">
        <v>102</v>
      </c>
      <c r="S36" s="10">
        <v>2516700</v>
      </c>
      <c r="AE36" s="21"/>
      <c r="AF36" s="4" t="str">
        <f>INDEX(Employee!C:C,MATCH(AG36,Employee!B:B,0))</f>
        <v>Nguyễn Viết Khải</v>
      </c>
      <c r="AG36" s="4" t="s">
        <v>103</v>
      </c>
      <c r="AH36" s="4" t="str">
        <f>INDEX(Employee!D:D,MATCH(AG36,Employee!B:B,0))</f>
        <v>Lead IT Support Engineer</v>
      </c>
      <c r="AI36" s="4" t="str">
        <f>INDEX(Employee!F:F,MATCH(AG36,Employee!B:B,0))</f>
        <v>Tech</v>
      </c>
      <c r="AJ36" s="4" t="str">
        <f>INDEX(Employee!C:C,MATCH(AK36,Employee!B:B,0))</f>
        <v>Văn Tiến Đạt</v>
      </c>
      <c r="AK36" s="4" t="s">
        <v>210</v>
      </c>
      <c r="AL36" s="4" t="str">
        <f>INDEX(Employee!D:D,MATCH(AK36,Employee!B:B,0))</f>
        <v>Senior Talent Acquisition Business Partner</v>
      </c>
      <c r="AM36" s="4" t="str">
        <f>INDEX(Employee!F:F,MATCH(AK36,Employee!B:B,0))</f>
        <v>HR</v>
      </c>
      <c r="AN36" s="4" t="str">
        <f>INDEX(Employee!H:H,MATCH(AK36,Employee!B:B,0))</f>
        <v>Aleksandar Jelic (jelica)</v>
      </c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 s="6"/>
    </row>
    <row r="37" spans="1:102" s="4" customFormat="1" hidden="1">
      <c r="A37" s="3">
        <f t="shared" si="0"/>
        <v>36</v>
      </c>
      <c r="B37" s="4" t="s">
        <v>18</v>
      </c>
      <c r="C37" s="4" t="s">
        <v>5</v>
      </c>
      <c r="D37" s="4" t="e">
        <f>INDEX(Employee!E:E,MATCH(AK37,Employee!B:B,0))</f>
        <v>#N/A</v>
      </c>
      <c r="E37" s="4" t="e">
        <f>INDEX(Employee!F:F,MATCH(AK37,Employee!B:B,0))</f>
        <v>#N/A</v>
      </c>
      <c r="F37" s="4" t="e">
        <f>INDEX(Employee!G:G,MATCH(AK37,Employee!B:B,0))</f>
        <v>#N/A</v>
      </c>
      <c r="G37" s="4" t="s">
        <v>15</v>
      </c>
      <c r="I37" s="4" t="s">
        <v>211</v>
      </c>
      <c r="J37" s="4" t="s">
        <v>111</v>
      </c>
      <c r="K37" s="4" t="s">
        <v>112</v>
      </c>
      <c r="N37" s="13" t="b">
        <v>0</v>
      </c>
      <c r="O37" s="13" t="b">
        <v>0</v>
      </c>
      <c r="P37" s="4" t="s">
        <v>212</v>
      </c>
      <c r="Q37" s="14">
        <v>44742</v>
      </c>
      <c r="R37" s="4" t="s">
        <v>102</v>
      </c>
      <c r="S37" s="10">
        <v>19500</v>
      </c>
      <c r="AF37" s="4" t="str">
        <f>INDEX(Employee!C:C,MATCH(AG37,Employee!B:B,0))</f>
        <v>Nguyễn Viết Khải</v>
      </c>
      <c r="AG37" s="4" t="s">
        <v>103</v>
      </c>
      <c r="AH37" s="4" t="str">
        <f>INDEX(Employee!D:D,MATCH(AG37,Employee!B:B,0))</f>
        <v>Lead IT Support Engineer</v>
      </c>
      <c r="AI37" s="4" t="str">
        <f>INDEX(Employee!F:F,MATCH(AG37,Employee!B:B,0))</f>
        <v>Tech</v>
      </c>
      <c r="AJ37" s="4" t="e">
        <f>INDEX(Employee!C:C,MATCH(AK37,Employee!B:B,0))</f>
        <v>#N/A</v>
      </c>
      <c r="AL37" s="4" t="e">
        <f>INDEX(Employee!D:D,MATCH(AK37,Employee!B:B,0))</f>
        <v>#N/A</v>
      </c>
      <c r="AM37" s="4" t="e">
        <f>INDEX(Employee!F:F,MATCH(AK37,Employee!B:B,0))</f>
        <v>#N/A</v>
      </c>
      <c r="AN37" s="4" t="e">
        <f>INDEX(Employee!H:H,MATCH(AK37,Employee!B:B,0))</f>
        <v>#N/A</v>
      </c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 s="6"/>
    </row>
    <row r="38" spans="1:102" s="4" customFormat="1" hidden="1">
      <c r="A38" s="3">
        <f t="shared" si="0"/>
        <v>37</v>
      </c>
      <c r="B38" s="4" t="s">
        <v>18</v>
      </c>
      <c r="C38" s="4" t="s">
        <v>5</v>
      </c>
      <c r="D38" s="4" t="str">
        <f>INDEX(Employee!E:E,MATCH(AK38,Employee!B:B,0))</f>
        <v>Project</v>
      </c>
      <c r="E38" s="4" t="str">
        <f>INDEX(Employee!F:F,MATCH(AK38,Employee!B:B,0))</f>
        <v>Tech</v>
      </c>
      <c r="F38" s="4" t="str">
        <f>INDEX(Employee!G:G,MATCH(AK38,Employee!B:B,0))</f>
        <v>Venture</v>
      </c>
      <c r="G38" s="4" t="s">
        <v>15</v>
      </c>
      <c r="I38" s="4" t="s">
        <v>213</v>
      </c>
      <c r="J38" s="4" t="s">
        <v>111</v>
      </c>
      <c r="K38" s="4" t="s">
        <v>112</v>
      </c>
      <c r="N38" s="13" t="b">
        <v>0</v>
      </c>
      <c r="O38" s="13" t="b">
        <v>0</v>
      </c>
      <c r="P38" s="4" t="s">
        <v>214</v>
      </c>
      <c r="Q38" s="14">
        <v>44792</v>
      </c>
      <c r="R38" s="4" t="s">
        <v>102</v>
      </c>
      <c r="S38" s="10">
        <v>20500</v>
      </c>
      <c r="AF38" s="4" t="str">
        <f>INDEX(Employee!C:C,MATCH(AG38,Employee!B:B,0))</f>
        <v>Nguyễn Viết Khải</v>
      </c>
      <c r="AG38" s="4" t="s">
        <v>103</v>
      </c>
      <c r="AH38" s="4" t="str">
        <f>INDEX(Employee!D:D,MATCH(AG38,Employee!B:B,0))</f>
        <v>Lead IT Support Engineer</v>
      </c>
      <c r="AI38" s="4" t="str">
        <f>INDEX(Employee!F:F,MATCH(AG38,Employee!B:B,0))</f>
        <v>Tech</v>
      </c>
      <c r="AJ38" s="4" t="str">
        <f>INDEX(Employee!C:C,MATCH(AK38,Employee!B:B,0))</f>
        <v>Trịnh Minh Toàn</v>
      </c>
      <c r="AK38" s="4" t="s">
        <v>215</v>
      </c>
      <c r="AL38" s="4" t="str">
        <f>INDEX(Employee!D:D,MATCH(AK38,Employee!B:B,0))</f>
        <v>Senior Software Engineer</v>
      </c>
      <c r="AM38" s="4" t="str">
        <f>INDEX(Employee!F:F,MATCH(AK38,Employee!B:B,0))</f>
        <v>Tech</v>
      </c>
      <c r="AN38" s="4" t="str">
        <f>INDEX(Employee!H:H,MATCH(AK38,Employee!B:B,0))</f>
        <v>Đoàn Nhật Duẩn (duandn)</v>
      </c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 s="6"/>
    </row>
    <row r="39" spans="1:102" s="4" customFormat="1" hidden="1">
      <c r="A39" s="3">
        <f t="shared" si="0"/>
        <v>38</v>
      </c>
      <c r="B39" s="4" t="s">
        <v>14</v>
      </c>
      <c r="C39" s="4" t="s">
        <v>5</v>
      </c>
      <c r="D39" s="4" t="e">
        <f>INDEX(Employee!E:E,MATCH(AK39,Employee!B:B,0))</f>
        <v>#N/A</v>
      </c>
      <c r="E39" s="4" t="e">
        <f>INDEX(Employee!F:F,MATCH(AK39,Employee!B:B,0))</f>
        <v>#N/A</v>
      </c>
      <c r="F39" s="4" t="e">
        <f>INDEX(Employee!G:G,MATCH(AK39,Employee!B:B,0))</f>
        <v>#N/A</v>
      </c>
      <c r="G39" s="4" t="s">
        <v>15</v>
      </c>
      <c r="I39" s="4" t="s">
        <v>216</v>
      </c>
      <c r="J39" s="4" t="s">
        <v>115</v>
      </c>
      <c r="K39" s="7" t="s">
        <v>164</v>
      </c>
      <c r="L39" s="7" t="s">
        <v>52</v>
      </c>
      <c r="M39" s="4" t="str">
        <f>RIGHT(K39,5)</f>
        <v>256GB</v>
      </c>
      <c r="N39" s="13" t="b">
        <v>1</v>
      </c>
      <c r="O39" s="13" t="b">
        <v>0</v>
      </c>
      <c r="P39" s="4" t="s">
        <v>217</v>
      </c>
      <c r="Q39" s="14">
        <v>44409</v>
      </c>
      <c r="R39" s="4" t="s">
        <v>102</v>
      </c>
      <c r="S39" s="10">
        <v>2543220</v>
      </c>
      <c r="AE39" s="21"/>
      <c r="AF39" s="4" t="str">
        <f>INDEX(Employee!C:C,MATCH(AG39,Employee!B:B,0))</f>
        <v>Nguyễn Viết Khải</v>
      </c>
      <c r="AG39" s="4" t="s">
        <v>103</v>
      </c>
      <c r="AH39" s="4" t="str">
        <f>INDEX(Employee!D:D,MATCH(AG39,Employee!B:B,0))</f>
        <v>Lead IT Support Engineer</v>
      </c>
      <c r="AI39" s="4" t="str">
        <f>INDEX(Employee!F:F,MATCH(AG39,Employee!B:B,0))</f>
        <v>Tech</v>
      </c>
      <c r="AJ39" s="4" t="e">
        <f>INDEX(Employee!C:C,MATCH(AK39,Employee!B:B,0))</f>
        <v>#N/A</v>
      </c>
      <c r="AL39" s="4" t="e">
        <f>INDEX(Employee!D:D,MATCH(AK39,Employee!B:B,0))</f>
        <v>#N/A</v>
      </c>
      <c r="AM39" s="4" t="e">
        <f>INDEX(Employee!F:F,MATCH(AK39,Employee!B:B,0))</f>
        <v>#N/A</v>
      </c>
      <c r="AN39" s="4" t="e">
        <f>INDEX(Employee!H:H,MATCH(AK39,Employee!B:B,0))</f>
        <v>#N/A</v>
      </c>
      <c r="AQ39" s="4" t="s">
        <v>194</v>
      </c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 s="6"/>
    </row>
    <row r="40" spans="1:102" s="4" customFormat="1" hidden="1">
      <c r="A40" s="3">
        <f t="shared" si="0"/>
        <v>39</v>
      </c>
      <c r="B40" s="4" t="s">
        <v>18</v>
      </c>
      <c r="C40" s="4" t="s">
        <v>3</v>
      </c>
      <c r="D40" s="4" t="str">
        <f>INDEX(Employee!E:E,MATCH(AK40,Employee!B:B,0))</f>
        <v>BO</v>
      </c>
      <c r="E40" s="4" t="str">
        <f>INDEX(Employee!F:F,MATCH(AK40,Employee!B:B,0))</f>
        <v>Business Support</v>
      </c>
      <c r="F40" s="4" t="str">
        <f>INDEX(Employee!G:G,MATCH(AK40,Employee!B:B,0))</f>
        <v>Operation Team</v>
      </c>
      <c r="G40" s="4" t="s">
        <v>15</v>
      </c>
      <c r="I40" s="4" t="s">
        <v>218</v>
      </c>
      <c r="J40" s="4" t="s">
        <v>111</v>
      </c>
      <c r="K40" s="4" t="s">
        <v>112</v>
      </c>
      <c r="N40" s="13" t="b">
        <v>0</v>
      </c>
      <c r="O40" s="13" t="b">
        <v>0</v>
      </c>
      <c r="Q40" s="14">
        <v>45107</v>
      </c>
      <c r="R40" s="4" t="s">
        <v>102</v>
      </c>
      <c r="S40" s="10">
        <v>19300</v>
      </c>
      <c r="AF40" s="4" t="str">
        <f>INDEX(Employee!C:C,MATCH(AG40,Employee!B:B,0))</f>
        <v>Nguyễn Viết Khải</v>
      </c>
      <c r="AG40" s="4" t="s">
        <v>103</v>
      </c>
      <c r="AH40" s="4" t="str">
        <f>INDEX(Employee!D:D,MATCH(AG40,Employee!B:B,0))</f>
        <v>Lead IT Support Engineer</v>
      </c>
      <c r="AI40" s="4" t="str">
        <f>INDEX(Employee!F:F,MATCH(AG40,Employee!B:B,0))</f>
        <v>Tech</v>
      </c>
      <c r="AJ40" s="4" t="str">
        <f>INDEX(Employee!C:C,MATCH(AK40,Employee!B:B,0))</f>
        <v>Trương Nữ Ngọc Mai</v>
      </c>
      <c r="AK40" s="4" t="s">
        <v>219</v>
      </c>
      <c r="AL40" s="4" t="str">
        <f>INDEX(Employee!D:D,MATCH(AK40,Employee!B:B,0))</f>
        <v>Admin Executive</v>
      </c>
      <c r="AM40" s="4" t="str">
        <f>INDEX(Employee!F:F,MATCH(AK40,Employee!B:B,0))</f>
        <v>Business Support</v>
      </c>
      <c r="AN40" s="4" t="str">
        <f>INDEX(Employee!H:H,MATCH(AK40,Employee!B:B,0))</f>
        <v>Đoàn Hà Mi</v>
      </c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 s="6"/>
    </row>
    <row r="41" spans="1:102" s="4" customFormat="1" hidden="1">
      <c r="A41" s="3">
        <f t="shared" si="0"/>
        <v>40</v>
      </c>
      <c r="B41" s="4" t="s">
        <v>14</v>
      </c>
      <c r="C41" s="4" t="s">
        <v>4</v>
      </c>
      <c r="D41" s="4" t="e">
        <f>INDEX(Employee!E:E,MATCH(AK41,Employee!B:B,0))</f>
        <v>#N/A</v>
      </c>
      <c r="E41" s="4" t="e">
        <f>INDEX(Employee!F:F,MATCH(AK41,Employee!B:B,0))</f>
        <v>#N/A</v>
      </c>
      <c r="F41" s="4" t="e">
        <f>INDEX(Employee!G:G,MATCH(AK41,Employee!B:B,0))</f>
        <v>#N/A</v>
      </c>
      <c r="G41" s="4" t="s">
        <v>15</v>
      </c>
      <c r="I41" s="4" t="s">
        <v>220</v>
      </c>
      <c r="J41" s="4" t="s">
        <v>115</v>
      </c>
      <c r="K41" s="7" t="s">
        <v>164</v>
      </c>
      <c r="L41" s="7" t="s">
        <v>52</v>
      </c>
      <c r="M41" s="4" t="str">
        <f t="shared" ref="M41:M47" si="2">RIGHT(K41,5)</f>
        <v>256GB</v>
      </c>
      <c r="N41" s="13" t="b">
        <v>1</v>
      </c>
      <c r="O41" s="13" t="b">
        <v>0</v>
      </c>
      <c r="P41" s="4" t="s">
        <v>221</v>
      </c>
      <c r="Q41" s="14">
        <v>45308</v>
      </c>
      <c r="R41" s="4" t="s">
        <v>102</v>
      </c>
      <c r="S41" s="10">
        <v>22203518</v>
      </c>
      <c r="AE41" s="21"/>
      <c r="AF41" s="4" t="str">
        <f>INDEX(Employee!C:C,MATCH(AG41,Employee!B:B,0))</f>
        <v>Nguyễn Viết Khải</v>
      </c>
      <c r="AG41" s="4" t="s">
        <v>103</v>
      </c>
      <c r="AH41" s="4" t="str">
        <f>INDEX(Employee!D:D,MATCH(AG41,Employee!B:B,0))</f>
        <v>Lead IT Support Engineer</v>
      </c>
      <c r="AI41" s="4" t="str">
        <f>INDEX(Employee!F:F,MATCH(AG41,Employee!B:B,0))</f>
        <v>Tech</v>
      </c>
      <c r="AJ41" s="4" t="e">
        <f>INDEX(Employee!C:C,MATCH(AK41,Employee!B:B,0))</f>
        <v>#N/A</v>
      </c>
      <c r="AL41" s="4" t="e">
        <f>INDEX(Employee!D:D,MATCH(AK41,Employee!B:B,0))</f>
        <v>#N/A</v>
      </c>
      <c r="AM41" s="4" t="e">
        <f>INDEX(Employee!F:F,MATCH(AK41,Employee!B:B,0))</f>
        <v>#N/A</v>
      </c>
      <c r="AN41" s="4" t="e">
        <f>INDEX(Employee!H:H,MATCH(AK41,Employee!B:B,0))</f>
        <v>#N/A</v>
      </c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 s="6"/>
    </row>
    <row r="42" spans="1:102" s="4" customFormat="1" hidden="1">
      <c r="A42" s="3">
        <f t="shared" si="0"/>
        <v>41</v>
      </c>
      <c r="B42" s="4" t="s">
        <v>14</v>
      </c>
      <c r="C42" s="4" t="s">
        <v>3</v>
      </c>
      <c r="D42" s="4" t="str">
        <f>INDEX(Employee!E:E,MATCH(AK42,Employee!B:B,0))</f>
        <v>BO</v>
      </c>
      <c r="E42" s="4" t="str">
        <f>INDEX(Employee!F:F,MATCH(AK42,Employee!B:B,0))</f>
        <v>Business Support</v>
      </c>
      <c r="F42" s="4" t="str">
        <f>INDEX(Employee!G:G,MATCH(AK42,Employee!B:B,0))</f>
        <v>Operation Team</v>
      </c>
      <c r="G42" s="4" t="s">
        <v>15</v>
      </c>
      <c r="I42" s="4" t="str">
        <f t="shared" ref="I42:I47" si="3">IF(I41="","", "LAP"&amp;TEXT(VALUE(RIGHT(I41,4))+1,"0000"))</f>
        <v>LAP0027</v>
      </c>
      <c r="J42" s="4" t="s">
        <v>99</v>
      </c>
      <c r="K42" s="4" t="s">
        <v>100</v>
      </c>
      <c r="L42" s="4" t="s">
        <v>49</v>
      </c>
      <c r="M42" s="4" t="str">
        <f t="shared" si="2"/>
        <v>256GB</v>
      </c>
      <c r="N42" s="13" t="b">
        <v>1</v>
      </c>
      <c r="O42" s="13" t="b">
        <v>0</v>
      </c>
      <c r="P42" s="4" t="s">
        <v>222</v>
      </c>
      <c r="Q42" s="14">
        <v>44844</v>
      </c>
      <c r="R42" s="4" t="s">
        <v>102</v>
      </c>
      <c r="S42" s="10">
        <v>9123288</v>
      </c>
      <c r="AE42" s="21"/>
      <c r="AF42" s="4" t="str">
        <f>INDEX(Employee!C:C,MATCH(AG42,Employee!B:B,0))</f>
        <v>Nguyễn Viết Khải</v>
      </c>
      <c r="AG42" s="4" t="s">
        <v>103</v>
      </c>
      <c r="AH42" s="4" t="str">
        <f>INDEX(Employee!D:D,MATCH(AG42,Employee!B:B,0))</f>
        <v>Lead IT Support Engineer</v>
      </c>
      <c r="AI42" s="4" t="str">
        <f>INDEX(Employee!F:F,MATCH(AG42,Employee!B:B,0))</f>
        <v>Tech</v>
      </c>
      <c r="AJ42" s="4" t="str">
        <f>INDEX(Employee!C:C,MATCH(AK42,Employee!B:B,0))</f>
        <v>Mai Thị Cẩm Hà</v>
      </c>
      <c r="AK42" s="4" t="s">
        <v>223</v>
      </c>
      <c r="AL42" s="4" t="str">
        <f>INDEX(Employee!D:D,MATCH(AK42,Employee!B:B,0))</f>
        <v>Associate GRC Analyst</v>
      </c>
      <c r="AM42" s="4" t="str">
        <f>INDEX(Employee!F:F,MATCH(AK42,Employee!B:B,0))</f>
        <v>Business Support</v>
      </c>
      <c r="AN42" s="4" t="str">
        <f>INDEX(Employee!H:H,MATCH(AK42,Employee!B:B,0))</f>
        <v>Nguyễn Thị My Sa</v>
      </c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 s="6"/>
    </row>
    <row r="43" spans="1:102" s="4" customFormat="1" hidden="1">
      <c r="A43" s="3">
        <v>50</v>
      </c>
      <c r="B43" s="4" t="s">
        <v>14</v>
      </c>
      <c r="C43" s="4" t="s">
        <v>3</v>
      </c>
      <c r="D43" s="4">
        <f>INDEX(Employee!E:E,MATCH(AK43,Employee!B:B,0))</f>
        <v>0</v>
      </c>
      <c r="E43" s="4" t="str">
        <f>INDEX(Employee!F:F,MATCH(AK43,Employee!B:B,0))</f>
        <v>Data</v>
      </c>
      <c r="F43" s="4">
        <f>INDEX(Employee!G:G,MATCH(AK43,Employee!B:B,0))</f>
        <v>0</v>
      </c>
      <c r="G43" s="4" t="s">
        <v>119</v>
      </c>
      <c r="I43" s="4" t="str">
        <f t="shared" si="3"/>
        <v>LAP0028</v>
      </c>
      <c r="J43" s="4" t="s">
        <v>115</v>
      </c>
      <c r="K43" s="7" t="s">
        <v>141</v>
      </c>
      <c r="L43" s="7" t="s">
        <v>52</v>
      </c>
      <c r="M43" s="4" t="str">
        <f t="shared" si="2"/>
        <v>256GB</v>
      </c>
      <c r="N43" s="13" t="b">
        <v>0</v>
      </c>
      <c r="O43" s="13" t="b">
        <v>0</v>
      </c>
      <c r="P43" s="4" t="s">
        <v>224</v>
      </c>
      <c r="Q43" s="14">
        <v>45308</v>
      </c>
      <c r="R43" s="4" t="s">
        <v>102</v>
      </c>
      <c r="S43" s="10">
        <v>22203518</v>
      </c>
      <c r="AE43" s="21"/>
      <c r="AF43" s="4" t="str">
        <f>INDEX(Employee!C:C,MATCH(AG43,Employee!B:B,0))</f>
        <v>Nguyễn Viết Khải</v>
      </c>
      <c r="AG43" s="4" t="s">
        <v>103</v>
      </c>
      <c r="AH43" s="4" t="str">
        <f>INDEX(Employee!D:D,MATCH(AG43,Employee!B:B,0))</f>
        <v>Lead IT Support Engineer</v>
      </c>
      <c r="AI43" s="4" t="str">
        <f>INDEX(Employee!F:F,MATCH(AG43,Employee!B:B,0))</f>
        <v>Tech</v>
      </c>
      <c r="AJ43" s="4" t="str">
        <f>INDEX(Employee!C:C,MATCH(AK43,Employee!B:B,0))</f>
        <v>Huỳnh Quốc Quân</v>
      </c>
      <c r="AK43" s="4" t="s">
        <v>225</v>
      </c>
      <c r="AL43" s="4" t="str">
        <f>INDEX(Employee!D:D,MATCH(AK43,Employee!B:B,0))</f>
        <v>Senior Database Administrator</v>
      </c>
      <c r="AM43" s="4" t="str">
        <f>INDEX(Employee!F:F,MATCH(AK43,Employee!B:B,0))</f>
        <v>Data</v>
      </c>
      <c r="AN43" s="4" t="str">
        <f>INDEX(Employee!H:H,MATCH(AK43,Employee!B:B,0))</f>
        <v>Dương Huỳnh Nghĩa (nghiadh)</v>
      </c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 s="6"/>
    </row>
    <row r="44" spans="1:102" s="4" customFormat="1" hidden="1">
      <c r="A44" s="3">
        <f t="shared" ref="A44:A107" si="4">IF(B44&lt;&gt;"",ROW()-1,"")</f>
        <v>43</v>
      </c>
      <c r="B44" s="4" t="s">
        <v>14</v>
      </c>
      <c r="C44" s="4" t="s">
        <v>4</v>
      </c>
      <c r="D44" s="4" t="e">
        <f>INDEX(Employee!E:E,MATCH(AK44,Employee!B:B,0))</f>
        <v>#N/A</v>
      </c>
      <c r="E44" s="4" t="e">
        <f>INDEX(Employee!F:F,MATCH(AK44,Employee!B:B,0))</f>
        <v>#N/A</v>
      </c>
      <c r="F44" s="4" t="e">
        <f>INDEX(Employee!G:G,MATCH(AK44,Employee!B:B,0))</f>
        <v>#N/A</v>
      </c>
      <c r="G44" s="4" t="s">
        <v>17</v>
      </c>
      <c r="I44" s="4" t="str">
        <f t="shared" si="3"/>
        <v>LAP0029</v>
      </c>
      <c r="J44" s="4" t="s">
        <v>99</v>
      </c>
      <c r="K44" s="4" t="s">
        <v>226</v>
      </c>
      <c r="L44" s="4" t="s">
        <v>50</v>
      </c>
      <c r="M44" s="4" t="str">
        <f t="shared" si="2"/>
        <v>512GB</v>
      </c>
      <c r="N44" s="13" t="b">
        <v>1</v>
      </c>
      <c r="O44" s="13" t="b">
        <v>0</v>
      </c>
      <c r="P44" s="4" t="s">
        <v>227</v>
      </c>
      <c r="Q44" s="14">
        <v>45315</v>
      </c>
      <c r="R44" s="4" t="s">
        <v>102</v>
      </c>
      <c r="S44" s="10">
        <v>25551416</v>
      </c>
      <c r="AE44" s="21"/>
      <c r="AF44" s="4" t="str">
        <f>INDEX(Employee!C:C,MATCH(AG44,Employee!B:B,0))</f>
        <v>Nguyễn Viết Khải</v>
      </c>
      <c r="AG44" s="4" t="s">
        <v>103</v>
      </c>
      <c r="AH44" s="4" t="str">
        <f>INDEX(Employee!D:D,MATCH(AG44,Employee!B:B,0))</f>
        <v>Lead IT Support Engineer</v>
      </c>
      <c r="AI44" s="4" t="str">
        <f>INDEX(Employee!F:F,MATCH(AG44,Employee!B:B,0))</f>
        <v>Tech</v>
      </c>
      <c r="AJ44" s="4" t="e">
        <f>INDEX(Employee!C:C,MATCH(AK44,Employee!B:B,0))</f>
        <v>#N/A</v>
      </c>
      <c r="AL44" s="4" t="e">
        <f>INDEX(Employee!D:D,MATCH(AK44,Employee!B:B,0))</f>
        <v>#N/A</v>
      </c>
      <c r="AM44" s="4" t="e">
        <f>INDEX(Employee!F:F,MATCH(AK44,Employee!B:B,0))</f>
        <v>#N/A</v>
      </c>
      <c r="AN44" s="4" t="e">
        <f>INDEX(Employee!H:H,MATCH(AK44,Employee!B:B,0))</f>
        <v>#N/A</v>
      </c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 s="6"/>
    </row>
    <row r="45" spans="1:102" s="4" customFormat="1" hidden="1">
      <c r="A45" s="3">
        <f t="shared" si="4"/>
        <v>44</v>
      </c>
      <c r="B45" s="4" t="s">
        <v>14</v>
      </c>
      <c r="C45" s="4" t="s">
        <v>4</v>
      </c>
      <c r="D45" s="4" t="e">
        <f>INDEX(Employee!E:E,MATCH(AK45,Employee!B:B,0))</f>
        <v>#N/A</v>
      </c>
      <c r="E45" s="4" t="e">
        <f>INDEX(Employee!F:F,MATCH(AK45,Employee!B:B,0))</f>
        <v>#N/A</v>
      </c>
      <c r="F45" s="4" t="e">
        <f>INDEX(Employee!G:G,MATCH(AK45,Employee!B:B,0))</f>
        <v>#N/A</v>
      </c>
      <c r="G45" s="4" t="s">
        <v>15</v>
      </c>
      <c r="I45" s="4" t="str">
        <f t="shared" si="3"/>
        <v>LAP0030</v>
      </c>
      <c r="J45" s="4" t="s">
        <v>99</v>
      </c>
      <c r="K45" s="4" t="s">
        <v>228</v>
      </c>
      <c r="L45" s="7" t="s">
        <v>52</v>
      </c>
      <c r="M45" s="4" t="str">
        <f t="shared" si="2"/>
        <v>256GB</v>
      </c>
      <c r="N45" s="13" t="b">
        <v>1</v>
      </c>
      <c r="O45" s="13" t="b">
        <v>0</v>
      </c>
      <c r="P45" s="4" t="s">
        <v>229</v>
      </c>
      <c r="Q45" s="14">
        <v>43879</v>
      </c>
      <c r="R45" s="4" t="s">
        <v>102</v>
      </c>
      <c r="S45" s="10">
        <v>3727273</v>
      </c>
      <c r="AE45" s="21"/>
      <c r="AF45" s="4" t="str">
        <f>INDEX(Employee!C:C,MATCH(AG45,Employee!B:B,0))</f>
        <v>Nguyễn Viết Khải</v>
      </c>
      <c r="AG45" s="4" t="s">
        <v>103</v>
      </c>
      <c r="AH45" s="4" t="str">
        <f>INDEX(Employee!D:D,MATCH(AG45,Employee!B:B,0))</f>
        <v>Lead IT Support Engineer</v>
      </c>
      <c r="AI45" s="4" t="str">
        <f>INDEX(Employee!F:F,MATCH(AG45,Employee!B:B,0))</f>
        <v>Tech</v>
      </c>
      <c r="AJ45" s="4" t="e">
        <f>INDEX(Employee!C:C,MATCH(AK45,Employee!B:B,0))</f>
        <v>#N/A</v>
      </c>
      <c r="AL45" s="4" t="e">
        <f>INDEX(Employee!D:D,MATCH(AK45,Employee!B:B,0))</f>
        <v>#N/A</v>
      </c>
      <c r="AM45" s="4" t="e">
        <f>INDEX(Employee!F:F,MATCH(AK45,Employee!B:B,0))</f>
        <v>#N/A</v>
      </c>
      <c r="AN45" s="4" t="e">
        <f>INDEX(Employee!H:H,MATCH(AK45,Employee!B:B,0))</f>
        <v>#N/A</v>
      </c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 s="6"/>
    </row>
    <row r="46" spans="1:102" s="4" customFormat="1" hidden="1">
      <c r="A46" s="3">
        <f t="shared" si="4"/>
        <v>45</v>
      </c>
      <c r="B46" s="4" t="s">
        <v>14</v>
      </c>
      <c r="C46" s="4" t="s">
        <v>3</v>
      </c>
      <c r="D46" s="4" t="str">
        <f>INDEX(Employee!E:E,MATCH(AK46,Employee!B:B,0))</f>
        <v>Project</v>
      </c>
      <c r="E46" s="4" t="str">
        <f>INDEX(Employee!F:F,MATCH(AK46,Employee!B:B,0))</f>
        <v>Data</v>
      </c>
      <c r="F46" s="4" t="str">
        <f>INDEX(Employee!G:G,MATCH(AK46,Employee!B:B,0))</f>
        <v>Resource Pool</v>
      </c>
      <c r="G46" s="4" t="s">
        <v>15</v>
      </c>
      <c r="I46" s="4" t="str">
        <f t="shared" si="3"/>
        <v>LAP0031</v>
      </c>
      <c r="J46" s="4" t="s">
        <v>99</v>
      </c>
      <c r="K46" s="7" t="s">
        <v>121</v>
      </c>
      <c r="L46" s="7" t="s">
        <v>48</v>
      </c>
      <c r="M46" s="4" t="str">
        <f t="shared" si="2"/>
        <v>256GB</v>
      </c>
      <c r="N46" s="13" t="b">
        <v>1</v>
      </c>
      <c r="O46" s="13" t="b">
        <v>0</v>
      </c>
      <c r="P46" s="4" t="s">
        <v>230</v>
      </c>
      <c r="Q46" s="14">
        <v>44748</v>
      </c>
      <c r="R46" s="4" t="s">
        <v>102</v>
      </c>
      <c r="S46" s="10">
        <v>6135245</v>
      </c>
      <c r="AE46" s="21"/>
      <c r="AF46" s="4" t="str">
        <f>INDEX(Employee!C:C,MATCH(AG46,Employee!B:B,0))</f>
        <v>Nguyễn Viết Khải</v>
      </c>
      <c r="AG46" s="4" t="s">
        <v>103</v>
      </c>
      <c r="AH46" s="4" t="str">
        <f>INDEX(Employee!D:D,MATCH(AG46,Employee!B:B,0))</f>
        <v>Lead IT Support Engineer</v>
      </c>
      <c r="AI46" s="4" t="str">
        <f>INDEX(Employee!F:F,MATCH(AG46,Employee!B:B,0))</f>
        <v>Tech</v>
      </c>
      <c r="AJ46" s="4" t="str">
        <f>INDEX(Employee!C:C,MATCH(AK46,Employee!B:B,0))</f>
        <v>Phạm Bằng</v>
      </c>
      <c r="AK46" s="4" t="s">
        <v>147</v>
      </c>
      <c r="AL46" s="4" t="str">
        <f>INDEX(Employee!D:D,MATCH(AK46,Employee!B:B,0))</f>
        <v>Fresher Data Engineer</v>
      </c>
      <c r="AM46" s="4" t="str">
        <f>INDEX(Employee!F:F,MATCH(AK46,Employee!B:B,0))</f>
        <v>Data</v>
      </c>
      <c r="AN46" s="4" t="str">
        <f>INDEX(Employee!H:H,MATCH(AK46,Employee!B:B,0))</f>
        <v>Đoàn Hải Nam</v>
      </c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 s="6"/>
    </row>
    <row r="47" spans="1:102" s="4" customFormat="1" hidden="1">
      <c r="A47" s="3">
        <f t="shared" si="4"/>
        <v>46</v>
      </c>
      <c r="B47" s="4" t="s">
        <v>14</v>
      </c>
      <c r="C47" s="4" t="s">
        <v>4</v>
      </c>
      <c r="D47" s="4" t="e">
        <f>INDEX(Employee!E:E,MATCH(AK47,Employee!B:B,0))</f>
        <v>#N/A</v>
      </c>
      <c r="E47" s="4" t="e">
        <f>INDEX(Employee!F:F,MATCH(AK47,Employee!B:B,0))</f>
        <v>#N/A</v>
      </c>
      <c r="F47" s="4" t="e">
        <f>INDEX(Employee!G:G,MATCH(AK47,Employee!B:B,0))</f>
        <v>#N/A</v>
      </c>
      <c r="G47" s="4" t="s">
        <v>15</v>
      </c>
      <c r="I47" s="4" t="str">
        <f t="shared" si="3"/>
        <v>LAP0032</v>
      </c>
      <c r="J47" s="4" t="s">
        <v>115</v>
      </c>
      <c r="K47" s="7" t="s">
        <v>164</v>
      </c>
      <c r="L47" s="7" t="s">
        <v>52</v>
      </c>
      <c r="M47" s="4" t="str">
        <f t="shared" si="2"/>
        <v>256GB</v>
      </c>
      <c r="N47" s="13" t="b">
        <v>1</v>
      </c>
      <c r="O47" s="13" t="b">
        <v>1</v>
      </c>
      <c r="P47" s="4" t="s">
        <v>231</v>
      </c>
      <c r="Q47" s="14">
        <v>44642</v>
      </c>
      <c r="R47" s="4" t="s">
        <v>102</v>
      </c>
      <c r="S47" s="10">
        <v>2512400</v>
      </c>
      <c r="AE47" s="21"/>
      <c r="AF47" s="4" t="str">
        <f>INDEX(Employee!C:C,MATCH(AG47,Employee!B:B,0))</f>
        <v>Nguyễn Viết Khải</v>
      </c>
      <c r="AG47" s="4" t="s">
        <v>103</v>
      </c>
      <c r="AH47" s="4" t="str">
        <f>INDEX(Employee!D:D,MATCH(AG47,Employee!B:B,0))</f>
        <v>Lead IT Support Engineer</v>
      </c>
      <c r="AI47" s="4" t="str">
        <f>INDEX(Employee!F:F,MATCH(AG47,Employee!B:B,0))</f>
        <v>Tech</v>
      </c>
      <c r="AJ47" s="4" t="e">
        <f>INDEX(Employee!C:C,MATCH(AK47,Employee!B:B,0))</f>
        <v>#N/A</v>
      </c>
      <c r="AL47" s="4" t="e">
        <f>INDEX(Employee!D:D,MATCH(AK47,Employee!B:B,0))</f>
        <v>#N/A</v>
      </c>
      <c r="AM47" s="4" t="e">
        <f>INDEX(Employee!F:F,MATCH(AK47,Employee!B:B,0))</f>
        <v>#N/A</v>
      </c>
      <c r="AN47" s="4" t="e">
        <f>INDEX(Employee!H:H,MATCH(AK47,Employee!B:B,0))</f>
        <v>#N/A</v>
      </c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 s="6"/>
    </row>
    <row r="48" spans="1:102" s="4" customFormat="1" hidden="1">
      <c r="A48" s="3">
        <f t="shared" si="4"/>
        <v>47</v>
      </c>
      <c r="B48" s="4" t="s">
        <v>18</v>
      </c>
      <c r="C48" s="4" t="s">
        <v>4</v>
      </c>
      <c r="D48" s="4" t="e">
        <f>INDEX(Employee!E:E,MATCH(AK48,Employee!B:B,0))</f>
        <v>#N/A</v>
      </c>
      <c r="E48" s="4" t="e">
        <f>INDEX(Employee!F:F,MATCH(AK48,Employee!B:B,0))</f>
        <v>#N/A</v>
      </c>
      <c r="F48" s="4" t="e">
        <f>INDEX(Employee!G:G,MATCH(AK48,Employee!B:B,0))</f>
        <v>#N/A</v>
      </c>
      <c r="G48" s="4" t="s">
        <v>15</v>
      </c>
      <c r="I48" s="4" t="s">
        <v>232</v>
      </c>
      <c r="J48" s="4" t="s">
        <v>111</v>
      </c>
      <c r="K48" s="4" t="s">
        <v>112</v>
      </c>
      <c r="N48" s="13" t="b">
        <v>0</v>
      </c>
      <c r="O48" s="13" t="b">
        <v>0</v>
      </c>
      <c r="P48" s="4" t="s">
        <v>233</v>
      </c>
      <c r="Q48" s="14">
        <v>45107</v>
      </c>
      <c r="R48" s="4" t="s">
        <v>102</v>
      </c>
      <c r="S48" s="10">
        <v>19300</v>
      </c>
      <c r="AF48" s="4" t="str">
        <f>INDEX(Employee!C:C,MATCH(AG48,Employee!B:B,0))</f>
        <v>Nguyễn Viết Khải</v>
      </c>
      <c r="AG48" s="4" t="s">
        <v>103</v>
      </c>
      <c r="AH48" s="4" t="str">
        <f>INDEX(Employee!D:D,MATCH(AG48,Employee!B:B,0))</f>
        <v>Lead IT Support Engineer</v>
      </c>
      <c r="AI48" s="4" t="str">
        <f>INDEX(Employee!F:F,MATCH(AG48,Employee!B:B,0))</f>
        <v>Tech</v>
      </c>
      <c r="AJ48" s="4" t="e">
        <f>INDEX(Employee!C:C,MATCH(AK48,Employee!B:B,0))</f>
        <v>#N/A</v>
      </c>
      <c r="AL48" s="4" t="e">
        <f>INDEX(Employee!D:D,MATCH(AK48,Employee!B:B,0))</f>
        <v>#N/A</v>
      </c>
      <c r="AM48" s="4" t="e">
        <f>INDEX(Employee!F:F,MATCH(AK48,Employee!B:B,0))</f>
        <v>#N/A</v>
      </c>
      <c r="AN48" s="4" t="e">
        <f>INDEX(Employee!H:H,MATCH(AK48,Employee!B:B,0))</f>
        <v>#N/A</v>
      </c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 s="6"/>
    </row>
    <row r="49" spans="1:102" s="4" customFormat="1" hidden="1">
      <c r="A49" s="3">
        <f t="shared" si="4"/>
        <v>48</v>
      </c>
      <c r="B49" s="4" t="s">
        <v>14</v>
      </c>
      <c r="C49" s="4" t="s">
        <v>4</v>
      </c>
      <c r="D49" s="4" t="e">
        <f>INDEX(Employee!E:E,MATCH(AK49,Employee!B:B,0))</f>
        <v>#N/A</v>
      </c>
      <c r="E49" s="4" t="e">
        <f>INDEX(Employee!F:F,MATCH(AK49,Employee!B:B,0))</f>
        <v>#N/A</v>
      </c>
      <c r="F49" s="4" t="e">
        <f>INDEX(Employee!G:G,MATCH(AK49,Employee!B:B,0))</f>
        <v>#N/A</v>
      </c>
      <c r="G49" s="4" t="s">
        <v>15</v>
      </c>
      <c r="I49" s="4" t="s">
        <v>234</v>
      </c>
      <c r="J49" s="4" t="s">
        <v>115</v>
      </c>
      <c r="K49" s="7" t="s">
        <v>164</v>
      </c>
      <c r="L49" s="7" t="s">
        <v>52</v>
      </c>
      <c r="M49" s="4" t="str">
        <f t="shared" ref="M49:M57" si="5">RIGHT(K49,5)</f>
        <v>256GB</v>
      </c>
      <c r="N49" s="13" t="b">
        <v>1</v>
      </c>
      <c r="O49" s="13" t="b">
        <v>1</v>
      </c>
      <c r="P49" s="4" t="s">
        <v>235</v>
      </c>
      <c r="Q49" s="14">
        <v>44145</v>
      </c>
      <c r="R49" s="4" t="s">
        <v>102</v>
      </c>
      <c r="S49" s="10">
        <v>2553000</v>
      </c>
      <c r="AE49" s="21"/>
      <c r="AF49" s="4" t="str">
        <f>INDEX(Employee!C:C,MATCH(AG49,Employee!B:B,0))</f>
        <v>Nguyễn Viết Khải</v>
      </c>
      <c r="AG49" s="4" t="s">
        <v>103</v>
      </c>
      <c r="AH49" s="4" t="str">
        <f>INDEX(Employee!D:D,MATCH(AG49,Employee!B:B,0))</f>
        <v>Lead IT Support Engineer</v>
      </c>
      <c r="AI49" s="4" t="str">
        <f>INDEX(Employee!F:F,MATCH(AG49,Employee!B:B,0))</f>
        <v>Tech</v>
      </c>
      <c r="AJ49" s="4" t="e">
        <f>INDEX(Employee!C:C,MATCH(AK49,Employee!B:B,0))</f>
        <v>#N/A</v>
      </c>
      <c r="AL49" s="4" t="e">
        <f>INDEX(Employee!D:D,MATCH(AK49,Employee!B:B,0))</f>
        <v>#N/A</v>
      </c>
      <c r="AM49" s="4" t="e">
        <f>INDEX(Employee!F:F,MATCH(AK49,Employee!B:B,0))</f>
        <v>#N/A</v>
      </c>
      <c r="AN49" s="4" t="e">
        <f>INDEX(Employee!H:H,MATCH(AK49,Employee!B:B,0))</f>
        <v>#N/A</v>
      </c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 s="6"/>
    </row>
    <row r="50" spans="1:102" s="4" customFormat="1" hidden="1">
      <c r="A50" s="3">
        <f t="shared" si="4"/>
        <v>49</v>
      </c>
      <c r="B50" s="4" t="s">
        <v>14</v>
      </c>
      <c r="C50" s="4" t="s">
        <v>3</v>
      </c>
      <c r="D50" s="4" t="str">
        <f>INDEX(Employee!E:E,MATCH(AK50,Employee!B:B,0))</f>
        <v>AM</v>
      </c>
      <c r="E50" s="4" t="str">
        <f>INDEX(Employee!F:F,MATCH(AK50,Employee!B:B,0))</f>
        <v>Sales</v>
      </c>
      <c r="F50" s="4" t="str">
        <f>INDEX(Employee!G:G,MATCH(AK50,Employee!B:B,0))</f>
        <v>Resource Pool</v>
      </c>
      <c r="G50" s="4" t="s">
        <v>15</v>
      </c>
      <c r="H50" s="4" t="s">
        <v>236</v>
      </c>
      <c r="I50" s="4" t="str">
        <f t="shared" ref="I50:I57" si="6">IF(I49="","", "LAP"&amp;TEXT(VALUE(RIGHT(I49,4))+1,"0000"))</f>
        <v>LAP0034</v>
      </c>
      <c r="J50" s="4" t="s">
        <v>115</v>
      </c>
      <c r="K50" s="7" t="s">
        <v>164</v>
      </c>
      <c r="L50" s="7" t="s">
        <v>52</v>
      </c>
      <c r="M50" s="4" t="str">
        <f t="shared" si="5"/>
        <v>256GB</v>
      </c>
      <c r="N50" s="13" t="b">
        <v>1</v>
      </c>
      <c r="O50" s="13" t="b">
        <v>1</v>
      </c>
      <c r="P50" s="4" t="s">
        <v>237</v>
      </c>
      <c r="Q50" s="14">
        <v>45420</v>
      </c>
      <c r="R50" s="4" t="s">
        <v>102</v>
      </c>
      <c r="S50" s="10">
        <v>25413973</v>
      </c>
      <c r="AE50" s="21"/>
      <c r="AF50" s="4" t="str">
        <f>INDEX(Employee!C:C,MATCH(AG50,Employee!B:B,0))</f>
        <v>Nguyễn Viết Khải</v>
      </c>
      <c r="AG50" s="4" t="s">
        <v>103</v>
      </c>
      <c r="AH50" s="4" t="str">
        <f>INDEX(Employee!D:D,MATCH(AG50,Employee!B:B,0))</f>
        <v>Lead IT Support Engineer</v>
      </c>
      <c r="AI50" s="4" t="str">
        <f>INDEX(Employee!F:F,MATCH(AG50,Employee!B:B,0))</f>
        <v>Tech</v>
      </c>
      <c r="AJ50" s="4" t="str">
        <f>INDEX(Employee!C:C,MATCH(AK50,Employee!B:B,0))</f>
        <v>Bùi Tuấn Huy</v>
      </c>
      <c r="AK50" s="4" t="s">
        <v>238</v>
      </c>
      <c r="AL50" s="4" t="str">
        <f>INDEX(Employee!D:D,MATCH(AK50,Employee!B:B,0))</f>
        <v>Regional Business Manager</v>
      </c>
      <c r="AM50" s="4" t="str">
        <f>INDEX(Employee!F:F,MATCH(AK50,Employee!B:B,0))</f>
        <v>Sales</v>
      </c>
      <c r="AN50" s="4" t="str">
        <f>INDEX(Employee!H:H,MATCH(AK50,Employee!B:B,0))</f>
        <v>Đoàn Hải Nam</v>
      </c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 s="6"/>
    </row>
    <row r="51" spans="1:102" s="4" customFormat="1" hidden="1">
      <c r="A51" s="3">
        <f t="shared" si="4"/>
        <v>50</v>
      </c>
      <c r="B51" s="4" t="s">
        <v>14</v>
      </c>
      <c r="C51" s="4" t="s">
        <v>6</v>
      </c>
      <c r="D51" s="4">
        <f>INDEX(Employee!E:E,MATCH(AK51,Employee!B:B,0))</f>
        <v>0</v>
      </c>
      <c r="E51" s="4" t="str">
        <f>INDEX(Employee!F:F,MATCH(AK51,Employee!B:B,0))</f>
        <v>Data</v>
      </c>
      <c r="F51" s="4">
        <f>INDEX(Employee!G:G,MATCH(AK51,Employee!B:B,0))</f>
        <v>0</v>
      </c>
      <c r="G51" s="4" t="s">
        <v>119</v>
      </c>
      <c r="I51" s="4" t="str">
        <f t="shared" si="6"/>
        <v>LAP0035</v>
      </c>
      <c r="J51" s="4" t="s">
        <v>99</v>
      </c>
      <c r="K51" s="7" t="s">
        <v>121</v>
      </c>
      <c r="L51" s="7" t="s">
        <v>48</v>
      </c>
      <c r="M51" s="4" t="str">
        <f t="shared" si="5"/>
        <v>256GB</v>
      </c>
      <c r="N51" s="13" t="b">
        <v>0</v>
      </c>
      <c r="O51" s="13" t="b">
        <v>0</v>
      </c>
      <c r="P51" s="4" t="s">
        <v>239</v>
      </c>
      <c r="Q51" s="14">
        <v>44495</v>
      </c>
      <c r="R51" s="4" t="s">
        <v>102</v>
      </c>
      <c r="S51" s="10">
        <v>3300000</v>
      </c>
      <c r="AE51" s="21"/>
      <c r="AF51" s="4" t="str">
        <f>INDEX(Employee!C:C,MATCH(AG51,Employee!B:B,0))</f>
        <v>Nguyễn Viết Khải</v>
      </c>
      <c r="AG51" s="4" t="s">
        <v>103</v>
      </c>
      <c r="AH51" s="4" t="str">
        <f>INDEX(Employee!D:D,MATCH(AG51,Employee!B:B,0))</f>
        <v>Lead IT Support Engineer</v>
      </c>
      <c r="AI51" s="4" t="str">
        <f>INDEX(Employee!F:F,MATCH(AG51,Employee!B:B,0))</f>
        <v>Tech</v>
      </c>
      <c r="AJ51" s="4" t="str">
        <f>INDEX(Employee!C:C,MATCH(AK51,Employee!B:B,0))</f>
        <v>Trần Huyền Thanh</v>
      </c>
      <c r="AK51" s="4" t="s">
        <v>240</v>
      </c>
      <c r="AL51" s="4" t="str">
        <f>INDEX(Employee!D:D,MATCH(AK51,Employee!B:B,0))</f>
        <v>Data Specialist</v>
      </c>
      <c r="AM51" s="4" t="str">
        <f>INDEX(Employee!F:F,MATCH(AK51,Employee!B:B,0))</f>
        <v>Data</v>
      </c>
      <c r="AN51" s="4" t="str">
        <f>INDEX(Employee!H:H,MATCH(AK51,Employee!B:B,0))</f>
        <v>Aleksandar Jelic (jelica)</v>
      </c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 s="6"/>
    </row>
    <row r="52" spans="1:102" s="4" customFormat="1" hidden="1">
      <c r="A52" s="3">
        <f t="shared" si="4"/>
        <v>51</v>
      </c>
      <c r="B52" s="4" t="s">
        <v>14</v>
      </c>
      <c r="C52" s="4" t="s">
        <v>4</v>
      </c>
      <c r="D52" s="4" t="e">
        <f>INDEX(Employee!E:E,MATCH(AK52,Employee!B:B,0))</f>
        <v>#N/A</v>
      </c>
      <c r="E52" s="4" t="e">
        <f>INDEX(Employee!F:F,MATCH(AK52,Employee!B:B,0))</f>
        <v>#N/A</v>
      </c>
      <c r="F52" s="4" t="e">
        <f>INDEX(Employee!G:G,MATCH(AK52,Employee!B:B,0))</f>
        <v>#N/A</v>
      </c>
      <c r="G52" s="4" t="s">
        <v>15</v>
      </c>
      <c r="I52" s="4" t="str">
        <f t="shared" si="6"/>
        <v>LAP0036</v>
      </c>
      <c r="J52" s="4" t="s">
        <v>115</v>
      </c>
      <c r="K52" s="7" t="s">
        <v>164</v>
      </c>
      <c r="L52" s="7" t="s">
        <v>52</v>
      </c>
      <c r="M52" s="4" t="str">
        <f t="shared" si="5"/>
        <v>256GB</v>
      </c>
      <c r="N52" s="13" t="b">
        <v>1</v>
      </c>
      <c r="O52" s="13" t="b">
        <v>1</v>
      </c>
      <c r="P52" s="4" t="s">
        <v>241</v>
      </c>
      <c r="Q52" s="14">
        <v>45420</v>
      </c>
      <c r="R52" s="4" t="s">
        <v>102</v>
      </c>
      <c r="S52" s="10">
        <v>25413973</v>
      </c>
      <c r="AE52" s="21"/>
      <c r="AF52" s="4" t="str">
        <f>INDEX(Employee!C:C,MATCH(AG52,Employee!B:B,0))</f>
        <v>Nguyễn Viết Khải</v>
      </c>
      <c r="AG52" s="4" t="s">
        <v>103</v>
      </c>
      <c r="AH52" s="4" t="str">
        <f>INDEX(Employee!D:D,MATCH(AG52,Employee!B:B,0))</f>
        <v>Lead IT Support Engineer</v>
      </c>
      <c r="AI52" s="4" t="str">
        <f>INDEX(Employee!F:F,MATCH(AG52,Employee!B:B,0))</f>
        <v>Tech</v>
      </c>
      <c r="AJ52" s="4" t="e">
        <f>INDEX(Employee!C:C,MATCH(AK52,Employee!B:B,0))</f>
        <v>#N/A</v>
      </c>
      <c r="AL52" s="4" t="e">
        <f>INDEX(Employee!D:D,MATCH(AK52,Employee!B:B,0))</f>
        <v>#N/A</v>
      </c>
      <c r="AM52" s="4" t="e">
        <f>INDEX(Employee!F:F,MATCH(AK52,Employee!B:B,0))</f>
        <v>#N/A</v>
      </c>
      <c r="AN52" s="4" t="e">
        <f>INDEX(Employee!H:H,MATCH(AK52,Employee!B:B,0))</f>
        <v>#N/A</v>
      </c>
      <c r="AS52" s="4" t="s">
        <v>242</v>
      </c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 s="6"/>
    </row>
    <row r="53" spans="1:102" s="4" customFormat="1" hidden="1">
      <c r="A53" s="3">
        <f t="shared" si="4"/>
        <v>52</v>
      </c>
      <c r="B53" s="4" t="s">
        <v>14</v>
      </c>
      <c r="C53" s="4" t="s">
        <v>4</v>
      </c>
      <c r="D53" s="4" t="e">
        <f>INDEX(Employee!E:E,MATCH(AK53,Employee!B:B,0))</f>
        <v>#N/A</v>
      </c>
      <c r="E53" s="4" t="e">
        <f>INDEX(Employee!F:F,MATCH(AK53,Employee!B:B,0))</f>
        <v>#N/A</v>
      </c>
      <c r="F53" s="4" t="e">
        <f>INDEX(Employee!G:G,MATCH(AK53,Employee!B:B,0))</f>
        <v>#N/A</v>
      </c>
      <c r="G53" s="4" t="s">
        <v>15</v>
      </c>
      <c r="I53" s="4" t="str">
        <f t="shared" si="6"/>
        <v>LAP0037</v>
      </c>
      <c r="J53" s="4" t="s">
        <v>115</v>
      </c>
      <c r="K53" s="7" t="s">
        <v>137</v>
      </c>
      <c r="L53" s="7" t="s">
        <v>52</v>
      </c>
      <c r="M53" s="4" t="str">
        <f t="shared" si="5"/>
        <v>256GB</v>
      </c>
      <c r="N53" s="13" t="b">
        <v>1</v>
      </c>
      <c r="O53" s="13" t="b">
        <v>1</v>
      </c>
      <c r="P53" s="4" t="s">
        <v>243</v>
      </c>
      <c r="Q53" s="14">
        <v>44680</v>
      </c>
      <c r="R53" s="4" t="s">
        <v>102</v>
      </c>
      <c r="S53" s="10">
        <v>2891557</v>
      </c>
      <c r="AE53" s="21"/>
      <c r="AF53" s="4" t="str">
        <f>INDEX(Employee!C:C,MATCH(AG53,Employee!B:B,0))</f>
        <v>Nguyễn Viết Khải</v>
      </c>
      <c r="AG53" s="4" t="s">
        <v>103</v>
      </c>
      <c r="AH53" s="4" t="str">
        <f>INDEX(Employee!D:D,MATCH(AG53,Employee!B:B,0))</f>
        <v>Lead IT Support Engineer</v>
      </c>
      <c r="AI53" s="4" t="str">
        <f>INDEX(Employee!F:F,MATCH(AG53,Employee!B:B,0))</f>
        <v>Tech</v>
      </c>
      <c r="AJ53" s="4" t="e">
        <f>INDEX(Employee!C:C,MATCH(AK53,Employee!B:B,0))</f>
        <v>#N/A</v>
      </c>
      <c r="AL53" s="4" t="e">
        <f>INDEX(Employee!D:D,MATCH(AK53,Employee!B:B,0))</f>
        <v>#N/A</v>
      </c>
      <c r="AM53" s="4" t="e">
        <f>INDEX(Employee!F:F,MATCH(AK53,Employee!B:B,0))</f>
        <v>#N/A</v>
      </c>
      <c r="AN53" s="4" t="e">
        <f>INDEX(Employee!H:H,MATCH(AK53,Employee!B:B,0))</f>
        <v>#N/A</v>
      </c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 s="6"/>
    </row>
    <row r="54" spans="1:102" s="4" customFormat="1" hidden="1">
      <c r="A54" s="3">
        <f t="shared" si="4"/>
        <v>53</v>
      </c>
      <c r="B54" s="4" t="s">
        <v>14</v>
      </c>
      <c r="C54" s="4" t="s">
        <v>4</v>
      </c>
      <c r="D54" s="4" t="e">
        <f>INDEX(Employee!E:E,MATCH(AK54,Employee!B:B,0))</f>
        <v>#N/A</v>
      </c>
      <c r="E54" s="4" t="e">
        <f>INDEX(Employee!F:F,MATCH(AK54,Employee!B:B,0))</f>
        <v>#N/A</v>
      </c>
      <c r="F54" s="4" t="e">
        <f>INDEX(Employee!G:G,MATCH(AK54,Employee!B:B,0))</f>
        <v>#N/A</v>
      </c>
      <c r="G54" s="4" t="s">
        <v>15</v>
      </c>
      <c r="I54" s="4" t="str">
        <f t="shared" si="6"/>
        <v>LAP0038</v>
      </c>
      <c r="J54" s="4" t="s">
        <v>115</v>
      </c>
      <c r="K54" s="7" t="s">
        <v>164</v>
      </c>
      <c r="L54" s="7" t="s">
        <v>52</v>
      </c>
      <c r="M54" s="4" t="str">
        <f t="shared" si="5"/>
        <v>256GB</v>
      </c>
      <c r="N54" s="13" t="b">
        <v>1</v>
      </c>
      <c r="O54" s="13" t="b">
        <v>0</v>
      </c>
      <c r="P54" s="4" t="s">
        <v>244</v>
      </c>
      <c r="Q54" s="14">
        <v>44475</v>
      </c>
      <c r="R54" s="4" t="s">
        <v>102</v>
      </c>
      <c r="S54" s="10">
        <v>2508000</v>
      </c>
      <c r="AE54" s="21"/>
      <c r="AF54" s="4" t="str">
        <f>INDEX(Employee!C:C,MATCH(AG54,Employee!B:B,0))</f>
        <v>Nguyễn Viết Khải</v>
      </c>
      <c r="AG54" s="4" t="s">
        <v>103</v>
      </c>
      <c r="AH54" s="4" t="str">
        <f>INDEX(Employee!D:D,MATCH(AG54,Employee!B:B,0))</f>
        <v>Lead IT Support Engineer</v>
      </c>
      <c r="AI54" s="4" t="str">
        <f>INDEX(Employee!F:F,MATCH(AG54,Employee!B:B,0))</f>
        <v>Tech</v>
      </c>
      <c r="AJ54" s="4" t="e">
        <f>INDEX(Employee!C:C,MATCH(AK54,Employee!B:B,0))</f>
        <v>#N/A</v>
      </c>
      <c r="AL54" s="4" t="e">
        <f>INDEX(Employee!D:D,MATCH(AK54,Employee!B:B,0))</f>
        <v>#N/A</v>
      </c>
      <c r="AM54" s="4" t="e">
        <f>INDEX(Employee!F:F,MATCH(AK54,Employee!B:B,0))</f>
        <v>#N/A</v>
      </c>
      <c r="AN54" s="4" t="e">
        <f>INDEX(Employee!H:H,MATCH(AK54,Employee!B:B,0))</f>
        <v>#N/A</v>
      </c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 s="6"/>
    </row>
    <row r="55" spans="1:102" s="4" customFormat="1" hidden="1">
      <c r="A55" s="3">
        <f t="shared" si="4"/>
        <v>54</v>
      </c>
      <c r="B55" s="4" t="s">
        <v>14</v>
      </c>
      <c r="C55" s="4" t="s">
        <v>4</v>
      </c>
      <c r="D55" s="4" t="e">
        <f>INDEX(Employee!E:E,MATCH(AK55,Employee!B:B,0))</f>
        <v>#N/A</v>
      </c>
      <c r="E55" s="4" t="e">
        <f>INDEX(Employee!F:F,MATCH(AK55,Employee!B:B,0))</f>
        <v>#N/A</v>
      </c>
      <c r="F55" s="4" t="e">
        <f>INDEX(Employee!G:G,MATCH(AK55,Employee!B:B,0))</f>
        <v>#N/A</v>
      </c>
      <c r="G55" s="4" t="s">
        <v>15</v>
      </c>
      <c r="I55" s="4" t="str">
        <f t="shared" si="6"/>
        <v>LAP0039</v>
      </c>
      <c r="J55" s="4" t="s">
        <v>115</v>
      </c>
      <c r="K55" s="7" t="s">
        <v>245</v>
      </c>
      <c r="L55" s="7" t="s">
        <v>52</v>
      </c>
      <c r="M55" s="4" t="str">
        <f t="shared" si="5"/>
        <v>256GB</v>
      </c>
      <c r="N55" s="13" t="b">
        <v>1</v>
      </c>
      <c r="O55" s="13" t="b">
        <v>0</v>
      </c>
      <c r="P55" s="4" t="s">
        <v>246</v>
      </c>
      <c r="Q55" s="14">
        <v>44743</v>
      </c>
      <c r="R55" s="4" t="s">
        <v>102</v>
      </c>
      <c r="S55" s="10">
        <v>2988335</v>
      </c>
      <c r="AE55" s="21"/>
      <c r="AF55" s="4" t="str">
        <f>INDEX(Employee!C:C,MATCH(AG55,Employee!B:B,0))</f>
        <v>Nguyễn Viết Khải</v>
      </c>
      <c r="AG55" s="4" t="s">
        <v>103</v>
      </c>
      <c r="AH55" s="4" t="str">
        <f>INDEX(Employee!D:D,MATCH(AG55,Employee!B:B,0))</f>
        <v>Lead IT Support Engineer</v>
      </c>
      <c r="AI55" s="4" t="str">
        <f>INDEX(Employee!F:F,MATCH(AG55,Employee!B:B,0))</f>
        <v>Tech</v>
      </c>
      <c r="AJ55" s="4" t="e">
        <f>INDEX(Employee!C:C,MATCH(AK55,Employee!B:B,0))</f>
        <v>#N/A</v>
      </c>
      <c r="AL55" s="4" t="e">
        <f>INDEX(Employee!D:D,MATCH(AK55,Employee!B:B,0))</f>
        <v>#N/A</v>
      </c>
      <c r="AM55" s="4" t="e">
        <f>INDEX(Employee!F:F,MATCH(AK55,Employee!B:B,0))</f>
        <v>#N/A</v>
      </c>
      <c r="AN55" s="4" t="e">
        <f>INDEX(Employee!H:H,MATCH(AK55,Employee!B:B,0))</f>
        <v>#N/A</v>
      </c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 s="6"/>
    </row>
    <row r="56" spans="1:102" s="4" customFormat="1" hidden="1">
      <c r="A56" s="3">
        <f t="shared" si="4"/>
        <v>55</v>
      </c>
      <c r="B56" s="4" t="s">
        <v>14</v>
      </c>
      <c r="C56" s="4" t="s">
        <v>3</v>
      </c>
      <c r="D56" s="4">
        <f>INDEX(Employee!E:E,MATCH(AK56,Employee!B:B,0))</f>
        <v>0</v>
      </c>
      <c r="E56" s="4" t="str">
        <f>INDEX(Employee!F:F,MATCH(AK56,Employee!B:B,0))</f>
        <v>Tech</v>
      </c>
      <c r="F56" s="4">
        <f>INDEX(Employee!G:G,MATCH(AK56,Employee!B:B,0))</f>
        <v>0</v>
      </c>
      <c r="G56" s="4" t="s">
        <v>119</v>
      </c>
      <c r="I56" s="4" t="str">
        <f t="shared" si="6"/>
        <v>LAP0040</v>
      </c>
      <c r="J56" s="4" t="s">
        <v>99</v>
      </c>
      <c r="K56" s="4" t="s">
        <v>100</v>
      </c>
      <c r="L56" s="4" t="s">
        <v>49</v>
      </c>
      <c r="M56" s="4" t="str">
        <f t="shared" si="5"/>
        <v>256GB</v>
      </c>
      <c r="N56" s="13" t="b">
        <v>0</v>
      </c>
      <c r="O56" s="13" t="b">
        <v>0</v>
      </c>
      <c r="P56" s="4" t="s">
        <v>247</v>
      </c>
      <c r="Q56" s="14">
        <v>44844</v>
      </c>
      <c r="R56" s="4" t="s">
        <v>102</v>
      </c>
      <c r="S56" s="10">
        <v>24710000</v>
      </c>
      <c r="AE56" s="21"/>
      <c r="AF56" s="4" t="str">
        <f>INDEX(Employee!C:C,MATCH(AG56,Employee!B:B,0))</f>
        <v>Nguyễn Viết Khải</v>
      </c>
      <c r="AG56" s="4" t="s">
        <v>103</v>
      </c>
      <c r="AH56" s="4" t="str">
        <f>INDEX(Employee!D:D,MATCH(AG56,Employee!B:B,0))</f>
        <v>Lead IT Support Engineer</v>
      </c>
      <c r="AI56" s="4" t="str">
        <f>INDEX(Employee!F:F,MATCH(AG56,Employee!B:B,0))</f>
        <v>Tech</v>
      </c>
      <c r="AJ56" s="4" t="str">
        <f>INDEX(Employee!C:C,MATCH(AK56,Employee!B:B,0))</f>
        <v>Nguyễn Hải Đăng</v>
      </c>
      <c r="AK56" s="4" t="s">
        <v>248</v>
      </c>
      <c r="AL56" s="4" t="str">
        <f>INDEX(Employee!D:D,MATCH(AK56,Employee!B:B,0))</f>
        <v>Associate QC Engineer</v>
      </c>
      <c r="AM56" s="4" t="str">
        <f>INDEX(Employee!F:F,MATCH(AK56,Employee!B:B,0))</f>
        <v>Tech</v>
      </c>
      <c r="AN56" s="4" t="str">
        <f>INDEX(Employee!H:H,MATCH(AK56,Employee!B:B,0))</f>
        <v>Trịnh Trần Minh Tuấn (tuanttm)</v>
      </c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 s="6"/>
    </row>
    <row r="57" spans="1:102" s="4" customFormat="1" hidden="1">
      <c r="A57" s="3">
        <f t="shared" si="4"/>
        <v>56</v>
      </c>
      <c r="B57" s="4" t="s">
        <v>14</v>
      </c>
      <c r="C57" s="4" t="s">
        <v>3</v>
      </c>
      <c r="D57" s="4" t="str">
        <f>INDEX(Employee!E:E,MATCH(AK57,Employee!B:B,0))</f>
        <v>BO</v>
      </c>
      <c r="E57" s="4" t="str">
        <f>INDEX(Employee!F:F,MATCH(AK57,Employee!B:B,0))</f>
        <v>Business Support</v>
      </c>
      <c r="F57" s="4" t="str">
        <f>INDEX(Employee!G:G,MATCH(AK57,Employee!B:B,0))</f>
        <v>Operation Team</v>
      </c>
      <c r="G57" s="4" t="s">
        <v>15</v>
      </c>
      <c r="I57" s="4" t="str">
        <f t="shared" si="6"/>
        <v>LAP0041</v>
      </c>
      <c r="J57" s="4" t="s">
        <v>115</v>
      </c>
      <c r="K57" s="7" t="s">
        <v>160</v>
      </c>
      <c r="L57" s="7" t="s">
        <v>52</v>
      </c>
      <c r="M57" s="4" t="str">
        <f t="shared" si="5"/>
        <v>256GB</v>
      </c>
      <c r="N57" s="13" t="b">
        <v>1</v>
      </c>
      <c r="O57" s="13" t="b">
        <v>1</v>
      </c>
      <c r="P57" s="4" t="s">
        <v>249</v>
      </c>
      <c r="Q57" s="14">
        <v>44800</v>
      </c>
      <c r="R57" s="4" t="s">
        <v>102</v>
      </c>
      <c r="S57" s="10">
        <v>2565000</v>
      </c>
      <c r="AE57" s="21"/>
      <c r="AF57" s="4" t="str">
        <f>INDEX(Employee!C:C,MATCH(AG57,Employee!B:B,0))</f>
        <v>Nguyễn Viết Khải</v>
      </c>
      <c r="AG57" s="4" t="s">
        <v>103</v>
      </c>
      <c r="AH57" s="4" t="str">
        <f>INDEX(Employee!D:D,MATCH(AG57,Employee!B:B,0))</f>
        <v>Lead IT Support Engineer</v>
      </c>
      <c r="AI57" s="4" t="str">
        <f>INDEX(Employee!F:F,MATCH(AG57,Employee!B:B,0))</f>
        <v>Tech</v>
      </c>
      <c r="AJ57" s="4" t="str">
        <f>INDEX(Employee!C:C,MATCH(AK57,Employee!B:B,0))</f>
        <v>Võ Lê Nguyên Khang</v>
      </c>
      <c r="AK57" s="4" t="s">
        <v>250</v>
      </c>
      <c r="AL57" s="4" t="str">
        <f>INDEX(Employee!D:D,MATCH(AK57,Employee!B:B,0))</f>
        <v>Talent Acquisition Business Partner</v>
      </c>
      <c r="AM57" s="4" t="str">
        <f>INDEX(Employee!F:F,MATCH(AK57,Employee!B:B,0))</f>
        <v>Business Support</v>
      </c>
      <c r="AN57" s="4" t="str">
        <f>INDEX(Employee!H:H,MATCH(AK57,Employee!B:B,0))</f>
        <v>Nguyễn Thị My Sa</v>
      </c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 s="6"/>
    </row>
    <row r="58" spans="1:102" s="4" customFormat="1" hidden="1">
      <c r="A58" s="3">
        <f t="shared" si="4"/>
        <v>57</v>
      </c>
      <c r="B58" s="4" t="s">
        <v>18</v>
      </c>
      <c r="C58" s="4" t="s">
        <v>3</v>
      </c>
      <c r="D58" s="4" t="str">
        <f>INDEX(Employee!E:E,MATCH(AK58,Employee!B:B,0))</f>
        <v>Undirect IT Staff</v>
      </c>
      <c r="E58" s="4" t="str">
        <f>INDEX(Employee!F:F,MATCH(AK58,Employee!B:B,0))</f>
        <v>Tech</v>
      </c>
      <c r="F58" s="4" t="str">
        <f>INDEX(Employee!G:G,MATCH(AK58,Employee!B:B,0))</f>
        <v>Odoo</v>
      </c>
      <c r="G58" s="4" t="s">
        <v>15</v>
      </c>
      <c r="I58" s="4" t="s">
        <v>251</v>
      </c>
      <c r="J58" s="4" t="s">
        <v>111</v>
      </c>
      <c r="K58" s="4" t="s">
        <v>112</v>
      </c>
      <c r="N58" s="13" t="b">
        <v>0</v>
      </c>
      <c r="O58" s="13" t="b">
        <v>0</v>
      </c>
      <c r="Q58" s="14">
        <v>45107</v>
      </c>
      <c r="R58" s="4" t="s">
        <v>102</v>
      </c>
      <c r="S58" s="10">
        <v>19300</v>
      </c>
      <c r="AF58" s="4" t="str">
        <f>INDEX(Employee!C:C,MATCH(AG58,Employee!B:B,0))</f>
        <v>Nguyễn Viết Khải</v>
      </c>
      <c r="AG58" s="4" t="s">
        <v>103</v>
      </c>
      <c r="AH58" s="4" t="str">
        <f>INDEX(Employee!D:D,MATCH(AG58,Employee!B:B,0))</f>
        <v>Lead IT Support Engineer</v>
      </c>
      <c r="AI58" s="4" t="str">
        <f>INDEX(Employee!F:F,MATCH(AG58,Employee!B:B,0))</f>
        <v>Tech</v>
      </c>
      <c r="AJ58" s="4" t="str">
        <f>INDEX(Employee!C:C,MATCH(AK58,Employee!B:B,0))</f>
        <v>Đặng Thành Thái</v>
      </c>
      <c r="AK58" s="4" t="s">
        <v>252</v>
      </c>
      <c r="AL58" s="4" t="str">
        <f>INDEX(Employee!D:D,MATCH(AK58,Employee!B:B,0))</f>
        <v>Software Engineer</v>
      </c>
      <c r="AM58" s="4" t="str">
        <f>INDEX(Employee!F:F,MATCH(AK58,Employee!B:B,0))</f>
        <v>Tech</v>
      </c>
      <c r="AN58" s="4" t="str">
        <f>INDEX(Employee!H:H,MATCH(AK58,Employee!B:B,0))</f>
        <v>Dương Phạm Thành Công (congdpt)</v>
      </c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 s="6"/>
    </row>
    <row r="59" spans="1:102" s="4" customFormat="1" hidden="1">
      <c r="A59" s="3">
        <f t="shared" si="4"/>
        <v>58</v>
      </c>
      <c r="B59" s="4" t="s">
        <v>14</v>
      </c>
      <c r="C59" s="4" t="s">
        <v>4</v>
      </c>
      <c r="D59" s="4" t="e">
        <f>INDEX(Employee!E:E,MATCH(AK59,Employee!B:B,0))</f>
        <v>#N/A</v>
      </c>
      <c r="E59" s="4" t="e">
        <f>INDEX(Employee!F:F,MATCH(AK59,Employee!B:B,0))</f>
        <v>#N/A</v>
      </c>
      <c r="F59" s="4" t="e">
        <f>INDEX(Employee!G:G,MATCH(AK59,Employee!B:B,0))</f>
        <v>#N/A</v>
      </c>
      <c r="G59" s="4" t="s">
        <v>15</v>
      </c>
      <c r="I59" s="4" t="s">
        <v>253</v>
      </c>
      <c r="J59" s="4" t="s">
        <v>99</v>
      </c>
      <c r="K59" s="4" t="s">
        <v>228</v>
      </c>
      <c r="L59" s="7" t="s">
        <v>52</v>
      </c>
      <c r="M59" s="4" t="str">
        <f t="shared" ref="M59:M87" si="7">RIGHT(K59,5)</f>
        <v>256GB</v>
      </c>
      <c r="N59" s="13" t="b">
        <v>1</v>
      </c>
      <c r="O59" s="13" t="b">
        <v>0</v>
      </c>
      <c r="P59" s="4" t="s">
        <v>254</v>
      </c>
      <c r="Q59" s="14">
        <v>43597</v>
      </c>
      <c r="R59" s="4" t="s">
        <v>102</v>
      </c>
      <c r="S59" s="10">
        <v>3754546</v>
      </c>
      <c r="AE59" s="21"/>
      <c r="AF59" s="4" t="str">
        <f>INDEX(Employee!C:C,MATCH(AG59,Employee!B:B,0))</f>
        <v>Nguyễn Viết Khải</v>
      </c>
      <c r="AG59" s="4" t="s">
        <v>103</v>
      </c>
      <c r="AH59" s="4" t="str">
        <f>INDEX(Employee!D:D,MATCH(AG59,Employee!B:B,0))</f>
        <v>Lead IT Support Engineer</v>
      </c>
      <c r="AI59" s="4" t="str">
        <f>INDEX(Employee!F:F,MATCH(AG59,Employee!B:B,0))</f>
        <v>Tech</v>
      </c>
      <c r="AJ59" s="4" t="e">
        <f>INDEX(Employee!C:C,MATCH(AK59,Employee!B:B,0))</f>
        <v>#N/A</v>
      </c>
      <c r="AL59" s="4" t="e">
        <f>INDEX(Employee!D:D,MATCH(AK59,Employee!B:B,0))</f>
        <v>#N/A</v>
      </c>
      <c r="AM59" s="4" t="e">
        <f>INDEX(Employee!F:F,MATCH(AK59,Employee!B:B,0))</f>
        <v>#N/A</v>
      </c>
      <c r="AN59" s="4" t="e">
        <f>INDEX(Employee!H:H,MATCH(AK59,Employee!B:B,0))</f>
        <v>#N/A</v>
      </c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 s="6"/>
    </row>
    <row r="60" spans="1:102" s="4" customFormat="1" hidden="1">
      <c r="A60" s="3">
        <f t="shared" si="4"/>
        <v>59</v>
      </c>
      <c r="B60" s="4" t="s">
        <v>14</v>
      </c>
      <c r="C60" s="4" t="s">
        <v>3</v>
      </c>
      <c r="D60" s="4">
        <f>INDEX(Employee!E:E,MATCH(AK60,Employee!B:B,0))</f>
        <v>0</v>
      </c>
      <c r="E60" s="4" t="str">
        <f>INDEX(Employee!F:F,MATCH(AK60,Employee!B:B,0))</f>
        <v>Tech</v>
      </c>
      <c r="F60" s="4">
        <f>INDEX(Employee!G:G,MATCH(AK60,Employee!B:B,0))</f>
        <v>0</v>
      </c>
      <c r="G60" s="4" t="s">
        <v>119</v>
      </c>
      <c r="I60" s="4" t="str">
        <f t="shared" ref="I60:I87" si="8">IF(I59="","", "LAP"&amp;TEXT(VALUE(RIGHT(I59,4))+1,"0000"))</f>
        <v>LAP0043</v>
      </c>
      <c r="J60" s="4" t="s">
        <v>115</v>
      </c>
      <c r="K60" s="7" t="s">
        <v>164</v>
      </c>
      <c r="L60" s="7" t="s">
        <v>52</v>
      </c>
      <c r="M60" s="4" t="str">
        <f t="shared" si="7"/>
        <v>256GB</v>
      </c>
      <c r="N60" s="13" t="b">
        <v>0</v>
      </c>
      <c r="O60" s="13" t="b">
        <v>1</v>
      </c>
      <c r="P60" s="4" t="s">
        <v>255</v>
      </c>
      <c r="Q60" s="14">
        <v>44642</v>
      </c>
      <c r="R60" s="4" t="s">
        <v>102</v>
      </c>
      <c r="S60" s="10">
        <v>2512400</v>
      </c>
      <c r="AE60" s="21"/>
      <c r="AF60" s="4" t="str">
        <f>INDEX(Employee!C:C,MATCH(AG60,Employee!B:B,0))</f>
        <v>Nguyễn Viết Khải</v>
      </c>
      <c r="AG60" s="4" t="s">
        <v>103</v>
      </c>
      <c r="AH60" s="4" t="str">
        <f>INDEX(Employee!D:D,MATCH(AG60,Employee!B:B,0))</f>
        <v>Lead IT Support Engineer</v>
      </c>
      <c r="AI60" s="4" t="str">
        <f>INDEX(Employee!F:F,MATCH(AG60,Employee!B:B,0))</f>
        <v>Tech</v>
      </c>
      <c r="AJ60" s="4" t="str">
        <f>INDEX(Employee!C:C,MATCH(AK60,Employee!B:B,0))</f>
        <v>Trần Hải Trình</v>
      </c>
      <c r="AK60" s="4" t="s">
        <v>256</v>
      </c>
      <c r="AL60" s="4" t="str">
        <f>INDEX(Employee!D:D,MATCH(AK60,Employee!B:B,0))</f>
        <v>Cloud Engineer</v>
      </c>
      <c r="AM60" s="4" t="str">
        <f>INDEX(Employee!F:F,MATCH(AK60,Employee!B:B,0))</f>
        <v>Tech</v>
      </c>
      <c r="AN60" s="4" t="str">
        <f>INDEX(Employee!H:H,MATCH(AK60,Employee!B:B,0))</f>
        <v>Nguyễn Hữu Hỷ (hynh)</v>
      </c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 s="6"/>
    </row>
    <row r="61" spans="1:102" s="4" customFormat="1" hidden="1">
      <c r="A61" s="3">
        <f t="shared" si="4"/>
        <v>60</v>
      </c>
      <c r="B61" s="4" t="s">
        <v>14</v>
      </c>
      <c r="C61" s="4" t="s">
        <v>3</v>
      </c>
      <c r="D61" s="4">
        <f>INDEX(Employee!E:E,MATCH(AK61,Employee!B:B,0))</f>
        <v>0</v>
      </c>
      <c r="E61" s="4" t="str">
        <f>INDEX(Employee!F:F,MATCH(AK61,Employee!B:B,0))</f>
        <v>OP</v>
      </c>
      <c r="F61" s="4">
        <f>INDEX(Employee!G:G,MATCH(AK61,Employee!B:B,0))</f>
        <v>0</v>
      </c>
      <c r="G61" s="4" t="s">
        <v>119</v>
      </c>
      <c r="I61" s="4" t="str">
        <f t="shared" si="8"/>
        <v>LAP0044</v>
      </c>
      <c r="J61" s="4" t="s">
        <v>99</v>
      </c>
      <c r="K61" s="7" t="s">
        <v>121</v>
      </c>
      <c r="L61" s="7" t="s">
        <v>48</v>
      </c>
      <c r="M61" s="4" t="str">
        <f t="shared" si="7"/>
        <v>256GB</v>
      </c>
      <c r="N61" s="13" t="b">
        <v>0</v>
      </c>
      <c r="O61" s="13" t="b">
        <v>0</v>
      </c>
      <c r="P61" s="4" t="s">
        <v>257</v>
      </c>
      <c r="Q61" s="14">
        <v>44466</v>
      </c>
      <c r="R61" s="4" t="s">
        <v>102</v>
      </c>
      <c r="S61" s="10">
        <v>3300000</v>
      </c>
      <c r="AE61" s="21"/>
      <c r="AF61" s="4" t="str">
        <f>INDEX(Employee!C:C,MATCH(AG61,Employee!B:B,0))</f>
        <v>Nguyễn Viết Khải</v>
      </c>
      <c r="AG61" s="4" t="s">
        <v>103</v>
      </c>
      <c r="AH61" s="4" t="str">
        <f>INDEX(Employee!D:D,MATCH(AG61,Employee!B:B,0))</f>
        <v>Lead IT Support Engineer</v>
      </c>
      <c r="AI61" s="4" t="str">
        <f>INDEX(Employee!F:F,MATCH(AG61,Employee!B:B,0))</f>
        <v>Tech</v>
      </c>
      <c r="AJ61" s="4" t="str">
        <f>INDEX(Employee!C:C,MATCH(AK61,Employee!B:B,0))</f>
        <v>Nguyễn Cao Bách</v>
      </c>
      <c r="AK61" s="4" t="s">
        <v>258</v>
      </c>
      <c r="AL61" s="4" t="str">
        <f>INDEX(Employee!D:D,MATCH(AK61,Employee!B:B,0))</f>
        <v>Site Reliability Engineer</v>
      </c>
      <c r="AM61" s="4" t="str">
        <f>INDEX(Employee!F:F,MATCH(AK61,Employee!B:B,0))</f>
        <v>OP</v>
      </c>
      <c r="AN61" s="4" t="str">
        <f>INDEX(Employee!H:H,MATCH(AK61,Employee!B:B,0))</f>
        <v>Trần Triệu Dương (duongtt5)</v>
      </c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 s="6"/>
    </row>
    <row r="62" spans="1:102" s="4" customFormat="1" hidden="1">
      <c r="A62" s="3">
        <f t="shared" si="4"/>
        <v>61</v>
      </c>
      <c r="B62" s="4" t="s">
        <v>14</v>
      </c>
      <c r="C62" s="4" t="s">
        <v>4</v>
      </c>
      <c r="D62" s="4" t="e">
        <f>INDEX(Employee!E:E,MATCH(AK62,Employee!B:B,0))</f>
        <v>#N/A</v>
      </c>
      <c r="E62" s="4" t="e">
        <f>INDEX(Employee!F:F,MATCH(AK62,Employee!B:B,0))</f>
        <v>#N/A</v>
      </c>
      <c r="F62" s="4" t="e">
        <f>INDEX(Employee!G:G,MATCH(AK62,Employee!B:B,0))</f>
        <v>#N/A</v>
      </c>
      <c r="G62" s="4" t="s">
        <v>15</v>
      </c>
      <c r="I62" s="4" t="str">
        <f t="shared" si="8"/>
        <v>LAP0045</v>
      </c>
      <c r="J62" s="4" t="s">
        <v>115</v>
      </c>
      <c r="K62" s="7" t="s">
        <v>141</v>
      </c>
      <c r="L62" s="7" t="s">
        <v>52</v>
      </c>
      <c r="M62" s="4" t="str">
        <f t="shared" si="7"/>
        <v>256GB</v>
      </c>
      <c r="N62" s="13" t="b">
        <v>1</v>
      </c>
      <c r="O62" s="13" t="b">
        <v>0</v>
      </c>
      <c r="P62" s="4" t="s">
        <v>259</v>
      </c>
      <c r="Q62" s="14">
        <v>44489</v>
      </c>
      <c r="R62" s="4" t="s">
        <v>102</v>
      </c>
      <c r="S62" s="10">
        <v>2508000</v>
      </c>
      <c r="AE62" s="21"/>
      <c r="AF62" s="4" t="str">
        <f>INDEX(Employee!C:C,MATCH(AG62,Employee!B:B,0))</f>
        <v>Nguyễn Viết Khải</v>
      </c>
      <c r="AG62" s="4" t="s">
        <v>103</v>
      </c>
      <c r="AH62" s="4" t="str">
        <f>INDEX(Employee!D:D,MATCH(AG62,Employee!B:B,0))</f>
        <v>Lead IT Support Engineer</v>
      </c>
      <c r="AI62" s="4" t="str">
        <f>INDEX(Employee!F:F,MATCH(AG62,Employee!B:B,0))</f>
        <v>Tech</v>
      </c>
      <c r="AJ62" s="4" t="e">
        <f>INDEX(Employee!C:C,MATCH(AK62,Employee!B:B,0))</f>
        <v>#N/A</v>
      </c>
      <c r="AL62" s="4" t="e">
        <f>INDEX(Employee!D:D,MATCH(AK62,Employee!B:B,0))</f>
        <v>#N/A</v>
      </c>
      <c r="AM62" s="4" t="e">
        <f>INDEX(Employee!F:F,MATCH(AK62,Employee!B:B,0))</f>
        <v>#N/A</v>
      </c>
      <c r="AN62" s="4" t="e">
        <f>INDEX(Employee!H:H,MATCH(AK62,Employee!B:B,0))</f>
        <v>#N/A</v>
      </c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 s="6"/>
    </row>
    <row r="63" spans="1:102" s="4" customFormat="1" hidden="1">
      <c r="A63" s="3">
        <f t="shared" si="4"/>
        <v>62</v>
      </c>
      <c r="B63" s="4" t="s">
        <v>14</v>
      </c>
      <c r="C63" s="4" t="s">
        <v>3</v>
      </c>
      <c r="D63" s="4" t="str">
        <f>INDEX(Employee!E:E,MATCH(AK63,Employee!B:B,0))</f>
        <v>CTD</v>
      </c>
      <c r="E63" s="4" t="str">
        <f>INDEX(Employee!F:F,MATCH(AK63,Employee!B:B,0))</f>
        <v>CTD</v>
      </c>
      <c r="F63" s="4" t="str">
        <f>INDEX(Employee!G:G,MATCH(AK63,Employee!B:B,0))</f>
        <v>CTD</v>
      </c>
      <c r="G63" s="4" t="s">
        <v>15</v>
      </c>
      <c r="H63" s="4" t="s">
        <v>260</v>
      </c>
      <c r="I63" s="4" t="str">
        <f t="shared" si="8"/>
        <v>LAP0046</v>
      </c>
      <c r="J63" s="4" t="s">
        <v>115</v>
      </c>
      <c r="K63" s="7" t="s">
        <v>164</v>
      </c>
      <c r="L63" s="7" t="s">
        <v>52</v>
      </c>
      <c r="M63" s="4" t="str">
        <f t="shared" si="7"/>
        <v>256GB</v>
      </c>
      <c r="N63" s="13" t="b">
        <v>1</v>
      </c>
      <c r="O63" s="13" t="b">
        <v>1</v>
      </c>
      <c r="P63" s="4" t="s">
        <v>261</v>
      </c>
      <c r="Q63" s="14">
        <v>44671</v>
      </c>
      <c r="R63" s="4" t="s">
        <v>102</v>
      </c>
      <c r="S63" s="10">
        <v>2815891</v>
      </c>
      <c r="AE63" s="21"/>
      <c r="AF63" s="4" t="str">
        <f>INDEX(Employee!C:C,MATCH(AG63,Employee!B:B,0))</f>
        <v>Nguyễn Viết Khải</v>
      </c>
      <c r="AG63" s="4" t="s">
        <v>103</v>
      </c>
      <c r="AH63" s="4" t="str">
        <f>INDEX(Employee!D:D,MATCH(AG63,Employee!B:B,0))</f>
        <v>Lead IT Support Engineer</v>
      </c>
      <c r="AI63" s="4" t="str">
        <f>INDEX(Employee!F:F,MATCH(AG63,Employee!B:B,0))</f>
        <v>Tech</v>
      </c>
      <c r="AJ63" s="4" t="str">
        <f>INDEX(Employee!C:C,MATCH(AK63,Employee!B:B,0))</f>
        <v>Nguyễn Nhã Minh</v>
      </c>
      <c r="AK63" s="4" t="s">
        <v>262</v>
      </c>
      <c r="AL63" s="4" t="str">
        <f>INDEX(Employee!D:D,MATCH(AK63,Employee!B:B,0))</f>
        <v>Intern IT</v>
      </c>
      <c r="AM63" s="4" t="str">
        <f>INDEX(Employee!F:F,MATCH(AK63,Employee!B:B,0))</f>
        <v>CTD</v>
      </c>
      <c r="AN63" s="4">
        <f>INDEX(Employee!H:H,MATCH(AK63,Employee!B:B,0))</f>
        <v>0</v>
      </c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 s="6"/>
    </row>
    <row r="64" spans="1:102" s="4" customFormat="1" hidden="1">
      <c r="A64" s="3">
        <f t="shared" si="4"/>
        <v>63</v>
      </c>
      <c r="B64" s="4" t="s">
        <v>14</v>
      </c>
      <c r="C64" s="4" t="s">
        <v>4</v>
      </c>
      <c r="D64" s="4" t="e">
        <f>INDEX(Employee!E:E,MATCH(AK64,Employee!B:B,0))</f>
        <v>#N/A</v>
      </c>
      <c r="E64" s="4" t="e">
        <f>INDEX(Employee!F:F,MATCH(AK64,Employee!B:B,0))</f>
        <v>#N/A</v>
      </c>
      <c r="F64" s="4" t="e">
        <f>INDEX(Employee!G:G,MATCH(AK64,Employee!B:B,0))</f>
        <v>#N/A</v>
      </c>
      <c r="G64" s="4" t="s">
        <v>15</v>
      </c>
      <c r="I64" s="4" t="str">
        <f t="shared" si="8"/>
        <v>LAP0047</v>
      </c>
      <c r="J64" s="4" t="s">
        <v>115</v>
      </c>
      <c r="K64" s="7" t="s">
        <v>137</v>
      </c>
      <c r="L64" s="7" t="s">
        <v>52</v>
      </c>
      <c r="M64" s="4" t="str">
        <f t="shared" si="7"/>
        <v>256GB</v>
      </c>
      <c r="N64" s="13" t="b">
        <v>1</v>
      </c>
      <c r="O64" s="13" t="b">
        <v>0</v>
      </c>
      <c r="P64" s="4" t="s">
        <v>263</v>
      </c>
      <c r="Q64" s="14">
        <v>45096</v>
      </c>
      <c r="R64" s="4" t="s">
        <v>102</v>
      </c>
      <c r="S64" s="10">
        <v>13449501</v>
      </c>
      <c r="AE64" s="21"/>
      <c r="AF64" s="4" t="str">
        <f>INDEX(Employee!C:C,MATCH(AG64,Employee!B:B,0))</f>
        <v>Nguyễn Viết Khải</v>
      </c>
      <c r="AG64" s="4" t="s">
        <v>103</v>
      </c>
      <c r="AH64" s="4" t="str">
        <f>INDEX(Employee!D:D,MATCH(AG64,Employee!B:B,0))</f>
        <v>Lead IT Support Engineer</v>
      </c>
      <c r="AI64" s="4" t="str">
        <f>INDEX(Employee!F:F,MATCH(AG64,Employee!B:B,0))</f>
        <v>Tech</v>
      </c>
      <c r="AJ64" s="4" t="e">
        <f>INDEX(Employee!C:C,MATCH(AK64,Employee!B:B,0))</f>
        <v>#N/A</v>
      </c>
      <c r="AL64" s="4" t="e">
        <f>INDEX(Employee!D:D,MATCH(AK64,Employee!B:B,0))</f>
        <v>#N/A</v>
      </c>
      <c r="AM64" s="4" t="e">
        <f>INDEX(Employee!F:F,MATCH(AK64,Employee!B:B,0))</f>
        <v>#N/A</v>
      </c>
      <c r="AN64" s="4" t="e">
        <f>INDEX(Employee!H:H,MATCH(AK64,Employee!B:B,0))</f>
        <v>#N/A</v>
      </c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 s="6"/>
    </row>
    <row r="65" spans="1:102" s="4" customFormat="1" hidden="1">
      <c r="A65" s="3">
        <f t="shared" si="4"/>
        <v>64</v>
      </c>
      <c r="B65" s="4" t="s">
        <v>14</v>
      </c>
      <c r="C65" s="4" t="s">
        <v>4</v>
      </c>
      <c r="D65" s="4" t="e">
        <f>INDEX(Employee!E:E,MATCH(AK65,Employee!B:B,0))</f>
        <v>#N/A</v>
      </c>
      <c r="E65" s="4" t="e">
        <f>INDEX(Employee!F:F,MATCH(AK65,Employee!B:B,0))</f>
        <v>#N/A</v>
      </c>
      <c r="F65" s="4" t="e">
        <f>INDEX(Employee!G:G,MATCH(AK65,Employee!B:B,0))</f>
        <v>#N/A</v>
      </c>
      <c r="G65" s="4" t="s">
        <v>15</v>
      </c>
      <c r="H65" s="4" t="s">
        <v>264</v>
      </c>
      <c r="I65" s="4" t="str">
        <f t="shared" si="8"/>
        <v>LAP0048</v>
      </c>
      <c r="J65" s="4" t="s">
        <v>99</v>
      </c>
      <c r="K65" s="4" t="s">
        <v>228</v>
      </c>
      <c r="L65" s="7" t="s">
        <v>52</v>
      </c>
      <c r="M65" s="4" t="str">
        <f t="shared" si="7"/>
        <v>256GB</v>
      </c>
      <c r="N65" s="13" t="b">
        <v>1</v>
      </c>
      <c r="O65" s="13" t="b">
        <v>0</v>
      </c>
      <c r="P65" s="4" t="s">
        <v>265</v>
      </c>
      <c r="Q65" s="14">
        <v>43879</v>
      </c>
      <c r="R65" s="4" t="s">
        <v>102</v>
      </c>
      <c r="S65" s="10">
        <v>3727273</v>
      </c>
      <c r="AE65" s="21"/>
      <c r="AF65" s="4" t="str">
        <f>INDEX(Employee!C:C,MATCH(AG65,Employee!B:B,0))</f>
        <v>Nguyễn Viết Khải</v>
      </c>
      <c r="AG65" s="4" t="s">
        <v>103</v>
      </c>
      <c r="AH65" s="4" t="str">
        <f>INDEX(Employee!D:D,MATCH(AG65,Employee!B:B,0))</f>
        <v>Lead IT Support Engineer</v>
      </c>
      <c r="AI65" s="4" t="str">
        <f>INDEX(Employee!F:F,MATCH(AG65,Employee!B:B,0))</f>
        <v>Tech</v>
      </c>
      <c r="AJ65" s="4" t="e">
        <f>INDEX(Employee!C:C,MATCH(AK65,Employee!B:B,0))</f>
        <v>#N/A</v>
      </c>
      <c r="AL65" s="4" t="e">
        <f>INDEX(Employee!D:D,MATCH(AK65,Employee!B:B,0))</f>
        <v>#N/A</v>
      </c>
      <c r="AM65" s="4" t="e">
        <f>INDEX(Employee!F:F,MATCH(AK65,Employee!B:B,0))</f>
        <v>#N/A</v>
      </c>
      <c r="AN65" s="4" t="e">
        <f>INDEX(Employee!H:H,MATCH(AK65,Employee!B:B,0))</f>
        <v>#N/A</v>
      </c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 s="6"/>
    </row>
    <row r="66" spans="1:102" s="4" customFormat="1" hidden="1">
      <c r="A66" s="3">
        <f t="shared" si="4"/>
        <v>65</v>
      </c>
      <c r="B66" s="4" t="s">
        <v>14</v>
      </c>
      <c r="C66" s="4" t="s">
        <v>4</v>
      </c>
      <c r="D66" s="4" t="e">
        <f>INDEX(Employee!E:E,MATCH(AK66,Employee!B:B,0))</f>
        <v>#N/A</v>
      </c>
      <c r="E66" s="4" t="e">
        <f>INDEX(Employee!F:F,MATCH(AK66,Employee!B:B,0))</f>
        <v>#N/A</v>
      </c>
      <c r="F66" s="4" t="e">
        <f>INDEX(Employee!G:G,MATCH(AK66,Employee!B:B,0))</f>
        <v>#N/A</v>
      </c>
      <c r="G66" s="4" t="s">
        <v>15</v>
      </c>
      <c r="H66" s="4" t="s">
        <v>266</v>
      </c>
      <c r="I66" s="4" t="str">
        <f t="shared" si="8"/>
        <v>LAP0049</v>
      </c>
      <c r="J66" s="4" t="s">
        <v>99</v>
      </c>
      <c r="K66" s="7" t="s">
        <v>121</v>
      </c>
      <c r="L66" s="7" t="s">
        <v>48</v>
      </c>
      <c r="M66" s="4" t="str">
        <f t="shared" si="7"/>
        <v>256GB</v>
      </c>
      <c r="N66" s="13" t="b">
        <v>1</v>
      </c>
      <c r="O66" s="13" t="b">
        <v>0</v>
      </c>
      <c r="P66" s="4" t="s">
        <v>267</v>
      </c>
      <c r="Q66" s="14">
        <v>44729</v>
      </c>
      <c r="R66" s="4" t="s">
        <v>102</v>
      </c>
      <c r="S66" s="10">
        <v>6550188</v>
      </c>
      <c r="AE66" s="21"/>
      <c r="AF66" s="4" t="str">
        <f>INDEX(Employee!C:C,MATCH(AG66,Employee!B:B,0))</f>
        <v>Nguyễn Viết Khải</v>
      </c>
      <c r="AG66" s="4" t="s">
        <v>103</v>
      </c>
      <c r="AH66" s="4" t="str">
        <f>INDEX(Employee!D:D,MATCH(AG66,Employee!B:B,0))</f>
        <v>Lead IT Support Engineer</v>
      </c>
      <c r="AI66" s="4" t="str">
        <f>INDEX(Employee!F:F,MATCH(AG66,Employee!B:B,0))</f>
        <v>Tech</v>
      </c>
      <c r="AJ66" s="4" t="e">
        <f>INDEX(Employee!C:C,MATCH(AK66,Employee!B:B,0))</f>
        <v>#N/A</v>
      </c>
      <c r="AL66" s="4" t="e">
        <f>INDEX(Employee!D:D,MATCH(AK66,Employee!B:B,0))</f>
        <v>#N/A</v>
      </c>
      <c r="AM66" s="4" t="e">
        <f>INDEX(Employee!F:F,MATCH(AK66,Employee!B:B,0))</f>
        <v>#N/A</v>
      </c>
      <c r="AN66" s="4" t="e">
        <f>INDEX(Employee!H:H,MATCH(AK66,Employee!B:B,0))</f>
        <v>#N/A</v>
      </c>
      <c r="AS66" s="4" t="s">
        <v>268</v>
      </c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 s="6"/>
    </row>
    <row r="67" spans="1:102" s="4" customFormat="1" hidden="1">
      <c r="A67" s="3">
        <f t="shared" si="4"/>
        <v>66</v>
      </c>
      <c r="B67" s="4" t="s">
        <v>14</v>
      </c>
      <c r="C67" s="4" t="s">
        <v>4</v>
      </c>
      <c r="D67" s="4" t="e">
        <f>INDEX(Employee!E:E,MATCH(AK67,Employee!B:B,0))</f>
        <v>#N/A</v>
      </c>
      <c r="E67" s="4" t="e">
        <f>INDEX(Employee!F:F,MATCH(AK67,Employee!B:B,0))</f>
        <v>#N/A</v>
      </c>
      <c r="F67" s="4" t="e">
        <f>INDEX(Employee!G:G,MATCH(AK67,Employee!B:B,0))</f>
        <v>#N/A</v>
      </c>
      <c r="G67" s="4" t="s">
        <v>15</v>
      </c>
      <c r="I67" s="4" t="str">
        <f t="shared" si="8"/>
        <v>LAP0050</v>
      </c>
      <c r="J67" s="4" t="s">
        <v>115</v>
      </c>
      <c r="K67" s="7" t="s">
        <v>137</v>
      </c>
      <c r="L67" s="7" t="s">
        <v>52</v>
      </c>
      <c r="M67" s="4" t="str">
        <f t="shared" si="7"/>
        <v>256GB</v>
      </c>
      <c r="N67" s="13" t="b">
        <v>1</v>
      </c>
      <c r="O67" s="13" t="b">
        <v>1</v>
      </c>
      <c r="P67" s="4" t="s">
        <v>269</v>
      </c>
      <c r="Q67" s="14">
        <v>44187</v>
      </c>
      <c r="R67" s="4" t="s">
        <v>102</v>
      </c>
      <c r="S67" s="10">
        <v>2625820</v>
      </c>
      <c r="AE67" s="21"/>
      <c r="AF67" s="4" t="str">
        <f>INDEX(Employee!C:C,MATCH(AG67,Employee!B:B,0))</f>
        <v>Nguyễn Viết Khải</v>
      </c>
      <c r="AG67" s="4" t="s">
        <v>103</v>
      </c>
      <c r="AH67" s="4" t="str">
        <f>INDEX(Employee!D:D,MATCH(AG67,Employee!B:B,0))</f>
        <v>Lead IT Support Engineer</v>
      </c>
      <c r="AI67" s="4" t="str">
        <f>INDEX(Employee!F:F,MATCH(AG67,Employee!B:B,0))</f>
        <v>Tech</v>
      </c>
      <c r="AJ67" s="4" t="e">
        <f>INDEX(Employee!C:C,MATCH(AK67,Employee!B:B,0))</f>
        <v>#N/A</v>
      </c>
      <c r="AL67" s="4" t="e">
        <f>INDEX(Employee!D:D,MATCH(AK67,Employee!B:B,0))</f>
        <v>#N/A</v>
      </c>
      <c r="AM67" s="4" t="e">
        <f>INDEX(Employee!F:F,MATCH(AK67,Employee!B:B,0))</f>
        <v>#N/A</v>
      </c>
      <c r="AN67" s="4" t="e">
        <f>INDEX(Employee!H:H,MATCH(AK67,Employee!B:B,0))</f>
        <v>#N/A</v>
      </c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 s="6"/>
    </row>
    <row r="68" spans="1:102" s="4" customFormat="1" hidden="1">
      <c r="A68" s="3">
        <f t="shared" si="4"/>
        <v>67</v>
      </c>
      <c r="B68" s="4" t="s">
        <v>14</v>
      </c>
      <c r="C68" s="4" t="s">
        <v>3</v>
      </c>
      <c r="D68" s="4">
        <f>INDEX(Employee!E:E,MATCH(AK68,Employee!B:B,0))</f>
        <v>0</v>
      </c>
      <c r="E68" s="4" t="str">
        <f>INDEX(Employee!F:F,MATCH(AK68,Employee!B:B,0))</f>
        <v>Tech</v>
      </c>
      <c r="F68" s="4">
        <f>INDEX(Employee!G:G,MATCH(AK68,Employee!B:B,0))</f>
        <v>0</v>
      </c>
      <c r="G68" s="4" t="s">
        <v>119</v>
      </c>
      <c r="I68" s="4" t="str">
        <f t="shared" si="8"/>
        <v>LAP0051</v>
      </c>
      <c r="J68" s="4" t="s">
        <v>115</v>
      </c>
      <c r="K68" s="7" t="s">
        <v>164</v>
      </c>
      <c r="L68" s="7" t="s">
        <v>52</v>
      </c>
      <c r="M68" s="4" t="str">
        <f t="shared" si="7"/>
        <v>256GB</v>
      </c>
      <c r="N68" s="13" t="b">
        <v>0</v>
      </c>
      <c r="O68" s="13" t="b">
        <v>1</v>
      </c>
      <c r="P68" s="4" t="s">
        <v>270</v>
      </c>
      <c r="Q68" s="14">
        <v>45491</v>
      </c>
      <c r="R68" s="4" t="s">
        <v>102</v>
      </c>
      <c r="S68" s="10">
        <v>24589167</v>
      </c>
      <c r="AE68" s="21"/>
      <c r="AF68" s="4" t="str">
        <f>INDEX(Employee!C:C,MATCH(AG68,Employee!B:B,0))</f>
        <v>Nguyễn Viết Khải</v>
      </c>
      <c r="AG68" s="4" t="s">
        <v>103</v>
      </c>
      <c r="AH68" s="4" t="str">
        <f>INDEX(Employee!D:D,MATCH(AG68,Employee!B:B,0))</f>
        <v>Lead IT Support Engineer</v>
      </c>
      <c r="AI68" s="4" t="str">
        <f>INDEX(Employee!F:F,MATCH(AG68,Employee!B:B,0))</f>
        <v>Tech</v>
      </c>
      <c r="AJ68" s="4" t="str">
        <f>INDEX(Employee!C:C,MATCH(AK68,Employee!B:B,0))</f>
        <v>Trương Thanh Đông</v>
      </c>
      <c r="AK68" s="4" t="s">
        <v>271</v>
      </c>
      <c r="AL68" s="4" t="str">
        <f>INDEX(Employee!D:D,MATCH(AK68,Employee!B:B,0))</f>
        <v>Solutions Architect</v>
      </c>
      <c r="AM68" s="4" t="str">
        <f>INDEX(Employee!F:F,MATCH(AK68,Employee!B:B,0))</f>
        <v>Tech</v>
      </c>
      <c r="AN68" s="4" t="str">
        <f>INDEX(Employee!H:H,MATCH(AK68,Employee!B:B,0))</f>
        <v>Dương Huỳnh Nghĩa (nghiadh)</v>
      </c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 s="6"/>
    </row>
    <row r="69" spans="1:102" s="4" customFormat="1" hidden="1">
      <c r="A69" s="3">
        <f t="shared" si="4"/>
        <v>68</v>
      </c>
      <c r="B69" s="4" t="s">
        <v>14</v>
      </c>
      <c r="C69" s="4" t="s">
        <v>4</v>
      </c>
      <c r="D69" s="4" t="e">
        <f>INDEX(Employee!E:E,MATCH(AK69,Employee!B:B,0))</f>
        <v>#N/A</v>
      </c>
      <c r="E69" s="4" t="e">
        <f>INDEX(Employee!F:F,MATCH(AK69,Employee!B:B,0))</f>
        <v>#N/A</v>
      </c>
      <c r="F69" s="4" t="e">
        <f>INDEX(Employee!G:G,MATCH(AK69,Employee!B:B,0))</f>
        <v>#N/A</v>
      </c>
      <c r="G69" s="4" t="s">
        <v>15</v>
      </c>
      <c r="I69" s="4" t="str">
        <f t="shared" si="8"/>
        <v>LAP0052</v>
      </c>
      <c r="J69" s="4" t="s">
        <v>115</v>
      </c>
      <c r="K69" s="7" t="s">
        <v>164</v>
      </c>
      <c r="L69" s="7" t="s">
        <v>52</v>
      </c>
      <c r="M69" s="4" t="str">
        <f t="shared" si="7"/>
        <v>256GB</v>
      </c>
      <c r="N69" s="13" t="b">
        <v>1</v>
      </c>
      <c r="O69" s="13" t="b">
        <v>0</v>
      </c>
      <c r="P69" s="4" t="s">
        <v>272</v>
      </c>
      <c r="Q69" s="14">
        <v>44347</v>
      </c>
      <c r="R69" s="4" t="s">
        <v>102</v>
      </c>
      <c r="S69" s="10">
        <v>2538700</v>
      </c>
      <c r="AE69" s="21"/>
      <c r="AF69" s="4" t="str">
        <f>INDEX(Employee!C:C,MATCH(AG69,Employee!B:B,0))</f>
        <v>Nguyễn Viết Khải</v>
      </c>
      <c r="AG69" s="4" t="s">
        <v>103</v>
      </c>
      <c r="AH69" s="4" t="str">
        <f>INDEX(Employee!D:D,MATCH(AG69,Employee!B:B,0))</f>
        <v>Lead IT Support Engineer</v>
      </c>
      <c r="AI69" s="4" t="str">
        <f>INDEX(Employee!F:F,MATCH(AG69,Employee!B:B,0))</f>
        <v>Tech</v>
      </c>
      <c r="AJ69" s="4" t="e">
        <f>INDEX(Employee!C:C,MATCH(AK69,Employee!B:B,0))</f>
        <v>#N/A</v>
      </c>
      <c r="AL69" s="4" t="e">
        <f>INDEX(Employee!D:D,MATCH(AK69,Employee!B:B,0))</f>
        <v>#N/A</v>
      </c>
      <c r="AM69" s="4" t="e">
        <f>INDEX(Employee!F:F,MATCH(AK69,Employee!B:B,0))</f>
        <v>#N/A</v>
      </c>
      <c r="AN69" s="4" t="e">
        <f>INDEX(Employee!H:H,MATCH(AK69,Employee!B:B,0))</f>
        <v>#N/A</v>
      </c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 s="6"/>
    </row>
    <row r="70" spans="1:102" s="4" customFormat="1" hidden="1">
      <c r="A70" s="3">
        <f t="shared" si="4"/>
        <v>69</v>
      </c>
      <c r="B70" s="4" t="s">
        <v>14</v>
      </c>
      <c r="C70" s="4" t="s">
        <v>3</v>
      </c>
      <c r="D70" s="4" t="str">
        <f>INDEX(Employee!E:E,MATCH(AK70,Employee!B:B,0))</f>
        <v>Project</v>
      </c>
      <c r="E70" s="4" t="str">
        <f>INDEX(Employee!F:F,MATCH(AK70,Employee!B:B,0))</f>
        <v>Tech</v>
      </c>
      <c r="F70" s="4" t="str">
        <f>INDEX(Employee!G:G,MATCH(AK70,Employee!B:B,0))</f>
        <v>Venture</v>
      </c>
      <c r="G70" s="4" t="s">
        <v>15</v>
      </c>
      <c r="I70" s="4" t="str">
        <f t="shared" si="8"/>
        <v>LAP0053</v>
      </c>
      <c r="J70" s="4" t="s">
        <v>99</v>
      </c>
      <c r="K70" s="4" t="s">
        <v>100</v>
      </c>
      <c r="L70" s="4" t="s">
        <v>49</v>
      </c>
      <c r="M70" s="4" t="str">
        <f t="shared" si="7"/>
        <v>256GB</v>
      </c>
      <c r="N70" s="13" t="b">
        <v>1</v>
      </c>
      <c r="O70" s="13" t="b">
        <v>0</v>
      </c>
      <c r="P70" s="4" t="s">
        <v>273</v>
      </c>
      <c r="Q70" s="14">
        <v>45239</v>
      </c>
      <c r="R70" s="4" t="s">
        <v>102</v>
      </c>
      <c r="S70" s="10">
        <v>24710000</v>
      </c>
      <c r="AE70" s="21"/>
      <c r="AF70" s="4" t="str">
        <f>INDEX(Employee!C:C,MATCH(AG70,Employee!B:B,0))</f>
        <v>Nguyễn Viết Khải</v>
      </c>
      <c r="AG70" s="4" t="s">
        <v>103</v>
      </c>
      <c r="AH70" s="4" t="str">
        <f>INDEX(Employee!D:D,MATCH(AG70,Employee!B:B,0))</f>
        <v>Lead IT Support Engineer</v>
      </c>
      <c r="AI70" s="4" t="str">
        <f>INDEX(Employee!F:F,MATCH(AG70,Employee!B:B,0))</f>
        <v>Tech</v>
      </c>
      <c r="AJ70" s="4" t="str">
        <f>INDEX(Employee!C:C,MATCH(AK70,Employee!B:B,0))</f>
        <v>Nguyễn Quang Hoàng</v>
      </c>
      <c r="AK70" s="4" t="s">
        <v>274</v>
      </c>
      <c r="AL70" s="4" t="str">
        <f>INDEX(Employee!D:D,MATCH(AK70,Employee!B:B,0))</f>
        <v>Software Engineer</v>
      </c>
      <c r="AM70" s="4" t="str">
        <f>INDEX(Employee!F:F,MATCH(AK70,Employee!B:B,0))</f>
        <v>Tech</v>
      </c>
      <c r="AN70" s="4" t="str">
        <f>INDEX(Employee!H:H,MATCH(AK70,Employee!B:B,0))</f>
        <v>Đoàn Nhật Duẩn (duandn)</v>
      </c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 s="6"/>
    </row>
    <row r="71" spans="1:102" s="4" customFormat="1" hidden="1">
      <c r="A71" s="3">
        <f t="shared" si="4"/>
        <v>70</v>
      </c>
      <c r="B71" s="4" t="s">
        <v>14</v>
      </c>
      <c r="C71" s="4" t="s">
        <v>3</v>
      </c>
      <c r="D71" s="4">
        <f>INDEX(Employee!E:E,MATCH(AK71,Employee!B:B,0))</f>
        <v>0</v>
      </c>
      <c r="E71" s="4" t="str">
        <f>INDEX(Employee!F:F,MATCH(AK71,Employee!B:B,0))</f>
        <v>Tech</v>
      </c>
      <c r="F71" s="4">
        <f>INDEX(Employee!G:G,MATCH(AK71,Employee!B:B,0))</f>
        <v>0</v>
      </c>
      <c r="G71" s="4" t="s">
        <v>119</v>
      </c>
      <c r="H71" s="4" t="s">
        <v>275</v>
      </c>
      <c r="I71" s="4" t="str">
        <f t="shared" si="8"/>
        <v>LAP0054</v>
      </c>
      <c r="J71" s="4" t="s">
        <v>99</v>
      </c>
      <c r="K71" s="4" t="s">
        <v>226</v>
      </c>
      <c r="L71" s="4" t="s">
        <v>50</v>
      </c>
      <c r="M71" s="4" t="str">
        <f t="shared" si="7"/>
        <v>512GB</v>
      </c>
      <c r="N71" s="13" t="b">
        <v>0</v>
      </c>
      <c r="O71" s="13" t="b">
        <v>0</v>
      </c>
      <c r="P71" s="4" t="s">
        <v>276</v>
      </c>
      <c r="Q71" s="14">
        <v>45520</v>
      </c>
      <c r="R71" s="4" t="s">
        <v>102</v>
      </c>
      <c r="S71" s="10">
        <v>32727273</v>
      </c>
      <c r="AE71" s="21"/>
      <c r="AF71" s="4" t="str">
        <f>INDEX(Employee!C:C,MATCH(AG71,Employee!B:B,0))</f>
        <v>Nguyễn Viết Khải</v>
      </c>
      <c r="AG71" s="4" t="s">
        <v>103</v>
      </c>
      <c r="AH71" s="4" t="str">
        <f>INDEX(Employee!D:D,MATCH(AG71,Employee!B:B,0))</f>
        <v>Lead IT Support Engineer</v>
      </c>
      <c r="AI71" s="4" t="str">
        <f>INDEX(Employee!F:F,MATCH(AG71,Employee!B:B,0))</f>
        <v>Tech</v>
      </c>
      <c r="AJ71" s="4" t="str">
        <f>INDEX(Employee!C:C,MATCH(AK71,Employee!B:B,0))</f>
        <v>Nguyễn Duy Mạnh</v>
      </c>
      <c r="AK71" s="4" t="s">
        <v>277</v>
      </c>
      <c r="AL71" s="4" t="str">
        <f>INDEX(Employee!D:D,MATCH(AK71,Employee!B:B,0))</f>
        <v>Software Engineer</v>
      </c>
      <c r="AM71" s="4" t="str">
        <f>INDEX(Employee!F:F,MATCH(AK71,Employee!B:B,0))</f>
        <v>Tech</v>
      </c>
      <c r="AN71" s="4" t="str">
        <f>INDEX(Employee!H:H,MATCH(AK71,Employee!B:B,0))</f>
        <v>Nguyễn Ngọc Châu Sang</v>
      </c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 s="6"/>
    </row>
    <row r="72" spans="1:102" s="4" customFormat="1" hidden="1">
      <c r="A72" s="3">
        <f t="shared" si="4"/>
        <v>71</v>
      </c>
      <c r="B72" s="4" t="s">
        <v>14</v>
      </c>
      <c r="C72" s="4" t="s">
        <v>4</v>
      </c>
      <c r="D72" s="4" t="e">
        <f>INDEX(Employee!E:E,MATCH(AK72,Employee!B:B,0))</f>
        <v>#N/A</v>
      </c>
      <c r="E72" s="4" t="e">
        <f>INDEX(Employee!F:F,MATCH(AK72,Employee!B:B,0))</f>
        <v>#N/A</v>
      </c>
      <c r="F72" s="4" t="e">
        <f>INDEX(Employee!G:G,MATCH(AK72,Employee!B:B,0))</f>
        <v>#N/A</v>
      </c>
      <c r="G72" s="4" t="s">
        <v>119</v>
      </c>
      <c r="I72" s="4" t="str">
        <f t="shared" si="8"/>
        <v>LAP0055</v>
      </c>
      <c r="J72" s="4" t="s">
        <v>99</v>
      </c>
      <c r="K72" s="4" t="s">
        <v>100</v>
      </c>
      <c r="L72" s="4" t="s">
        <v>49</v>
      </c>
      <c r="M72" s="4" t="str">
        <f t="shared" si="7"/>
        <v>256GB</v>
      </c>
      <c r="N72" s="13" t="b">
        <v>0</v>
      </c>
      <c r="O72" s="13" t="b">
        <v>0</v>
      </c>
      <c r="P72" s="4" t="s">
        <v>278</v>
      </c>
      <c r="Q72" s="14">
        <v>45252</v>
      </c>
      <c r="R72" s="4" t="s">
        <v>102</v>
      </c>
      <c r="S72" s="10">
        <v>23886334</v>
      </c>
      <c r="AE72" s="21"/>
      <c r="AF72" s="4" t="str">
        <f>INDEX(Employee!C:C,MATCH(AG72,Employee!B:B,0))</f>
        <v>Nguyễn Viết Khải</v>
      </c>
      <c r="AG72" s="4" t="s">
        <v>103</v>
      </c>
      <c r="AH72" s="4" t="str">
        <f>INDEX(Employee!D:D,MATCH(AG72,Employee!B:B,0))</f>
        <v>Lead IT Support Engineer</v>
      </c>
      <c r="AI72" s="4" t="str">
        <f>INDEX(Employee!F:F,MATCH(AG72,Employee!B:B,0))</f>
        <v>Tech</v>
      </c>
      <c r="AJ72" s="4" t="e">
        <f>INDEX(Employee!C:C,MATCH(AK72,Employee!B:B,0))</f>
        <v>#N/A</v>
      </c>
      <c r="AL72" s="4" t="e">
        <f>INDEX(Employee!D:D,MATCH(AK72,Employee!B:B,0))</f>
        <v>#N/A</v>
      </c>
      <c r="AM72" s="4" t="e">
        <f>INDEX(Employee!F:F,MATCH(AK72,Employee!B:B,0))</f>
        <v>#N/A</v>
      </c>
      <c r="AN72" s="4" t="e">
        <f>INDEX(Employee!H:H,MATCH(AK72,Employee!B:B,0))</f>
        <v>#N/A</v>
      </c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 s="6"/>
    </row>
    <row r="73" spans="1:102" s="4" customFormat="1" hidden="1">
      <c r="A73" s="3">
        <f t="shared" si="4"/>
        <v>72</v>
      </c>
      <c r="B73" s="4" t="s">
        <v>14</v>
      </c>
      <c r="C73" s="4" t="s">
        <v>4</v>
      </c>
      <c r="D73" s="4" t="e">
        <f>INDEX(Employee!E:E,MATCH(AK73,Employee!B:B,0))</f>
        <v>#N/A</v>
      </c>
      <c r="E73" s="4" t="e">
        <f>INDEX(Employee!F:F,MATCH(AK73,Employee!B:B,0))</f>
        <v>#N/A</v>
      </c>
      <c r="F73" s="4" t="e">
        <f>INDEX(Employee!G:G,MATCH(AK73,Employee!B:B,0))</f>
        <v>#N/A</v>
      </c>
      <c r="G73" s="4" t="s">
        <v>15</v>
      </c>
      <c r="H73" s="4" t="s">
        <v>279</v>
      </c>
      <c r="I73" s="4" t="str">
        <f t="shared" si="8"/>
        <v>LAP0056</v>
      </c>
      <c r="J73" s="4" t="s">
        <v>115</v>
      </c>
      <c r="K73" s="7" t="s">
        <v>164</v>
      </c>
      <c r="L73" s="7" t="s">
        <v>52</v>
      </c>
      <c r="M73" s="4" t="str">
        <f t="shared" si="7"/>
        <v>256GB</v>
      </c>
      <c r="N73" s="13" t="b">
        <v>1</v>
      </c>
      <c r="O73" s="13" t="b">
        <v>0</v>
      </c>
      <c r="P73" s="4" t="s">
        <v>280</v>
      </c>
      <c r="Q73" s="14">
        <v>45308</v>
      </c>
      <c r="R73" s="4" t="s">
        <v>102</v>
      </c>
      <c r="S73" s="10">
        <v>21437889</v>
      </c>
      <c r="AE73" s="21"/>
      <c r="AF73" s="4" t="str">
        <f>INDEX(Employee!C:C,MATCH(AG73,Employee!B:B,0))</f>
        <v>Nguyễn Viết Khải</v>
      </c>
      <c r="AG73" s="4" t="s">
        <v>103</v>
      </c>
      <c r="AH73" s="4" t="str">
        <f>INDEX(Employee!D:D,MATCH(AG73,Employee!B:B,0))</f>
        <v>Lead IT Support Engineer</v>
      </c>
      <c r="AI73" s="4" t="str">
        <f>INDEX(Employee!F:F,MATCH(AG73,Employee!B:B,0))</f>
        <v>Tech</v>
      </c>
      <c r="AJ73" s="4" t="e">
        <f>INDEX(Employee!C:C,MATCH(AK73,Employee!B:B,0))</f>
        <v>#N/A</v>
      </c>
      <c r="AL73" s="4" t="e">
        <f>INDEX(Employee!D:D,MATCH(AK73,Employee!B:B,0))</f>
        <v>#N/A</v>
      </c>
      <c r="AM73" s="4" t="e">
        <f>INDEX(Employee!F:F,MATCH(AK73,Employee!B:B,0))</f>
        <v>#N/A</v>
      </c>
      <c r="AN73" s="4" t="e">
        <f>INDEX(Employee!H:H,MATCH(AK73,Employee!B:B,0))</f>
        <v>#N/A</v>
      </c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 s="6"/>
    </row>
    <row r="74" spans="1:102" s="4" customFormat="1" hidden="1">
      <c r="A74" s="3">
        <f t="shared" si="4"/>
        <v>73</v>
      </c>
      <c r="B74" s="4" t="s">
        <v>14</v>
      </c>
      <c r="C74" s="4" t="s">
        <v>4</v>
      </c>
      <c r="D74" s="4" t="e">
        <f>INDEX(Employee!E:E,MATCH(AK74,Employee!B:B,0))</f>
        <v>#N/A</v>
      </c>
      <c r="E74" s="4" t="e">
        <f>INDEX(Employee!F:F,MATCH(AK74,Employee!B:B,0))</f>
        <v>#N/A</v>
      </c>
      <c r="F74" s="4" t="e">
        <f>INDEX(Employee!G:G,MATCH(AK74,Employee!B:B,0))</f>
        <v>#N/A</v>
      </c>
      <c r="G74" s="4" t="s">
        <v>15</v>
      </c>
      <c r="I74" s="4" t="str">
        <f t="shared" si="8"/>
        <v>LAP0057</v>
      </c>
      <c r="J74" s="4" t="s">
        <v>115</v>
      </c>
      <c r="K74" s="7" t="s">
        <v>137</v>
      </c>
      <c r="L74" s="7" t="s">
        <v>52</v>
      </c>
      <c r="M74" s="4" t="str">
        <f t="shared" si="7"/>
        <v>256GB</v>
      </c>
      <c r="N74" s="13" t="b">
        <v>1</v>
      </c>
      <c r="O74" s="13" t="b">
        <v>1</v>
      </c>
      <c r="P74" s="4" t="s">
        <v>281</v>
      </c>
      <c r="Q74" s="14">
        <v>44649</v>
      </c>
      <c r="R74" s="4" t="s">
        <v>102</v>
      </c>
      <c r="S74" s="10">
        <v>3620834</v>
      </c>
      <c r="AE74" s="21"/>
      <c r="AF74" s="4" t="str">
        <f>INDEX(Employee!C:C,MATCH(AG74,Employee!B:B,0))</f>
        <v>Nguyễn Viết Khải</v>
      </c>
      <c r="AG74" s="4" t="s">
        <v>103</v>
      </c>
      <c r="AH74" s="4" t="str">
        <f>INDEX(Employee!D:D,MATCH(AG74,Employee!B:B,0))</f>
        <v>Lead IT Support Engineer</v>
      </c>
      <c r="AI74" s="4" t="str">
        <f>INDEX(Employee!F:F,MATCH(AG74,Employee!B:B,0))</f>
        <v>Tech</v>
      </c>
      <c r="AJ74" s="4" t="e">
        <f>INDEX(Employee!C:C,MATCH(AK74,Employee!B:B,0))</f>
        <v>#N/A</v>
      </c>
      <c r="AL74" s="4" t="e">
        <f>INDEX(Employee!D:D,MATCH(AK74,Employee!B:B,0))</f>
        <v>#N/A</v>
      </c>
      <c r="AM74" s="4" t="e">
        <f>INDEX(Employee!F:F,MATCH(AK74,Employee!B:B,0))</f>
        <v>#N/A</v>
      </c>
      <c r="AN74" s="4" t="e">
        <f>INDEX(Employee!H:H,MATCH(AK74,Employee!B:B,0))</f>
        <v>#N/A</v>
      </c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 s="6"/>
    </row>
    <row r="75" spans="1:102" s="4" customFormat="1" hidden="1">
      <c r="A75" s="3">
        <f t="shared" si="4"/>
        <v>74</v>
      </c>
      <c r="B75" s="4" t="s">
        <v>14</v>
      </c>
      <c r="C75" s="4" t="s">
        <v>3</v>
      </c>
      <c r="D75" s="4" t="str">
        <f>INDEX(Employee!E:E,MATCH(AK75,Employee!B:B,0))</f>
        <v>BO</v>
      </c>
      <c r="E75" s="4" t="str">
        <f>INDEX(Employee!F:F,MATCH(AK75,Employee!B:B,0))</f>
        <v>Business Support</v>
      </c>
      <c r="F75" s="4" t="str">
        <f>INDEX(Employee!G:G,MATCH(AK75,Employee!B:B,0))</f>
        <v>Operation Team</v>
      </c>
      <c r="G75" s="4" t="s">
        <v>15</v>
      </c>
      <c r="I75" s="4" t="str">
        <f t="shared" si="8"/>
        <v>LAP0058</v>
      </c>
      <c r="J75" s="4" t="s">
        <v>115</v>
      </c>
      <c r="K75" s="7" t="s">
        <v>137</v>
      </c>
      <c r="L75" s="7" t="s">
        <v>52</v>
      </c>
      <c r="M75" s="4" t="str">
        <f t="shared" si="7"/>
        <v>256GB</v>
      </c>
      <c r="N75" s="13" t="b">
        <v>1</v>
      </c>
      <c r="O75" s="13" t="b">
        <v>1</v>
      </c>
      <c r="P75" s="4" t="s">
        <v>282</v>
      </c>
      <c r="Q75" s="14">
        <v>44119</v>
      </c>
      <c r="R75" s="4" t="s">
        <v>102</v>
      </c>
      <c r="S75" s="10">
        <v>2645600</v>
      </c>
      <c r="AE75" s="21"/>
      <c r="AF75" s="4" t="str">
        <f>INDEX(Employee!C:C,MATCH(AG75,Employee!B:B,0))</f>
        <v>Nguyễn Viết Khải</v>
      </c>
      <c r="AG75" s="4" t="s">
        <v>103</v>
      </c>
      <c r="AH75" s="4" t="str">
        <f>INDEX(Employee!D:D,MATCH(AG75,Employee!B:B,0))</f>
        <v>Lead IT Support Engineer</v>
      </c>
      <c r="AI75" s="4" t="str">
        <f>INDEX(Employee!F:F,MATCH(AG75,Employee!B:B,0))</f>
        <v>Tech</v>
      </c>
      <c r="AJ75" s="4" t="str">
        <f>INDEX(Employee!C:C,MATCH(AK75,Employee!B:B,0))</f>
        <v>Nguyễn Ngọc Nhiên</v>
      </c>
      <c r="AK75" s="4" t="s">
        <v>283</v>
      </c>
      <c r="AL75" s="4" t="str">
        <f>INDEX(Employee!D:D,MATCH(AK75,Employee!B:B,0))</f>
        <v>Accounting Intern</v>
      </c>
      <c r="AM75" s="4" t="str">
        <f>INDEX(Employee!F:F,MATCH(AK75,Employee!B:B,0))</f>
        <v>Business Support</v>
      </c>
      <c r="AN75" s="4" t="str">
        <f>INDEX(Employee!H:H,MATCH(AK75,Employee!B:B,0))</f>
        <v>Hoàng Thị Trang</v>
      </c>
      <c r="AS75" s="4" t="s">
        <v>284</v>
      </c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 s="6"/>
    </row>
    <row r="76" spans="1:102" s="4" customFormat="1" hidden="1">
      <c r="A76" s="3">
        <f t="shared" si="4"/>
        <v>75</v>
      </c>
      <c r="B76" s="4" t="s">
        <v>14</v>
      </c>
      <c r="C76" s="4" t="s">
        <v>4</v>
      </c>
      <c r="D76" s="4" t="e">
        <f>INDEX(Employee!E:E,MATCH(AK76,Employee!B:B,0))</f>
        <v>#N/A</v>
      </c>
      <c r="E76" s="4" t="e">
        <f>INDEX(Employee!F:F,MATCH(AK76,Employee!B:B,0))</f>
        <v>#N/A</v>
      </c>
      <c r="F76" s="4" t="e">
        <f>INDEX(Employee!G:G,MATCH(AK76,Employee!B:B,0))</f>
        <v>#N/A</v>
      </c>
      <c r="G76" s="4" t="s">
        <v>15</v>
      </c>
      <c r="H76" s="4" t="s">
        <v>285</v>
      </c>
      <c r="I76" s="4" t="str">
        <f t="shared" si="8"/>
        <v>LAP0059</v>
      </c>
      <c r="J76" s="4" t="s">
        <v>115</v>
      </c>
      <c r="K76" s="7" t="s">
        <v>164</v>
      </c>
      <c r="L76" s="7" t="s">
        <v>52</v>
      </c>
      <c r="M76" s="4" t="str">
        <f t="shared" si="7"/>
        <v>256GB</v>
      </c>
      <c r="N76" s="13" t="b">
        <v>1</v>
      </c>
      <c r="O76" s="13" t="b">
        <v>1</v>
      </c>
      <c r="P76" s="4" t="s">
        <v>286</v>
      </c>
      <c r="Q76" s="14">
        <v>44145</v>
      </c>
      <c r="R76" s="4" t="s">
        <v>102</v>
      </c>
      <c r="S76" s="10">
        <v>2553000</v>
      </c>
      <c r="AE76" s="21"/>
      <c r="AF76" s="4" t="str">
        <f>INDEX(Employee!C:C,MATCH(AG76,Employee!B:B,0))</f>
        <v>Nguyễn Viết Khải</v>
      </c>
      <c r="AG76" s="4" t="s">
        <v>103</v>
      </c>
      <c r="AH76" s="4" t="str">
        <f>INDEX(Employee!D:D,MATCH(AG76,Employee!B:B,0))</f>
        <v>Lead IT Support Engineer</v>
      </c>
      <c r="AI76" s="4" t="str">
        <f>INDEX(Employee!F:F,MATCH(AG76,Employee!B:B,0))</f>
        <v>Tech</v>
      </c>
      <c r="AJ76" s="4" t="e">
        <f>INDEX(Employee!C:C,MATCH(AK76,Employee!B:B,0))</f>
        <v>#N/A</v>
      </c>
      <c r="AL76" s="4" t="e">
        <f>INDEX(Employee!D:D,MATCH(AK76,Employee!B:B,0))</f>
        <v>#N/A</v>
      </c>
      <c r="AM76" s="4" t="e">
        <f>INDEX(Employee!F:F,MATCH(AK76,Employee!B:B,0))</f>
        <v>#N/A</v>
      </c>
      <c r="AN76" s="4" t="e">
        <f>INDEX(Employee!H:H,MATCH(AK76,Employee!B:B,0))</f>
        <v>#N/A</v>
      </c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 s="6"/>
    </row>
    <row r="77" spans="1:102" s="4" customFormat="1" hidden="1">
      <c r="A77" s="3">
        <f t="shared" si="4"/>
        <v>76</v>
      </c>
      <c r="B77" s="4" t="s">
        <v>14</v>
      </c>
      <c r="C77" s="4" t="s">
        <v>3</v>
      </c>
      <c r="D77" s="4" t="str">
        <f>INDEX(Employee!E:E,MATCH(AK77,Employee!B:B,0))</f>
        <v>Project</v>
      </c>
      <c r="E77" s="4" t="str">
        <f>INDEX(Employee!F:F,MATCH(AK77,Employee!B:B,0))</f>
        <v>Tech</v>
      </c>
      <c r="F77" s="4" t="str">
        <f>INDEX(Employee!G:G,MATCH(AK77,Employee!B:B,0))</f>
        <v>Venture</v>
      </c>
      <c r="G77" s="4" t="s">
        <v>15</v>
      </c>
      <c r="I77" s="4" t="str">
        <f t="shared" si="8"/>
        <v>LAP0060</v>
      </c>
      <c r="J77" s="4" t="s">
        <v>99</v>
      </c>
      <c r="K77" s="4" t="s">
        <v>226</v>
      </c>
      <c r="L77" s="4" t="s">
        <v>50</v>
      </c>
      <c r="M77" s="4" t="str">
        <f t="shared" si="7"/>
        <v>512GB</v>
      </c>
      <c r="N77" s="13" t="b">
        <v>1</v>
      </c>
      <c r="O77" s="13" t="b">
        <v>0</v>
      </c>
      <c r="P77" s="4" t="s">
        <v>287</v>
      </c>
      <c r="Q77" s="14">
        <v>45520</v>
      </c>
      <c r="R77" s="4" t="s">
        <v>102</v>
      </c>
      <c r="S77" s="10">
        <v>32727273</v>
      </c>
      <c r="AE77" s="21"/>
      <c r="AF77" s="4" t="str">
        <f>INDEX(Employee!C:C,MATCH(AG77,Employee!B:B,0))</f>
        <v>Nguyễn Viết Khải</v>
      </c>
      <c r="AG77" s="4" t="s">
        <v>103</v>
      </c>
      <c r="AH77" s="4" t="str">
        <f>INDEX(Employee!D:D,MATCH(AG77,Employee!B:B,0))</f>
        <v>Lead IT Support Engineer</v>
      </c>
      <c r="AI77" s="4" t="str">
        <f>INDEX(Employee!F:F,MATCH(AG77,Employee!B:B,0))</f>
        <v>Tech</v>
      </c>
      <c r="AJ77" s="4" t="str">
        <f>INDEX(Employee!C:C,MATCH(AK77,Employee!B:B,0))</f>
        <v>Đoàn Nhật Duẩn</v>
      </c>
      <c r="AK77" s="4" t="s">
        <v>288</v>
      </c>
      <c r="AL77" s="4" t="str">
        <f>INDEX(Employee!D:D,MATCH(AK77,Employee!B:B,0))</f>
        <v>Chief Innovation Officer</v>
      </c>
      <c r="AM77" s="4" t="str">
        <f>INDEX(Employee!F:F,MATCH(AK77,Employee!B:B,0))</f>
        <v>Tech</v>
      </c>
      <c r="AN77" s="4" t="str">
        <f>INDEX(Employee!H:H,MATCH(AK77,Employee!B:B,0))</f>
        <v>Đoàn Hải Nam</v>
      </c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 s="6"/>
    </row>
    <row r="78" spans="1:102" s="4" customFormat="1" hidden="1">
      <c r="A78" s="3">
        <f t="shared" si="4"/>
        <v>77</v>
      </c>
      <c r="B78" s="4" t="s">
        <v>14</v>
      </c>
      <c r="C78" s="4" t="s">
        <v>3</v>
      </c>
      <c r="D78" s="4">
        <f>INDEX(Employee!E:E,MATCH(AK78,Employee!B:B,0))</f>
        <v>0</v>
      </c>
      <c r="E78" s="4" t="str">
        <f>INDEX(Employee!F:F,MATCH(AK78,Employee!B:B,0))</f>
        <v>Tech</v>
      </c>
      <c r="F78" s="4">
        <f>INDEX(Employee!G:G,MATCH(AK78,Employee!B:B,0))</f>
        <v>0</v>
      </c>
      <c r="G78" s="4" t="s">
        <v>119</v>
      </c>
      <c r="I78" s="4" t="str">
        <f t="shared" si="8"/>
        <v>LAP0061</v>
      </c>
      <c r="J78" s="4" t="s">
        <v>115</v>
      </c>
      <c r="K78" s="7" t="s">
        <v>164</v>
      </c>
      <c r="L78" s="7" t="s">
        <v>52</v>
      </c>
      <c r="M78" s="4" t="str">
        <f t="shared" si="7"/>
        <v>256GB</v>
      </c>
      <c r="N78" s="13" t="b">
        <v>0</v>
      </c>
      <c r="O78" s="13" t="b">
        <v>1</v>
      </c>
      <c r="P78" s="4" t="s">
        <v>289</v>
      </c>
      <c r="Q78" s="14">
        <v>45622</v>
      </c>
      <c r="R78" s="4" t="s">
        <v>102</v>
      </c>
      <c r="S78" s="10">
        <v>28693195</v>
      </c>
      <c r="AE78" s="21"/>
      <c r="AF78" s="4" t="str">
        <f>INDEX(Employee!C:C,MATCH(AG78,Employee!B:B,0))</f>
        <v>Nguyễn Viết Khải</v>
      </c>
      <c r="AG78" s="4" t="s">
        <v>103</v>
      </c>
      <c r="AH78" s="4" t="str">
        <f>INDEX(Employee!D:D,MATCH(AG78,Employee!B:B,0))</f>
        <v>Lead IT Support Engineer</v>
      </c>
      <c r="AI78" s="4" t="str">
        <f>INDEX(Employee!F:F,MATCH(AG78,Employee!B:B,0))</f>
        <v>Tech</v>
      </c>
      <c r="AJ78" s="4" t="str">
        <f>INDEX(Employee!C:C,MATCH(AK78,Employee!B:B,0))</f>
        <v>Nguyễn Công Bảo</v>
      </c>
      <c r="AK78" s="4" t="s">
        <v>290</v>
      </c>
      <c r="AL78" s="4" t="str">
        <f>INDEX(Employee!D:D,MATCH(AK78,Employee!B:B,0))</f>
        <v>Business Analyst</v>
      </c>
      <c r="AM78" s="4" t="str">
        <f>INDEX(Employee!F:F,MATCH(AK78,Employee!B:B,0))</f>
        <v>Tech</v>
      </c>
      <c r="AN78" s="4" t="str">
        <f>INDEX(Employee!H:H,MATCH(AK78,Employee!B:B,0))</f>
        <v>Nguyễn Vân Anh (anhnv5)</v>
      </c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 s="6"/>
    </row>
    <row r="79" spans="1:102" s="4" customFormat="1">
      <c r="A79" s="3">
        <f t="shared" si="4"/>
        <v>78</v>
      </c>
      <c r="B79" s="4" t="s">
        <v>14</v>
      </c>
      <c r="C79" s="4" t="s">
        <v>3</v>
      </c>
      <c r="D79" s="4" t="str">
        <f>INDEX(Employee!E:E,MATCH(AK79,Employee!B:B,0))</f>
        <v>Project</v>
      </c>
      <c r="E79" s="4" t="str">
        <f>INDEX(Employee!F:F,MATCH(AK79,Employee!B:B,0))</f>
        <v>Tech</v>
      </c>
      <c r="F79" s="4" t="str">
        <f>INDEX(Employee!G:G,MATCH(AK79,Employee!B:B,0))</f>
        <v>Venture</v>
      </c>
      <c r="G79" s="4" t="s">
        <v>15</v>
      </c>
      <c r="I79" s="4" t="str">
        <f t="shared" si="8"/>
        <v>LAP0062</v>
      </c>
      <c r="J79" s="4" t="s">
        <v>99</v>
      </c>
      <c r="K79" s="4" t="s">
        <v>100</v>
      </c>
      <c r="L79" s="4" t="s">
        <v>49</v>
      </c>
      <c r="M79" s="4" t="str">
        <f t="shared" si="7"/>
        <v>256GB</v>
      </c>
      <c r="N79" s="13" t="b">
        <v>1</v>
      </c>
      <c r="O79" s="13" t="b">
        <v>0</v>
      </c>
      <c r="P79" s="4" t="s">
        <v>291</v>
      </c>
      <c r="Q79" s="14">
        <v>45252</v>
      </c>
      <c r="R79" s="4" t="s">
        <v>102</v>
      </c>
      <c r="S79" s="10">
        <v>24710000</v>
      </c>
      <c r="AE79" s="21"/>
      <c r="AF79" s="4" t="str">
        <f>INDEX(Employee!C:C,MATCH(AG79,Employee!B:B,0))</f>
        <v>Nguyễn Viết Khải</v>
      </c>
      <c r="AG79" s="4" t="s">
        <v>103</v>
      </c>
      <c r="AH79" s="4" t="str">
        <f>INDEX(Employee!D:D,MATCH(AG79,Employee!B:B,0))</f>
        <v>Lead IT Support Engineer</v>
      </c>
      <c r="AI79" s="4" t="str">
        <f>INDEX(Employee!F:F,MATCH(AG79,Employee!B:B,0))</f>
        <v>Tech</v>
      </c>
      <c r="AJ79" s="4" t="str">
        <f>INDEX(Employee!C:C,MATCH(AK79,Employee!B:B,0))</f>
        <v>Phạm Thị Trúc Linh</v>
      </c>
      <c r="AK79" s="4" t="s">
        <v>292</v>
      </c>
      <c r="AL79" s="4" t="str">
        <f>INDEX(Employee!D:D,MATCH(AK79,Employee!B:B,0))</f>
        <v>Associate QC Engineer</v>
      </c>
      <c r="AM79" s="4" t="str">
        <f>INDEX(Employee!F:F,MATCH(AK79,Employee!B:B,0))</f>
        <v>Tech</v>
      </c>
      <c r="AN79" s="4" t="str">
        <f>INDEX(Employee!H:H,MATCH(AK79,Employee!B:B,0))</f>
        <v>Nguyễn Khánh Vy</v>
      </c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 s="6"/>
    </row>
    <row r="80" spans="1:102" s="4" customFormat="1" hidden="1">
      <c r="A80" s="3">
        <f t="shared" si="4"/>
        <v>79</v>
      </c>
      <c r="B80" s="4" t="s">
        <v>14</v>
      </c>
      <c r="C80" s="4" t="s">
        <v>4</v>
      </c>
      <c r="D80" s="4" t="e">
        <f>INDEX(Employee!E:E,MATCH(AK80,Employee!B:B,0))</f>
        <v>#N/A</v>
      </c>
      <c r="E80" s="4" t="e">
        <f>INDEX(Employee!F:F,MATCH(AK80,Employee!B:B,0))</f>
        <v>#N/A</v>
      </c>
      <c r="F80" s="4" t="e">
        <f>INDEX(Employee!G:G,MATCH(AK80,Employee!B:B,0))</f>
        <v>#N/A</v>
      </c>
      <c r="G80" s="4" t="s">
        <v>15</v>
      </c>
      <c r="I80" s="4" t="str">
        <f t="shared" si="8"/>
        <v>LAP0063</v>
      </c>
      <c r="J80" s="4" t="s">
        <v>115</v>
      </c>
      <c r="K80" s="7" t="s">
        <v>164</v>
      </c>
      <c r="L80" s="7" t="s">
        <v>52</v>
      </c>
      <c r="M80" s="4" t="str">
        <f t="shared" si="7"/>
        <v>256GB</v>
      </c>
      <c r="N80" s="13" t="b">
        <v>1</v>
      </c>
      <c r="O80" s="13" t="b">
        <v>0</v>
      </c>
      <c r="P80" s="4" t="s">
        <v>293</v>
      </c>
      <c r="Q80" s="14">
        <v>44119</v>
      </c>
      <c r="R80" s="4" t="s">
        <v>102</v>
      </c>
      <c r="S80" s="10">
        <v>2554000</v>
      </c>
      <c r="AE80" s="21"/>
      <c r="AF80" s="4" t="str">
        <f>INDEX(Employee!C:C,MATCH(AG80,Employee!B:B,0))</f>
        <v>Nguyễn Viết Khải</v>
      </c>
      <c r="AG80" s="4" t="s">
        <v>103</v>
      </c>
      <c r="AH80" s="4" t="str">
        <f>INDEX(Employee!D:D,MATCH(AG80,Employee!B:B,0))</f>
        <v>Lead IT Support Engineer</v>
      </c>
      <c r="AI80" s="4" t="str">
        <f>INDEX(Employee!F:F,MATCH(AG80,Employee!B:B,0))</f>
        <v>Tech</v>
      </c>
      <c r="AJ80" s="4" t="e">
        <f>INDEX(Employee!C:C,MATCH(AK80,Employee!B:B,0))</f>
        <v>#N/A</v>
      </c>
      <c r="AL80" s="4" t="e">
        <f>INDEX(Employee!D:D,MATCH(AK80,Employee!B:B,0))</f>
        <v>#N/A</v>
      </c>
      <c r="AM80" s="4" t="e">
        <f>INDEX(Employee!F:F,MATCH(AK80,Employee!B:B,0))</f>
        <v>#N/A</v>
      </c>
      <c r="AN80" s="4" t="e">
        <f>INDEX(Employee!H:H,MATCH(AK80,Employee!B:B,0))</f>
        <v>#N/A</v>
      </c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 s="6"/>
    </row>
    <row r="81" spans="1:102" s="4" customFormat="1" hidden="1">
      <c r="A81" s="3">
        <f t="shared" si="4"/>
        <v>80</v>
      </c>
      <c r="B81" s="4" t="s">
        <v>14</v>
      </c>
      <c r="C81" s="4" t="s">
        <v>3</v>
      </c>
      <c r="D81" s="4" t="str">
        <f>INDEX(Employee!E:E,MATCH(AK81,Employee!B:B,0))</f>
        <v>Project</v>
      </c>
      <c r="E81" s="4" t="str">
        <f>INDEX(Employee!F:F,MATCH(AK81,Employee!B:B,0))</f>
        <v>Tech</v>
      </c>
      <c r="F81" s="4" t="str">
        <f>INDEX(Employee!G:G,MATCH(AK81,Employee!B:B,0))</f>
        <v>Venture</v>
      </c>
      <c r="G81" s="4" t="s">
        <v>15</v>
      </c>
      <c r="H81" s="4" t="s">
        <v>294</v>
      </c>
      <c r="I81" s="4" t="str">
        <f t="shared" si="8"/>
        <v>LAP0064</v>
      </c>
      <c r="J81" s="4" t="s">
        <v>99</v>
      </c>
      <c r="K81" s="4" t="s">
        <v>226</v>
      </c>
      <c r="L81" s="4" t="s">
        <v>50</v>
      </c>
      <c r="M81" s="4" t="str">
        <f t="shared" si="7"/>
        <v>512GB</v>
      </c>
      <c r="N81" s="13" t="b">
        <v>1</v>
      </c>
      <c r="O81" s="13" t="b">
        <v>0</v>
      </c>
      <c r="P81" s="4" t="s">
        <v>295</v>
      </c>
      <c r="Q81" s="14">
        <v>45520</v>
      </c>
      <c r="R81" s="4" t="s">
        <v>102</v>
      </c>
      <c r="S81" s="10">
        <v>32727273</v>
      </c>
      <c r="AE81" s="21"/>
      <c r="AF81" s="4" t="str">
        <f>INDEX(Employee!C:C,MATCH(AG81,Employee!B:B,0))</f>
        <v>Nguyễn Viết Khải</v>
      </c>
      <c r="AG81" s="4" t="s">
        <v>103</v>
      </c>
      <c r="AH81" s="4" t="str">
        <f>INDEX(Employee!D:D,MATCH(AG81,Employee!B:B,0))</f>
        <v>Lead IT Support Engineer</v>
      </c>
      <c r="AI81" s="4" t="str">
        <f>INDEX(Employee!F:F,MATCH(AG81,Employee!B:B,0))</f>
        <v>Tech</v>
      </c>
      <c r="AJ81" s="4" t="str">
        <f>INDEX(Employee!C:C,MATCH(AK81,Employee!B:B,0))</f>
        <v>Nguyễn Hồ Quốc Thịnh</v>
      </c>
      <c r="AK81" s="4" t="s">
        <v>296</v>
      </c>
      <c r="AL81" s="4" t="str">
        <f>INDEX(Employee!D:D,MATCH(AK81,Employee!B:B,0))</f>
        <v>Senior Software Engineer, Team Leader</v>
      </c>
      <c r="AM81" s="4" t="str">
        <f>INDEX(Employee!F:F,MATCH(AK81,Employee!B:B,0))</f>
        <v>Tech</v>
      </c>
      <c r="AN81" s="4" t="str">
        <f>INDEX(Employee!H:H,MATCH(AK81,Employee!B:B,0))</f>
        <v>Đoàn Nhật Duẩn</v>
      </c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 s="6"/>
    </row>
    <row r="82" spans="1:102" s="4" customFormat="1" hidden="1">
      <c r="A82" s="3">
        <f t="shared" si="4"/>
        <v>81</v>
      </c>
      <c r="B82" s="4" t="s">
        <v>14</v>
      </c>
      <c r="C82" s="4" t="s">
        <v>3</v>
      </c>
      <c r="D82" s="4" t="str">
        <f>INDEX(Employee!E:E,MATCH(AK82,Employee!B:B,0))</f>
        <v>CTD</v>
      </c>
      <c r="E82" s="4" t="str">
        <f>INDEX(Employee!F:F,MATCH(AK82,Employee!B:B,0))</f>
        <v>CTD</v>
      </c>
      <c r="F82" s="4" t="str">
        <f>INDEX(Employee!G:G,MATCH(AK82,Employee!B:B,0))</f>
        <v>CTD</v>
      </c>
      <c r="G82" s="4" t="s">
        <v>15</v>
      </c>
      <c r="I82" s="4" t="str">
        <f t="shared" si="8"/>
        <v>LAP0065</v>
      </c>
      <c r="J82" s="4" t="s">
        <v>115</v>
      </c>
      <c r="K82" s="7" t="s">
        <v>164</v>
      </c>
      <c r="L82" s="7" t="s">
        <v>52</v>
      </c>
      <c r="M82" s="4" t="str">
        <f t="shared" si="7"/>
        <v>256GB</v>
      </c>
      <c r="N82" s="13" t="b">
        <v>1</v>
      </c>
      <c r="O82" s="13" t="b">
        <v>1</v>
      </c>
      <c r="P82" s="4" t="s">
        <v>297</v>
      </c>
      <c r="Q82" s="14">
        <v>45420</v>
      </c>
      <c r="R82" s="4" t="s">
        <v>102</v>
      </c>
      <c r="S82" s="10">
        <v>25413445</v>
      </c>
      <c r="AE82" s="21"/>
      <c r="AF82" s="4" t="str">
        <f>INDEX(Employee!C:C,MATCH(AG82,Employee!B:B,0))</f>
        <v>Nguyễn Viết Khải</v>
      </c>
      <c r="AG82" s="4" t="s">
        <v>103</v>
      </c>
      <c r="AH82" s="4" t="str">
        <f>INDEX(Employee!D:D,MATCH(AG82,Employee!B:B,0))</f>
        <v>Lead IT Support Engineer</v>
      </c>
      <c r="AI82" s="4" t="str">
        <f>INDEX(Employee!F:F,MATCH(AG82,Employee!B:B,0))</f>
        <v>Tech</v>
      </c>
      <c r="AJ82" s="4" t="str">
        <f>INDEX(Employee!C:C,MATCH(AK82,Employee!B:B,0))</f>
        <v>Nguyễn Minh Thy</v>
      </c>
      <c r="AK82" s="4" t="s">
        <v>298</v>
      </c>
      <c r="AL82" s="4" t="str">
        <f>INDEX(Employee!D:D,MATCH(AK82,Employee!B:B,0))</f>
        <v>IT Operator</v>
      </c>
      <c r="AM82" s="4" t="str">
        <f>INDEX(Employee!F:F,MATCH(AK82,Employee!B:B,0))</f>
        <v>CTD</v>
      </c>
      <c r="AN82" s="4" t="str">
        <f>INDEX(Employee!H:H,MATCH(AK82,Employee!B:B,0))</f>
        <v>CTD</v>
      </c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 s="6"/>
    </row>
    <row r="83" spans="1:102" s="4" customFormat="1" hidden="1">
      <c r="A83" s="3">
        <f t="shared" si="4"/>
        <v>82</v>
      </c>
      <c r="B83" s="4" t="s">
        <v>14</v>
      </c>
      <c r="C83" s="4" t="s">
        <v>3</v>
      </c>
      <c r="D83" s="4" t="str">
        <f>INDEX(Employee!E:E,MATCH(AK83,Employee!B:B,0))</f>
        <v>BO</v>
      </c>
      <c r="E83" s="4" t="str">
        <f>INDEX(Employee!F:F,MATCH(AK83,Employee!B:B,0))</f>
        <v>Business Support</v>
      </c>
      <c r="F83" s="4" t="str">
        <f>INDEX(Employee!G:G,MATCH(AK83,Employee!B:B,0))</f>
        <v>Operation Team</v>
      </c>
      <c r="G83" s="4" t="s">
        <v>15</v>
      </c>
      <c r="I83" s="4" t="str">
        <f t="shared" si="8"/>
        <v>LAP0066</v>
      </c>
      <c r="J83" s="4" t="s">
        <v>115</v>
      </c>
      <c r="K83" s="7" t="s">
        <v>245</v>
      </c>
      <c r="L83" s="7" t="s">
        <v>52</v>
      </c>
      <c r="M83" s="4" t="str">
        <f t="shared" si="7"/>
        <v>256GB</v>
      </c>
      <c r="N83" s="13" t="b">
        <v>1</v>
      </c>
      <c r="O83" s="13" t="b">
        <v>0</v>
      </c>
      <c r="P83" s="4" t="s">
        <v>299</v>
      </c>
      <c r="Q83" s="14">
        <v>44840</v>
      </c>
      <c r="R83" s="4" t="s">
        <v>102</v>
      </c>
      <c r="S83" s="10">
        <v>2490280</v>
      </c>
      <c r="AE83" s="21"/>
      <c r="AF83" s="4" t="str">
        <f>INDEX(Employee!C:C,MATCH(AG83,Employee!B:B,0))</f>
        <v>Nguyễn Viết Khải</v>
      </c>
      <c r="AG83" s="4" t="s">
        <v>103</v>
      </c>
      <c r="AH83" s="4" t="str">
        <f>INDEX(Employee!D:D,MATCH(AG83,Employee!B:B,0))</f>
        <v>Lead IT Support Engineer</v>
      </c>
      <c r="AI83" s="4" t="str">
        <f>INDEX(Employee!F:F,MATCH(AG83,Employee!B:B,0))</f>
        <v>Tech</v>
      </c>
      <c r="AJ83" s="4" t="str">
        <f>INDEX(Employee!C:C,MATCH(AK83,Employee!B:B,0))</f>
        <v>Trương Nữ Ngọc Mai</v>
      </c>
      <c r="AK83" s="4" t="s">
        <v>219</v>
      </c>
      <c r="AL83" s="4" t="str">
        <f>INDEX(Employee!D:D,MATCH(AK83,Employee!B:B,0))</f>
        <v>Admin Executive</v>
      </c>
      <c r="AM83" s="4" t="str">
        <f>INDEX(Employee!F:F,MATCH(AK83,Employee!B:B,0))</f>
        <v>Business Support</v>
      </c>
      <c r="AN83" s="4" t="str">
        <f>INDEX(Employee!H:H,MATCH(AK83,Employee!B:B,0))</f>
        <v>Đoàn Hà Mi</v>
      </c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 s="6"/>
    </row>
    <row r="84" spans="1:102" s="4" customFormat="1" hidden="1">
      <c r="A84" s="3">
        <f t="shared" si="4"/>
        <v>83</v>
      </c>
      <c r="B84" s="4" t="s">
        <v>14</v>
      </c>
      <c r="C84" s="4" t="s">
        <v>4</v>
      </c>
      <c r="D84" s="4" t="e">
        <f>INDEX(Employee!E:E,MATCH(AK84,Employee!B:B,0))</f>
        <v>#N/A</v>
      </c>
      <c r="E84" s="4" t="e">
        <f>INDEX(Employee!F:F,MATCH(AK84,Employee!B:B,0))</f>
        <v>#N/A</v>
      </c>
      <c r="F84" s="4" t="e">
        <f>INDEX(Employee!G:G,MATCH(AK84,Employee!B:B,0))</f>
        <v>#N/A</v>
      </c>
      <c r="G84" s="4" t="s">
        <v>15</v>
      </c>
      <c r="H84" s="4" t="s">
        <v>300</v>
      </c>
      <c r="I84" s="4" t="str">
        <f t="shared" si="8"/>
        <v>LAP0067</v>
      </c>
      <c r="J84" s="4" t="s">
        <v>115</v>
      </c>
      <c r="K84" s="7" t="s">
        <v>164</v>
      </c>
      <c r="L84" s="7" t="s">
        <v>52</v>
      </c>
      <c r="M84" s="4" t="str">
        <f t="shared" si="7"/>
        <v>256GB</v>
      </c>
      <c r="N84" s="13" t="b">
        <v>1</v>
      </c>
      <c r="O84" s="13" t="b">
        <v>0</v>
      </c>
      <c r="P84" s="9" t="s">
        <v>301</v>
      </c>
      <c r="Q84" s="14">
        <v>44671</v>
      </c>
      <c r="R84" s="4" t="s">
        <v>102</v>
      </c>
      <c r="S84" s="10">
        <v>2815891</v>
      </c>
      <c r="AE84" s="21"/>
      <c r="AF84" s="4" t="str">
        <f>INDEX(Employee!C:C,MATCH(AG84,Employee!B:B,0))</f>
        <v>Nguyễn Viết Khải</v>
      </c>
      <c r="AG84" s="4" t="s">
        <v>103</v>
      </c>
      <c r="AH84" s="4" t="str">
        <f>INDEX(Employee!D:D,MATCH(AG84,Employee!B:B,0))</f>
        <v>Lead IT Support Engineer</v>
      </c>
      <c r="AI84" s="4" t="str">
        <f>INDEX(Employee!F:F,MATCH(AG84,Employee!B:B,0))</f>
        <v>Tech</v>
      </c>
      <c r="AJ84" s="4" t="e">
        <f>INDEX(Employee!C:C,MATCH(AK84,Employee!B:B,0))</f>
        <v>#N/A</v>
      </c>
      <c r="AL84" s="4" t="e">
        <f>INDEX(Employee!D:D,MATCH(AK84,Employee!B:B,0))</f>
        <v>#N/A</v>
      </c>
      <c r="AM84" s="4" t="e">
        <f>INDEX(Employee!F:F,MATCH(AK84,Employee!B:B,0))</f>
        <v>#N/A</v>
      </c>
      <c r="AN84" s="4" t="e">
        <f>INDEX(Employee!H:H,MATCH(AK84,Employee!B:B,0))</f>
        <v>#N/A</v>
      </c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 s="6"/>
    </row>
    <row r="85" spans="1:102" s="4" customFormat="1" hidden="1">
      <c r="A85" s="3">
        <f t="shared" si="4"/>
        <v>84</v>
      </c>
      <c r="B85" s="4" t="s">
        <v>14</v>
      </c>
      <c r="C85" s="4" t="s">
        <v>4</v>
      </c>
      <c r="D85" s="4" t="str">
        <f>INDEX(Employee!E:E,MATCH(AK85,Employee!B:B,0))</f>
        <v>BO</v>
      </c>
      <c r="E85" s="4" t="str">
        <f>INDEX(Employee!F:F,MATCH(AK85,Employee!B:B,0))</f>
        <v>Business Support</v>
      </c>
      <c r="F85" s="4" t="str">
        <f>INDEX(Employee!G:G,MATCH(AK85,Employee!B:B,0))</f>
        <v>Operation Team</v>
      </c>
      <c r="G85" s="4" t="s">
        <v>15</v>
      </c>
      <c r="I85" s="4" t="str">
        <f t="shared" si="8"/>
        <v>LAP0068</v>
      </c>
      <c r="J85" s="4" t="s">
        <v>115</v>
      </c>
      <c r="K85" s="7" t="s">
        <v>137</v>
      </c>
      <c r="L85" s="7" t="s">
        <v>52</v>
      </c>
      <c r="M85" s="4" t="str">
        <f t="shared" si="7"/>
        <v>256GB</v>
      </c>
      <c r="N85" s="13" t="b">
        <v>1</v>
      </c>
      <c r="O85" s="13" t="b">
        <v>0</v>
      </c>
      <c r="P85" s="4" t="s">
        <v>302</v>
      </c>
      <c r="Q85" s="14">
        <v>44119</v>
      </c>
      <c r="R85" s="4" t="s">
        <v>102</v>
      </c>
      <c r="S85" s="10">
        <v>2645600</v>
      </c>
      <c r="AE85" s="21"/>
      <c r="AF85" s="4" t="str">
        <f>INDEX(Employee!C:C,MATCH(AG85,Employee!B:B,0))</f>
        <v>Nguyễn Viết Khải</v>
      </c>
      <c r="AG85" s="4" t="s">
        <v>103</v>
      </c>
      <c r="AH85" s="4" t="str">
        <f>INDEX(Employee!D:D,MATCH(AG85,Employee!B:B,0))</f>
        <v>Lead IT Support Engineer</v>
      </c>
      <c r="AI85" s="4" t="str">
        <f>INDEX(Employee!F:F,MATCH(AG85,Employee!B:B,0))</f>
        <v>Tech</v>
      </c>
      <c r="AJ85" s="4" t="str">
        <f>INDEX(Employee!C:C,MATCH(AK85,Employee!B:B,0))</f>
        <v>Nguyễn Việt Trung</v>
      </c>
      <c r="AK85" s="4" t="s">
        <v>303</v>
      </c>
      <c r="AL85" s="4" t="str">
        <f>INDEX(Employee!D:D,MATCH(AK85,Employee!B:B,0))</f>
        <v>Internal Auditor</v>
      </c>
      <c r="AM85" s="4" t="str">
        <f>INDEX(Employee!F:F,MATCH(AK85,Employee!B:B,0))</f>
        <v>Business Support</v>
      </c>
      <c r="AN85" s="4" t="str">
        <f>INDEX(Employee!H:H,MATCH(AK85,Employee!B:B,0))</f>
        <v>Nguyễn Thị My Sa</v>
      </c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 s="6"/>
    </row>
    <row r="86" spans="1:102" s="4" customFormat="1" hidden="1">
      <c r="A86" s="3">
        <f t="shared" si="4"/>
        <v>85</v>
      </c>
      <c r="B86" s="4" t="s">
        <v>14</v>
      </c>
      <c r="C86" s="4" t="s">
        <v>7</v>
      </c>
      <c r="D86" s="4">
        <f>INDEX(Employee!E:E,MATCH(AK86,Employee!B:B,0))</f>
        <v>0</v>
      </c>
      <c r="E86" s="4">
        <f>INDEX(Employee!F:F,MATCH(AK86,Employee!B:B,0))</f>
        <v>0</v>
      </c>
      <c r="F86" s="4">
        <f>INDEX(Employee!G:G,MATCH(AK86,Employee!B:B,0))</f>
        <v>0</v>
      </c>
      <c r="G86" s="4" t="s">
        <v>15</v>
      </c>
      <c r="I86" s="4" t="str">
        <f t="shared" si="8"/>
        <v>LAP0069</v>
      </c>
      <c r="J86" s="4" t="s">
        <v>115</v>
      </c>
      <c r="K86" s="7" t="s">
        <v>164</v>
      </c>
      <c r="L86" s="7" t="s">
        <v>52</v>
      </c>
      <c r="M86" s="4" t="str">
        <f t="shared" si="7"/>
        <v>256GB</v>
      </c>
      <c r="N86" s="13" t="b">
        <v>0</v>
      </c>
      <c r="O86" s="13" t="b">
        <v>0</v>
      </c>
      <c r="P86" s="4" t="s">
        <v>304</v>
      </c>
      <c r="Q86" s="14">
        <v>44642</v>
      </c>
      <c r="R86" s="4" t="s">
        <v>102</v>
      </c>
      <c r="S86" s="10">
        <v>3472640</v>
      </c>
      <c r="AE86" s="21"/>
      <c r="AF86" s="4" t="str">
        <f>INDEX(Employee!C:C,MATCH(AG86,Employee!B:B,0))</f>
        <v>Nguyễn Viết Khải</v>
      </c>
      <c r="AG86" s="4" t="s">
        <v>103</v>
      </c>
      <c r="AH86" s="4" t="str">
        <f>INDEX(Employee!D:D,MATCH(AG86,Employee!B:B,0))</f>
        <v>Lead IT Support Engineer</v>
      </c>
      <c r="AI86" s="4" t="str">
        <f>INDEX(Employee!F:F,MATCH(AG86,Employee!B:B,0))</f>
        <v>Tech</v>
      </c>
      <c r="AJ86" s="4" t="str">
        <f>INDEX(Employee!C:C,MATCH(AK86,Employee!B:B,0))</f>
        <v>Kiết Văn</v>
      </c>
      <c r="AK86" s="4" t="s">
        <v>305</v>
      </c>
      <c r="AL86" s="4">
        <f>INDEX(Employee!D:D,MATCH(AK86,Employee!B:B,0))</f>
        <v>0</v>
      </c>
      <c r="AM86" s="4">
        <f>INDEX(Employee!F:F,MATCH(AK86,Employee!B:B,0))</f>
        <v>0</v>
      </c>
      <c r="AN86" s="4">
        <f>INDEX(Employee!H:H,MATCH(AK86,Employee!B:B,0))</f>
        <v>0</v>
      </c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 s="6"/>
    </row>
    <row r="87" spans="1:102" s="4" customFormat="1" hidden="1">
      <c r="A87" s="3">
        <f t="shared" si="4"/>
        <v>86</v>
      </c>
      <c r="B87" s="4" t="s">
        <v>14</v>
      </c>
      <c r="C87" s="4" t="s">
        <v>4</v>
      </c>
      <c r="D87" s="4" t="e">
        <f>INDEX(Employee!E:E,MATCH(AK87,Employee!B:B,0))</f>
        <v>#N/A</v>
      </c>
      <c r="E87" s="4" t="e">
        <f>INDEX(Employee!F:F,MATCH(AK87,Employee!B:B,0))</f>
        <v>#N/A</v>
      </c>
      <c r="F87" s="4" t="e">
        <f>INDEX(Employee!G:G,MATCH(AK87,Employee!B:B,0))</f>
        <v>#N/A</v>
      </c>
      <c r="G87" s="4" t="s">
        <v>15</v>
      </c>
      <c r="H87" s="4" t="s">
        <v>306</v>
      </c>
      <c r="I87" s="4" t="str">
        <f t="shared" si="8"/>
        <v>LAP0070</v>
      </c>
      <c r="J87" s="4" t="s">
        <v>115</v>
      </c>
      <c r="K87" s="7" t="s">
        <v>184</v>
      </c>
      <c r="L87" s="7" t="s">
        <v>52</v>
      </c>
      <c r="M87" s="4" t="str">
        <f t="shared" si="7"/>
        <v>256GB</v>
      </c>
      <c r="N87" s="13" t="b">
        <v>1</v>
      </c>
      <c r="O87" s="13" t="b">
        <v>0</v>
      </c>
      <c r="P87" s="4" t="s">
        <v>307</v>
      </c>
      <c r="Q87" s="14">
        <v>43587</v>
      </c>
      <c r="R87" s="4" t="s">
        <v>102</v>
      </c>
      <c r="S87" s="10">
        <v>2562800</v>
      </c>
      <c r="AE87" s="21"/>
      <c r="AF87" s="4" t="str">
        <f>INDEX(Employee!C:C,MATCH(AG87,Employee!B:B,0))</f>
        <v>Nguyễn Viết Khải</v>
      </c>
      <c r="AG87" s="4" t="s">
        <v>103</v>
      </c>
      <c r="AH87" s="4" t="str">
        <f>INDEX(Employee!D:D,MATCH(AG87,Employee!B:B,0))</f>
        <v>Lead IT Support Engineer</v>
      </c>
      <c r="AI87" s="4" t="str">
        <f>INDEX(Employee!F:F,MATCH(AG87,Employee!B:B,0))</f>
        <v>Tech</v>
      </c>
      <c r="AJ87" s="4" t="e">
        <f>INDEX(Employee!C:C,MATCH(AK87,Employee!B:B,0))</f>
        <v>#N/A</v>
      </c>
      <c r="AL87" s="4" t="e">
        <f>INDEX(Employee!D:D,MATCH(AK87,Employee!B:B,0))</f>
        <v>#N/A</v>
      </c>
      <c r="AM87" s="4" t="e">
        <f>INDEX(Employee!F:F,MATCH(AK87,Employee!B:B,0))</f>
        <v>#N/A</v>
      </c>
      <c r="AN87" s="4" t="e">
        <f>INDEX(Employee!H:H,MATCH(AK87,Employee!B:B,0))</f>
        <v>#N/A</v>
      </c>
      <c r="AQ87" s="4" t="s">
        <v>308</v>
      </c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 s="6"/>
    </row>
    <row r="88" spans="1:102" s="4" customFormat="1" hidden="1">
      <c r="A88" s="3">
        <f t="shared" si="4"/>
        <v>87</v>
      </c>
      <c r="B88" s="4" t="s">
        <v>18</v>
      </c>
      <c r="C88" s="4" t="s">
        <v>4</v>
      </c>
      <c r="D88" s="4" t="e">
        <f>INDEX(Employee!E:E,MATCH(AK88,Employee!B:B,0))</f>
        <v>#N/A</v>
      </c>
      <c r="E88" s="4" t="e">
        <f>INDEX(Employee!F:F,MATCH(AK88,Employee!B:B,0))</f>
        <v>#N/A</v>
      </c>
      <c r="F88" s="4" t="e">
        <f>INDEX(Employee!G:G,MATCH(AK88,Employee!B:B,0))</f>
        <v>#N/A</v>
      </c>
      <c r="G88" s="4" t="s">
        <v>15</v>
      </c>
      <c r="I88" s="4" t="s">
        <v>309</v>
      </c>
      <c r="J88" s="4" t="s">
        <v>111</v>
      </c>
      <c r="K88" s="4" t="s">
        <v>112</v>
      </c>
      <c r="N88" s="13" t="b">
        <v>0</v>
      </c>
      <c r="O88" s="13" t="b">
        <v>0</v>
      </c>
      <c r="P88" s="4" t="s">
        <v>310</v>
      </c>
      <c r="Q88" s="14">
        <v>45233</v>
      </c>
      <c r="R88" s="4" t="s">
        <v>102</v>
      </c>
      <c r="S88" s="10">
        <v>20182</v>
      </c>
      <c r="AF88" s="4" t="str">
        <f>INDEX(Employee!C:C,MATCH(AG88,Employee!B:B,0))</f>
        <v>Nguyễn Viết Khải</v>
      </c>
      <c r="AG88" s="4" t="s">
        <v>103</v>
      </c>
      <c r="AH88" s="4" t="str">
        <f>INDEX(Employee!D:D,MATCH(AG88,Employee!B:B,0))</f>
        <v>Lead IT Support Engineer</v>
      </c>
      <c r="AI88" s="4" t="str">
        <f>INDEX(Employee!F:F,MATCH(AG88,Employee!B:B,0))</f>
        <v>Tech</v>
      </c>
      <c r="AJ88" s="4" t="e">
        <f>INDEX(Employee!C:C,MATCH(AK88,Employee!B:B,0))</f>
        <v>#N/A</v>
      </c>
      <c r="AL88" s="4" t="e">
        <f>INDEX(Employee!D:D,MATCH(AK88,Employee!B:B,0))</f>
        <v>#N/A</v>
      </c>
      <c r="AM88" s="4" t="e">
        <f>INDEX(Employee!F:F,MATCH(AK88,Employee!B:B,0))</f>
        <v>#N/A</v>
      </c>
      <c r="AN88" s="4" t="e">
        <f>INDEX(Employee!H:H,MATCH(AK88,Employee!B:B,0))</f>
        <v>#N/A</v>
      </c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 s="6"/>
    </row>
    <row r="89" spans="1:102" s="4" customFormat="1" hidden="1">
      <c r="A89" s="3">
        <f t="shared" si="4"/>
        <v>88</v>
      </c>
      <c r="B89" s="4" t="s">
        <v>18</v>
      </c>
      <c r="C89" s="4" t="s">
        <v>5</v>
      </c>
      <c r="D89" s="4" t="e">
        <f>INDEX(Employee!E:E,MATCH(AK89,Employee!B:B,0))</f>
        <v>#N/A</v>
      </c>
      <c r="E89" s="4" t="e">
        <f>INDEX(Employee!F:F,MATCH(AK89,Employee!B:B,0))</f>
        <v>#N/A</v>
      </c>
      <c r="F89" s="4" t="e">
        <f>INDEX(Employee!G:G,MATCH(AK89,Employee!B:B,0))</f>
        <v>#N/A</v>
      </c>
      <c r="G89" s="4" t="s">
        <v>15</v>
      </c>
      <c r="I89" s="4" t="s">
        <v>311</v>
      </c>
      <c r="J89" s="4" t="s">
        <v>111</v>
      </c>
      <c r="K89" s="4" t="s">
        <v>112</v>
      </c>
      <c r="N89" s="13" t="b">
        <v>0</v>
      </c>
      <c r="O89" s="13" t="b">
        <v>0</v>
      </c>
      <c r="P89" s="4" t="s">
        <v>312</v>
      </c>
      <c r="Q89" s="14">
        <v>45233</v>
      </c>
      <c r="R89" s="4" t="s">
        <v>102</v>
      </c>
      <c r="S89" s="10">
        <v>20182</v>
      </c>
      <c r="AF89" s="4" t="str">
        <f>INDEX(Employee!C:C,MATCH(AG89,Employee!B:B,0))</f>
        <v>Nguyễn Viết Khải</v>
      </c>
      <c r="AG89" s="4" t="s">
        <v>103</v>
      </c>
      <c r="AH89" s="4" t="str">
        <f>INDEX(Employee!D:D,MATCH(AG89,Employee!B:B,0))</f>
        <v>Lead IT Support Engineer</v>
      </c>
      <c r="AI89" s="4" t="str">
        <f>INDEX(Employee!F:F,MATCH(AG89,Employee!B:B,0))</f>
        <v>Tech</v>
      </c>
      <c r="AJ89" s="4" t="e">
        <f>INDEX(Employee!C:C,MATCH(AK89,Employee!B:B,0))</f>
        <v>#N/A</v>
      </c>
      <c r="AL89" s="4" t="e">
        <f>INDEX(Employee!D:D,MATCH(AK89,Employee!B:B,0))</f>
        <v>#N/A</v>
      </c>
      <c r="AM89" s="4" t="e">
        <f>INDEX(Employee!F:F,MATCH(AK89,Employee!B:B,0))</f>
        <v>#N/A</v>
      </c>
      <c r="AN89" s="4" t="e">
        <f>INDEX(Employee!H:H,MATCH(AK89,Employee!B:B,0))</f>
        <v>#N/A</v>
      </c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 s="6"/>
    </row>
    <row r="90" spans="1:102" s="4" customFormat="1" hidden="1">
      <c r="A90" s="3">
        <f t="shared" si="4"/>
        <v>89</v>
      </c>
      <c r="B90" s="4" t="s">
        <v>18</v>
      </c>
      <c r="C90" s="4" t="s">
        <v>4</v>
      </c>
      <c r="D90" s="4" t="e">
        <f>INDEX(Employee!E:E,MATCH(AK90,Employee!B:B,0))</f>
        <v>#N/A</v>
      </c>
      <c r="E90" s="4" t="e">
        <f>INDEX(Employee!F:F,MATCH(AK90,Employee!B:B,0))</f>
        <v>#N/A</v>
      </c>
      <c r="F90" s="4" t="e">
        <f>INDEX(Employee!G:G,MATCH(AK90,Employee!B:B,0))</f>
        <v>#N/A</v>
      </c>
      <c r="G90" s="4" t="s">
        <v>15</v>
      </c>
      <c r="I90" s="4" t="s">
        <v>313</v>
      </c>
      <c r="J90" s="4" t="s">
        <v>111</v>
      </c>
      <c r="K90" s="4" t="s">
        <v>112</v>
      </c>
      <c r="N90" s="13" t="b">
        <v>0</v>
      </c>
      <c r="O90" s="13" t="b">
        <v>0</v>
      </c>
      <c r="P90" s="4" t="s">
        <v>314</v>
      </c>
      <c r="Q90" s="14">
        <v>45233</v>
      </c>
      <c r="R90" s="4" t="s">
        <v>102</v>
      </c>
      <c r="S90" s="10">
        <v>20182</v>
      </c>
      <c r="AF90" s="4" t="str">
        <f>INDEX(Employee!C:C,MATCH(AG90,Employee!B:B,0))</f>
        <v>Nguyễn Viết Khải</v>
      </c>
      <c r="AG90" s="4" t="s">
        <v>103</v>
      </c>
      <c r="AH90" s="4" t="str">
        <f>INDEX(Employee!D:D,MATCH(AG90,Employee!B:B,0))</f>
        <v>Lead IT Support Engineer</v>
      </c>
      <c r="AI90" s="4" t="str">
        <f>INDEX(Employee!F:F,MATCH(AG90,Employee!B:B,0))</f>
        <v>Tech</v>
      </c>
      <c r="AJ90" s="4" t="e">
        <f>INDEX(Employee!C:C,MATCH(AK90,Employee!B:B,0))</f>
        <v>#N/A</v>
      </c>
      <c r="AL90" s="4" t="e">
        <f>INDEX(Employee!D:D,MATCH(AK90,Employee!B:B,0))</f>
        <v>#N/A</v>
      </c>
      <c r="AM90" s="4" t="e">
        <f>INDEX(Employee!F:F,MATCH(AK90,Employee!B:B,0))</f>
        <v>#N/A</v>
      </c>
      <c r="AN90" s="4" t="e">
        <f>INDEX(Employee!H:H,MATCH(AK90,Employee!B:B,0))</f>
        <v>#N/A</v>
      </c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 s="6"/>
    </row>
    <row r="91" spans="1:102" s="4" customFormat="1" hidden="1">
      <c r="A91" s="3">
        <f t="shared" si="4"/>
        <v>90</v>
      </c>
      <c r="B91" s="4" t="s">
        <v>18</v>
      </c>
      <c r="C91" s="4" t="s">
        <v>4</v>
      </c>
      <c r="D91" s="4" t="str">
        <f>INDEX(Employee!E:E,MATCH(AK91,Employee!B:B,0))</f>
        <v>Project</v>
      </c>
      <c r="E91" s="4" t="str">
        <f>INDEX(Employee!F:F,MATCH(AK91,Employee!B:B,0))</f>
        <v>Tech</v>
      </c>
      <c r="F91" s="4" t="str">
        <f>INDEX(Employee!G:G,MATCH(AK91,Employee!B:B,0))</f>
        <v>Resource Pool</v>
      </c>
      <c r="G91" s="4" t="s">
        <v>15</v>
      </c>
      <c r="I91" s="4" t="s">
        <v>315</v>
      </c>
      <c r="J91" s="4" t="s">
        <v>111</v>
      </c>
      <c r="K91" s="4" t="s">
        <v>112</v>
      </c>
      <c r="N91" s="13" t="b">
        <v>0</v>
      </c>
      <c r="O91" s="13" t="b">
        <v>0</v>
      </c>
      <c r="P91" s="4" t="s">
        <v>316</v>
      </c>
      <c r="Q91" s="14">
        <v>45233</v>
      </c>
      <c r="R91" s="4" t="s">
        <v>102</v>
      </c>
      <c r="S91" s="10">
        <v>20182</v>
      </c>
      <c r="AF91" s="4" t="str">
        <f>INDEX(Employee!C:C,MATCH(AG91,Employee!B:B,0))</f>
        <v>Nguyễn Viết Khải</v>
      </c>
      <c r="AG91" s="4" t="s">
        <v>103</v>
      </c>
      <c r="AH91" s="4" t="str">
        <f>INDEX(Employee!D:D,MATCH(AG91,Employee!B:B,0))</f>
        <v>Lead IT Support Engineer</v>
      </c>
      <c r="AI91" s="4" t="str">
        <f>INDEX(Employee!F:F,MATCH(AG91,Employee!B:B,0))</f>
        <v>Tech</v>
      </c>
      <c r="AJ91" s="4" t="str">
        <f>INDEX(Employee!C:C,MATCH(AK91,Employee!B:B,0))</f>
        <v>Nguyễn Lê Thanh Trúc</v>
      </c>
      <c r="AK91" s="4" t="s">
        <v>317</v>
      </c>
      <c r="AL91" s="4" t="str">
        <f>INDEX(Employee!D:D,MATCH(AK91,Employee!B:B,0))</f>
        <v>Fresher QC Engineer</v>
      </c>
      <c r="AM91" s="4" t="str">
        <f>INDEX(Employee!F:F,MATCH(AK91,Employee!B:B,0))</f>
        <v>Tech</v>
      </c>
      <c r="AN91" s="4" t="str">
        <f>INDEX(Employee!H:H,MATCH(AK91,Employee!B:B,0))</f>
        <v>Đoàn Hải Nam</v>
      </c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 s="6"/>
    </row>
    <row r="92" spans="1:102" s="4" customFormat="1" hidden="1">
      <c r="A92" s="3">
        <f t="shared" si="4"/>
        <v>91</v>
      </c>
      <c r="B92" s="4" t="s">
        <v>18</v>
      </c>
      <c r="C92" s="4" t="s">
        <v>3</v>
      </c>
      <c r="D92" s="4" t="str">
        <f>INDEX(Employee!E:E,MATCH(AK92,Employee!B:B,0))</f>
        <v>BO</v>
      </c>
      <c r="E92" s="4" t="str">
        <f>INDEX(Employee!F:F,MATCH(AK92,Employee!B:B,0))</f>
        <v>Business Support</v>
      </c>
      <c r="F92" s="4" t="str">
        <f>INDEX(Employee!G:G,MATCH(AK92,Employee!B:B,0))</f>
        <v>Operation Team</v>
      </c>
      <c r="G92" s="4" t="s">
        <v>119</v>
      </c>
      <c r="I92" s="4" t="s">
        <v>318</v>
      </c>
      <c r="J92" s="4" t="s">
        <v>111</v>
      </c>
      <c r="K92" s="4" t="s">
        <v>112</v>
      </c>
      <c r="N92" s="13" t="b">
        <v>0</v>
      </c>
      <c r="O92" s="13" t="b">
        <v>0</v>
      </c>
      <c r="P92" s="4" t="s">
        <v>319</v>
      </c>
      <c r="Q92" s="14">
        <v>45233</v>
      </c>
      <c r="R92" s="4" t="s">
        <v>102</v>
      </c>
      <c r="S92" s="10">
        <v>20182</v>
      </c>
      <c r="AF92" s="4" t="str">
        <f>INDEX(Employee!C:C,MATCH(AG92,Employee!B:B,0))</f>
        <v>Nguyễn Viết Khải</v>
      </c>
      <c r="AG92" s="4" t="s">
        <v>103</v>
      </c>
      <c r="AH92" s="4" t="str">
        <f>INDEX(Employee!D:D,MATCH(AG92,Employee!B:B,0))</f>
        <v>Lead IT Support Engineer</v>
      </c>
      <c r="AI92" s="4" t="str">
        <f>INDEX(Employee!F:F,MATCH(AG92,Employee!B:B,0))</f>
        <v>Tech</v>
      </c>
      <c r="AJ92" s="4" t="str">
        <f>INDEX(Employee!C:C,MATCH(AK92,Employee!B:B,0))</f>
        <v>Lê Quý Vân Anh</v>
      </c>
      <c r="AK92" s="4" t="s">
        <v>320</v>
      </c>
      <c r="AL92" s="4" t="str">
        <f>INDEX(Employee!D:D,MATCH(AK92,Employee!B:B,0))</f>
        <v>Senior C&amp;B Specialist</v>
      </c>
      <c r="AM92" s="4" t="str">
        <f>INDEX(Employee!F:F,MATCH(AK92,Employee!B:B,0))</f>
        <v>Business Support</v>
      </c>
      <c r="AN92" s="4" t="str">
        <f>INDEX(Employee!H:H,MATCH(AK92,Employee!B:B,0))</f>
        <v>Nguyễn Thị My Sa</v>
      </c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 s="6"/>
    </row>
    <row r="93" spans="1:102" s="4" customFormat="1">
      <c r="A93" s="3">
        <f t="shared" si="4"/>
        <v>92</v>
      </c>
      <c r="B93" s="4" t="s">
        <v>18</v>
      </c>
      <c r="C93" s="4" t="s">
        <v>3</v>
      </c>
      <c r="D93" s="4" t="str">
        <f>INDEX(Employee!E:E,MATCH(AK93,Employee!B:B,0))</f>
        <v>Project</v>
      </c>
      <c r="E93" s="4" t="str">
        <f>INDEX(Employee!F:F,MATCH(AK93,Employee!B:B,0))</f>
        <v>Tech</v>
      </c>
      <c r="F93" s="4" t="str">
        <f>INDEX(Employee!G:G,MATCH(AK93,Employee!B:B,0))</f>
        <v>Venture</v>
      </c>
      <c r="G93" s="4" t="s">
        <v>15</v>
      </c>
      <c r="I93" s="4" t="s">
        <v>321</v>
      </c>
      <c r="J93" s="4" t="s">
        <v>111</v>
      </c>
      <c r="K93" s="4" t="s">
        <v>112</v>
      </c>
      <c r="N93" s="13" t="b">
        <v>0</v>
      </c>
      <c r="O93" s="13" t="b">
        <v>0</v>
      </c>
      <c r="P93" s="4" t="s">
        <v>322</v>
      </c>
      <c r="Q93" s="14">
        <v>45233</v>
      </c>
      <c r="R93" s="4" t="s">
        <v>102</v>
      </c>
      <c r="S93" s="10">
        <v>20182</v>
      </c>
      <c r="AF93" s="4" t="str">
        <f>INDEX(Employee!C:C,MATCH(AG93,Employee!B:B,0))</f>
        <v>Nguyễn Viết Khải</v>
      </c>
      <c r="AG93" s="4" t="s">
        <v>103</v>
      </c>
      <c r="AH93" s="4" t="str">
        <f>INDEX(Employee!D:D,MATCH(AG93,Employee!B:B,0))</f>
        <v>Lead IT Support Engineer</v>
      </c>
      <c r="AI93" s="4" t="str">
        <f>INDEX(Employee!F:F,MATCH(AG93,Employee!B:B,0))</f>
        <v>Tech</v>
      </c>
      <c r="AJ93" s="4" t="str">
        <f>INDEX(Employee!C:C,MATCH(AK93,Employee!B:B,0))</f>
        <v>Phạm Thị Trúc Linh</v>
      </c>
      <c r="AK93" s="4" t="s">
        <v>292</v>
      </c>
      <c r="AL93" s="4" t="str">
        <f>INDEX(Employee!D:D,MATCH(AK93,Employee!B:B,0))</f>
        <v>Associate QC Engineer</v>
      </c>
      <c r="AM93" s="4" t="str">
        <f>INDEX(Employee!F:F,MATCH(AK93,Employee!B:B,0))</f>
        <v>Tech</v>
      </c>
      <c r="AN93" s="4" t="str">
        <f>INDEX(Employee!H:H,MATCH(AK93,Employee!B:B,0))</f>
        <v>Nguyễn Khánh Vy</v>
      </c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 s="6"/>
    </row>
    <row r="94" spans="1:102" s="4" customFormat="1" hidden="1">
      <c r="A94" s="3">
        <f t="shared" si="4"/>
        <v>93</v>
      </c>
      <c r="B94" s="4" t="s">
        <v>18</v>
      </c>
      <c r="C94" s="4" t="s">
        <v>5</v>
      </c>
      <c r="D94" s="4" t="e">
        <f>INDEX(Employee!E:E,MATCH(AK94,Employee!B:B,0))</f>
        <v>#N/A</v>
      </c>
      <c r="E94" s="4" t="e">
        <f>INDEX(Employee!F:F,MATCH(AK94,Employee!B:B,0))</f>
        <v>#N/A</v>
      </c>
      <c r="F94" s="4" t="e">
        <f>INDEX(Employee!G:G,MATCH(AK94,Employee!B:B,0))</f>
        <v>#N/A</v>
      </c>
      <c r="G94" s="4" t="s">
        <v>15</v>
      </c>
      <c r="I94" s="4" t="s">
        <v>323</v>
      </c>
      <c r="J94" s="4" t="s">
        <v>111</v>
      </c>
      <c r="K94" s="4" t="s">
        <v>112</v>
      </c>
      <c r="N94" s="13" t="b">
        <v>0</v>
      </c>
      <c r="O94" s="13" t="b">
        <v>0</v>
      </c>
      <c r="P94" s="4" t="s">
        <v>324</v>
      </c>
      <c r="Q94" s="14">
        <v>45233</v>
      </c>
      <c r="R94" s="4" t="s">
        <v>102</v>
      </c>
      <c r="S94" s="10">
        <v>20182</v>
      </c>
      <c r="AF94" s="4" t="str">
        <f>INDEX(Employee!C:C,MATCH(AG94,Employee!B:B,0))</f>
        <v>Nguyễn Viết Khải</v>
      </c>
      <c r="AG94" s="4" t="s">
        <v>103</v>
      </c>
      <c r="AH94" s="4" t="str">
        <f>INDEX(Employee!D:D,MATCH(AG94,Employee!B:B,0))</f>
        <v>Lead IT Support Engineer</v>
      </c>
      <c r="AI94" s="4" t="str">
        <f>INDEX(Employee!F:F,MATCH(AG94,Employee!B:B,0))</f>
        <v>Tech</v>
      </c>
      <c r="AJ94" s="4" t="e">
        <f>INDEX(Employee!C:C,MATCH(AK94,Employee!B:B,0))</f>
        <v>#N/A</v>
      </c>
      <c r="AL94" s="4" t="e">
        <f>INDEX(Employee!D:D,MATCH(AK94,Employee!B:B,0))</f>
        <v>#N/A</v>
      </c>
      <c r="AM94" s="4" t="e">
        <f>INDEX(Employee!F:F,MATCH(AK94,Employee!B:B,0))</f>
        <v>#N/A</v>
      </c>
      <c r="AN94" s="4" t="e">
        <f>INDEX(Employee!H:H,MATCH(AK94,Employee!B:B,0))</f>
        <v>#N/A</v>
      </c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 s="6"/>
    </row>
    <row r="95" spans="1:102" s="4" customFormat="1" hidden="1">
      <c r="A95" s="3">
        <f t="shared" si="4"/>
        <v>94</v>
      </c>
      <c r="B95" s="4" t="s">
        <v>18</v>
      </c>
      <c r="C95" s="4" t="s">
        <v>5</v>
      </c>
      <c r="D95" s="4" t="e">
        <f>INDEX(Employee!E:E,MATCH(AK95,Employee!B:B,0))</f>
        <v>#N/A</v>
      </c>
      <c r="E95" s="4" t="e">
        <f>INDEX(Employee!F:F,MATCH(AK95,Employee!B:B,0))</f>
        <v>#N/A</v>
      </c>
      <c r="F95" s="4" t="e">
        <f>INDEX(Employee!G:G,MATCH(AK95,Employee!B:B,0))</f>
        <v>#N/A</v>
      </c>
      <c r="G95" s="4" t="s">
        <v>15</v>
      </c>
      <c r="I95" s="4" t="s">
        <v>325</v>
      </c>
      <c r="J95" s="4" t="s">
        <v>111</v>
      </c>
      <c r="K95" s="4" t="s">
        <v>112</v>
      </c>
      <c r="N95" s="13" t="b">
        <v>0</v>
      </c>
      <c r="O95" s="13" t="b">
        <v>0</v>
      </c>
      <c r="P95" s="4" t="s">
        <v>326</v>
      </c>
      <c r="Q95" s="14">
        <v>45279</v>
      </c>
      <c r="R95" s="4" t="s">
        <v>102</v>
      </c>
      <c r="S95" s="10">
        <v>20182</v>
      </c>
      <c r="AF95" s="4" t="str">
        <f>INDEX(Employee!C:C,MATCH(AG95,Employee!B:B,0))</f>
        <v>Nguyễn Viết Khải</v>
      </c>
      <c r="AG95" s="4" t="s">
        <v>103</v>
      </c>
      <c r="AH95" s="4" t="str">
        <f>INDEX(Employee!D:D,MATCH(AG95,Employee!B:B,0))</f>
        <v>Lead IT Support Engineer</v>
      </c>
      <c r="AI95" s="4" t="str">
        <f>INDEX(Employee!F:F,MATCH(AG95,Employee!B:B,0))</f>
        <v>Tech</v>
      </c>
      <c r="AJ95" s="4" t="e">
        <f>INDEX(Employee!C:C,MATCH(AK95,Employee!B:B,0))</f>
        <v>#N/A</v>
      </c>
      <c r="AL95" s="4" t="e">
        <f>INDEX(Employee!D:D,MATCH(AK95,Employee!B:B,0))</f>
        <v>#N/A</v>
      </c>
      <c r="AM95" s="4" t="e">
        <f>INDEX(Employee!F:F,MATCH(AK95,Employee!B:B,0))</f>
        <v>#N/A</v>
      </c>
      <c r="AN95" s="4" t="e">
        <f>INDEX(Employee!H:H,MATCH(AK95,Employee!B:B,0))</f>
        <v>#N/A</v>
      </c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 s="6"/>
    </row>
    <row r="96" spans="1:102" s="4" customFormat="1" hidden="1">
      <c r="A96" s="3">
        <f t="shared" si="4"/>
        <v>95</v>
      </c>
      <c r="B96" s="4" t="s">
        <v>18</v>
      </c>
      <c r="C96" s="4" t="s">
        <v>3</v>
      </c>
      <c r="D96" s="4">
        <f>INDEX(Employee!E:E,MATCH(AK96,Employee!B:B,0))</f>
        <v>0</v>
      </c>
      <c r="E96" s="4" t="str">
        <f>INDEX(Employee!F:F,MATCH(AK96,Employee!B:B,0))</f>
        <v>Tech</v>
      </c>
      <c r="F96" s="4">
        <f>INDEX(Employee!G:G,MATCH(AK96,Employee!B:B,0))</f>
        <v>0</v>
      </c>
      <c r="G96" s="4" t="s">
        <v>119</v>
      </c>
      <c r="I96" s="4" t="s">
        <v>327</v>
      </c>
      <c r="J96" s="4" t="s">
        <v>111</v>
      </c>
      <c r="K96" s="4" t="s">
        <v>112</v>
      </c>
      <c r="N96" s="13" t="b">
        <v>0</v>
      </c>
      <c r="O96" s="13" t="b">
        <v>0</v>
      </c>
      <c r="P96" s="4" t="s">
        <v>328</v>
      </c>
      <c r="Q96" s="14">
        <v>45279</v>
      </c>
      <c r="R96" s="4" t="s">
        <v>102</v>
      </c>
      <c r="S96" s="10">
        <v>20182</v>
      </c>
      <c r="AF96" s="4" t="str">
        <f>INDEX(Employee!C:C,MATCH(AG96,Employee!B:B,0))</f>
        <v>Nguyễn Viết Khải</v>
      </c>
      <c r="AG96" s="4" t="s">
        <v>103</v>
      </c>
      <c r="AH96" s="4" t="str">
        <f>INDEX(Employee!D:D,MATCH(AG96,Employee!B:B,0))</f>
        <v>Lead IT Support Engineer</v>
      </c>
      <c r="AI96" s="4" t="str">
        <f>INDEX(Employee!F:F,MATCH(AG96,Employee!B:B,0))</f>
        <v>Tech</v>
      </c>
      <c r="AJ96" s="4" t="str">
        <f>INDEX(Employee!C:C,MATCH(AK96,Employee!B:B,0))</f>
        <v>Đinh Hiểu Văn</v>
      </c>
      <c r="AK96" s="4" t="s">
        <v>329</v>
      </c>
      <c r="AL96" s="4" t="str">
        <f>INDEX(Employee!D:D,MATCH(AK96,Employee!B:B,0))</f>
        <v>Software Engineer</v>
      </c>
      <c r="AM96" s="4" t="str">
        <f>INDEX(Employee!F:F,MATCH(AK96,Employee!B:B,0))</f>
        <v>Tech</v>
      </c>
      <c r="AN96" s="4" t="str">
        <f>INDEX(Employee!H:H,MATCH(AK96,Employee!B:B,0))</f>
        <v>Trần Triệu Dương (duongtt5)</v>
      </c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 s="6"/>
    </row>
    <row r="97" spans="1:102" s="4" customFormat="1" hidden="1">
      <c r="A97" s="3">
        <f t="shared" si="4"/>
        <v>96</v>
      </c>
      <c r="B97" s="4" t="s">
        <v>18</v>
      </c>
      <c r="C97" s="4" t="s">
        <v>5</v>
      </c>
      <c r="D97" s="4" t="e">
        <f>INDEX(Employee!E:E,MATCH(AK97,Employee!B:B,0))</f>
        <v>#N/A</v>
      </c>
      <c r="E97" s="4" t="e">
        <f>INDEX(Employee!F:F,MATCH(AK97,Employee!B:B,0))</f>
        <v>#N/A</v>
      </c>
      <c r="F97" s="4" t="e">
        <f>INDEX(Employee!G:G,MATCH(AK97,Employee!B:B,0))</f>
        <v>#N/A</v>
      </c>
      <c r="G97" s="4" t="s">
        <v>15</v>
      </c>
      <c r="I97" s="4" t="s">
        <v>330</v>
      </c>
      <c r="J97" s="4" t="s">
        <v>111</v>
      </c>
      <c r="K97" s="4" t="s">
        <v>112</v>
      </c>
      <c r="N97" s="13" t="b">
        <v>0</v>
      </c>
      <c r="O97" s="13" t="b">
        <v>0</v>
      </c>
      <c r="P97" s="4" t="s">
        <v>331</v>
      </c>
      <c r="Q97" s="14">
        <v>45279</v>
      </c>
      <c r="R97" s="4" t="s">
        <v>102</v>
      </c>
      <c r="S97" s="10">
        <v>20182</v>
      </c>
      <c r="AF97" s="4" t="str">
        <f>INDEX(Employee!C:C,MATCH(AG97,Employee!B:B,0))</f>
        <v>Nguyễn Viết Khải</v>
      </c>
      <c r="AG97" s="4" t="s">
        <v>103</v>
      </c>
      <c r="AH97" s="4" t="str">
        <f>INDEX(Employee!D:D,MATCH(AG97,Employee!B:B,0))</f>
        <v>Lead IT Support Engineer</v>
      </c>
      <c r="AI97" s="4" t="str">
        <f>INDEX(Employee!F:F,MATCH(AG97,Employee!B:B,0))</f>
        <v>Tech</v>
      </c>
      <c r="AJ97" s="4" t="e">
        <f>INDEX(Employee!C:C,MATCH(AK97,Employee!B:B,0))</f>
        <v>#N/A</v>
      </c>
      <c r="AL97" s="4" t="e">
        <f>INDEX(Employee!D:D,MATCH(AK97,Employee!B:B,0))</f>
        <v>#N/A</v>
      </c>
      <c r="AM97" s="4" t="e">
        <f>INDEX(Employee!F:F,MATCH(AK97,Employee!B:B,0))</f>
        <v>#N/A</v>
      </c>
      <c r="AN97" s="4" t="e">
        <f>INDEX(Employee!H:H,MATCH(AK97,Employee!B:B,0))</f>
        <v>#N/A</v>
      </c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 s="6"/>
    </row>
    <row r="98" spans="1:102" s="4" customFormat="1" hidden="1">
      <c r="A98" s="3">
        <f t="shared" si="4"/>
        <v>97</v>
      </c>
      <c r="B98" s="4" t="s">
        <v>18</v>
      </c>
      <c r="C98" s="4" t="s">
        <v>5</v>
      </c>
      <c r="D98" s="4" t="e">
        <f>INDEX(Employee!E:E,MATCH(AK98,Employee!B:B,0))</f>
        <v>#N/A</v>
      </c>
      <c r="E98" s="4" t="e">
        <f>INDEX(Employee!F:F,MATCH(AK98,Employee!B:B,0))</f>
        <v>#N/A</v>
      </c>
      <c r="F98" s="4" t="e">
        <f>INDEX(Employee!G:G,MATCH(AK98,Employee!B:B,0))</f>
        <v>#N/A</v>
      </c>
      <c r="G98" s="4" t="s">
        <v>15</v>
      </c>
      <c r="I98" s="4" t="s">
        <v>332</v>
      </c>
      <c r="J98" s="4" t="s">
        <v>111</v>
      </c>
      <c r="K98" s="4" t="s">
        <v>112</v>
      </c>
      <c r="N98" s="13" t="b">
        <v>0</v>
      </c>
      <c r="O98" s="13" t="b">
        <v>0</v>
      </c>
      <c r="P98" s="4" t="s">
        <v>333</v>
      </c>
      <c r="Q98" s="14">
        <v>45279</v>
      </c>
      <c r="R98" s="4" t="s">
        <v>102</v>
      </c>
      <c r="S98" s="10">
        <v>20182</v>
      </c>
      <c r="AF98" s="4" t="str">
        <f>INDEX(Employee!C:C,MATCH(AG98,Employee!B:B,0))</f>
        <v>Nguyễn Viết Khải</v>
      </c>
      <c r="AG98" s="4" t="s">
        <v>103</v>
      </c>
      <c r="AH98" s="4" t="str">
        <f>INDEX(Employee!D:D,MATCH(AG98,Employee!B:B,0))</f>
        <v>Lead IT Support Engineer</v>
      </c>
      <c r="AI98" s="4" t="str">
        <f>INDEX(Employee!F:F,MATCH(AG98,Employee!B:B,0))</f>
        <v>Tech</v>
      </c>
      <c r="AJ98" s="4" t="e">
        <f>INDEX(Employee!C:C,MATCH(AK98,Employee!B:B,0))</f>
        <v>#N/A</v>
      </c>
      <c r="AL98" s="4" t="e">
        <f>INDEX(Employee!D:D,MATCH(AK98,Employee!B:B,0))</f>
        <v>#N/A</v>
      </c>
      <c r="AM98" s="4" t="e">
        <f>INDEX(Employee!F:F,MATCH(AK98,Employee!B:B,0))</f>
        <v>#N/A</v>
      </c>
      <c r="AN98" s="4" t="e">
        <f>INDEX(Employee!H:H,MATCH(AK98,Employee!B:B,0))</f>
        <v>#N/A</v>
      </c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 s="6"/>
    </row>
    <row r="99" spans="1:102" s="4" customFormat="1" hidden="1">
      <c r="A99" s="3">
        <f t="shared" si="4"/>
        <v>98</v>
      </c>
      <c r="B99" s="4" t="s">
        <v>18</v>
      </c>
      <c r="C99" s="4" t="s">
        <v>5</v>
      </c>
      <c r="D99" s="4" t="e">
        <f>INDEX(Employee!E:E,MATCH(AK99,Employee!B:B,0))</f>
        <v>#N/A</v>
      </c>
      <c r="E99" s="4" t="e">
        <f>INDEX(Employee!F:F,MATCH(AK99,Employee!B:B,0))</f>
        <v>#N/A</v>
      </c>
      <c r="F99" s="4" t="e">
        <f>INDEX(Employee!G:G,MATCH(AK99,Employee!B:B,0))</f>
        <v>#N/A</v>
      </c>
      <c r="G99" s="4" t="s">
        <v>15</v>
      </c>
      <c r="I99" s="4" t="s">
        <v>334</v>
      </c>
      <c r="J99" s="4" t="s">
        <v>111</v>
      </c>
      <c r="K99" s="4" t="s">
        <v>112</v>
      </c>
      <c r="N99" s="13" t="b">
        <v>0</v>
      </c>
      <c r="O99" s="13" t="b">
        <v>0</v>
      </c>
      <c r="P99" s="4" t="s">
        <v>335</v>
      </c>
      <c r="Q99" s="14">
        <v>45279</v>
      </c>
      <c r="R99" s="4" t="s">
        <v>102</v>
      </c>
      <c r="S99" s="10">
        <v>20182</v>
      </c>
      <c r="AF99" s="4" t="str">
        <f>INDEX(Employee!C:C,MATCH(AG99,Employee!B:B,0))</f>
        <v>Nguyễn Viết Khải</v>
      </c>
      <c r="AG99" s="4" t="s">
        <v>103</v>
      </c>
      <c r="AH99" s="4" t="str">
        <f>INDEX(Employee!D:D,MATCH(AG99,Employee!B:B,0))</f>
        <v>Lead IT Support Engineer</v>
      </c>
      <c r="AI99" s="4" t="str">
        <f>INDEX(Employee!F:F,MATCH(AG99,Employee!B:B,0))</f>
        <v>Tech</v>
      </c>
      <c r="AJ99" s="4" t="e">
        <f>INDEX(Employee!C:C,MATCH(AK99,Employee!B:B,0))</f>
        <v>#N/A</v>
      </c>
      <c r="AL99" s="4" t="e">
        <f>INDEX(Employee!D:D,MATCH(AK99,Employee!B:B,0))</f>
        <v>#N/A</v>
      </c>
      <c r="AM99" s="4" t="e">
        <f>INDEX(Employee!F:F,MATCH(AK99,Employee!B:B,0))</f>
        <v>#N/A</v>
      </c>
      <c r="AN99" s="4" t="e">
        <f>INDEX(Employee!H:H,MATCH(AK99,Employee!B:B,0))</f>
        <v>#N/A</v>
      </c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 s="6"/>
    </row>
    <row r="100" spans="1:102" s="4" customFormat="1" hidden="1">
      <c r="A100" s="3">
        <f t="shared" si="4"/>
        <v>99</v>
      </c>
      <c r="B100" s="4" t="s">
        <v>18</v>
      </c>
      <c r="C100" s="4" t="s">
        <v>5</v>
      </c>
      <c r="D100" s="4" t="e">
        <f>INDEX(Employee!E:E,MATCH(AK100,Employee!B:B,0))</f>
        <v>#N/A</v>
      </c>
      <c r="E100" s="4" t="e">
        <f>INDEX(Employee!F:F,MATCH(AK100,Employee!B:B,0))</f>
        <v>#N/A</v>
      </c>
      <c r="F100" s="4" t="e">
        <f>INDEX(Employee!G:G,MATCH(AK100,Employee!B:B,0))</f>
        <v>#N/A</v>
      </c>
      <c r="G100" s="4" t="s">
        <v>15</v>
      </c>
      <c r="I100" s="4" t="s">
        <v>336</v>
      </c>
      <c r="J100" s="4" t="s">
        <v>111</v>
      </c>
      <c r="K100" s="4" t="s">
        <v>112</v>
      </c>
      <c r="N100" s="13" t="b">
        <v>0</v>
      </c>
      <c r="O100" s="13" t="b">
        <v>0</v>
      </c>
      <c r="P100" s="4" t="s">
        <v>337</v>
      </c>
      <c r="Q100" s="14">
        <v>45279</v>
      </c>
      <c r="R100" s="4" t="s">
        <v>102</v>
      </c>
      <c r="S100" s="10">
        <v>20182</v>
      </c>
      <c r="AF100" s="4" t="str">
        <f>INDEX(Employee!C:C,MATCH(AG100,Employee!B:B,0))</f>
        <v>Nguyễn Viết Khải</v>
      </c>
      <c r="AG100" s="4" t="s">
        <v>103</v>
      </c>
      <c r="AH100" s="4" t="str">
        <f>INDEX(Employee!D:D,MATCH(AG100,Employee!B:B,0))</f>
        <v>Lead IT Support Engineer</v>
      </c>
      <c r="AI100" s="4" t="str">
        <f>INDEX(Employee!F:F,MATCH(AG100,Employee!B:B,0))</f>
        <v>Tech</v>
      </c>
      <c r="AJ100" s="4" t="e">
        <f>INDEX(Employee!C:C,MATCH(AK100,Employee!B:B,0))</f>
        <v>#N/A</v>
      </c>
      <c r="AL100" s="4" t="e">
        <f>INDEX(Employee!D:D,MATCH(AK100,Employee!B:B,0))</f>
        <v>#N/A</v>
      </c>
      <c r="AM100" s="4" t="e">
        <f>INDEX(Employee!F:F,MATCH(AK100,Employee!B:B,0))</f>
        <v>#N/A</v>
      </c>
      <c r="AN100" s="4" t="e">
        <f>INDEX(Employee!H:H,MATCH(AK100,Employee!B:B,0))</f>
        <v>#N/A</v>
      </c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 s="6"/>
    </row>
    <row r="101" spans="1:102" s="4" customFormat="1" hidden="1">
      <c r="A101" s="3">
        <f t="shared" si="4"/>
        <v>100</v>
      </c>
      <c r="B101" s="4" t="s">
        <v>14</v>
      </c>
      <c r="C101" s="4" t="s">
        <v>4</v>
      </c>
      <c r="D101" s="4" t="e">
        <f>INDEX(Employee!E:E,MATCH(AK101,Employee!B:B,0))</f>
        <v>#N/A</v>
      </c>
      <c r="E101" s="4" t="e">
        <f>INDEX(Employee!F:F,MATCH(AK101,Employee!B:B,0))</f>
        <v>#N/A</v>
      </c>
      <c r="F101" s="4" t="e">
        <f>INDEX(Employee!G:G,MATCH(AK101,Employee!B:B,0))</f>
        <v>#N/A</v>
      </c>
      <c r="G101" s="4" t="s">
        <v>15</v>
      </c>
      <c r="I101" s="4" t="s">
        <v>338</v>
      </c>
      <c r="J101" s="4" t="s">
        <v>115</v>
      </c>
      <c r="K101" s="7" t="s">
        <v>160</v>
      </c>
      <c r="L101" s="7" t="s">
        <v>52</v>
      </c>
      <c r="M101" s="4" t="str">
        <f>RIGHT(K101,5)</f>
        <v>256GB</v>
      </c>
      <c r="N101" s="13" t="b">
        <v>1</v>
      </c>
      <c r="O101" s="13" t="b">
        <v>0</v>
      </c>
      <c r="P101" s="4" t="s">
        <v>339</v>
      </c>
      <c r="Q101" s="14">
        <v>43917</v>
      </c>
      <c r="R101" s="4" t="s">
        <v>102</v>
      </c>
      <c r="S101" s="10">
        <v>2565000</v>
      </c>
      <c r="AE101" s="21"/>
      <c r="AF101" s="4" t="str">
        <f>INDEX(Employee!C:C,MATCH(AG101,Employee!B:B,0))</f>
        <v>Nguyễn Viết Khải</v>
      </c>
      <c r="AG101" s="4" t="s">
        <v>103</v>
      </c>
      <c r="AH101" s="4" t="str">
        <f>INDEX(Employee!D:D,MATCH(AG101,Employee!B:B,0))</f>
        <v>Lead IT Support Engineer</v>
      </c>
      <c r="AI101" s="4" t="str">
        <f>INDEX(Employee!F:F,MATCH(AG101,Employee!B:B,0))</f>
        <v>Tech</v>
      </c>
      <c r="AJ101" s="4" t="e">
        <f>INDEX(Employee!C:C,MATCH(AK101,Employee!B:B,0))</f>
        <v>#N/A</v>
      </c>
      <c r="AL101" s="4" t="e">
        <f>INDEX(Employee!D:D,MATCH(AK101,Employee!B:B,0))</f>
        <v>#N/A</v>
      </c>
      <c r="AM101" s="4" t="e">
        <f>INDEX(Employee!F:F,MATCH(AK101,Employee!B:B,0))</f>
        <v>#N/A</v>
      </c>
      <c r="AN101" s="4" t="e">
        <f>INDEX(Employee!H:H,MATCH(AK101,Employee!B:B,0))</f>
        <v>#N/A</v>
      </c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 s="6"/>
    </row>
    <row r="102" spans="1:102" s="4" customFormat="1" hidden="1">
      <c r="A102" s="3">
        <f t="shared" si="4"/>
        <v>101</v>
      </c>
      <c r="B102" s="4" t="s">
        <v>14</v>
      </c>
      <c r="C102" s="4" t="s">
        <v>4</v>
      </c>
      <c r="D102" s="4" t="e">
        <f>INDEX(Employee!E:E,MATCH(AK102,Employee!B:B,0))</f>
        <v>#N/A</v>
      </c>
      <c r="E102" s="4" t="e">
        <f>INDEX(Employee!F:F,MATCH(AK102,Employee!B:B,0))</f>
        <v>#N/A</v>
      </c>
      <c r="F102" s="4" t="e">
        <f>INDEX(Employee!G:G,MATCH(AK102,Employee!B:B,0))</f>
        <v>#N/A</v>
      </c>
      <c r="G102" s="4" t="s">
        <v>15</v>
      </c>
      <c r="H102" s="4" t="s">
        <v>340</v>
      </c>
      <c r="I102" s="4" t="s">
        <v>341</v>
      </c>
      <c r="J102" s="4" t="s">
        <v>99</v>
      </c>
      <c r="K102" s="4" t="s">
        <v>228</v>
      </c>
      <c r="L102" s="7" t="s">
        <v>52</v>
      </c>
      <c r="M102" s="4" t="str">
        <f>RIGHT(K102,5)</f>
        <v>256GB</v>
      </c>
      <c r="N102" s="13" t="b">
        <v>1</v>
      </c>
      <c r="O102" s="13" t="b">
        <v>0</v>
      </c>
      <c r="P102" s="4" t="s">
        <v>342</v>
      </c>
      <c r="Q102" s="14">
        <v>43942</v>
      </c>
      <c r="R102" s="4" t="s">
        <v>102</v>
      </c>
      <c r="S102" s="10">
        <v>3727273</v>
      </c>
      <c r="AE102" s="21"/>
      <c r="AF102" s="4" t="str">
        <f>INDEX(Employee!C:C,MATCH(AG102,Employee!B:B,0))</f>
        <v>Nguyễn Viết Khải</v>
      </c>
      <c r="AG102" s="4" t="s">
        <v>103</v>
      </c>
      <c r="AH102" s="4" t="str">
        <f>INDEX(Employee!D:D,MATCH(AG102,Employee!B:B,0))</f>
        <v>Lead IT Support Engineer</v>
      </c>
      <c r="AI102" s="4" t="str">
        <f>INDEX(Employee!F:F,MATCH(AG102,Employee!B:B,0))</f>
        <v>Tech</v>
      </c>
      <c r="AJ102" s="4" t="e">
        <f>INDEX(Employee!C:C,MATCH(AK102,Employee!B:B,0))</f>
        <v>#N/A</v>
      </c>
      <c r="AL102" s="4" t="e">
        <f>INDEX(Employee!D:D,MATCH(AK102,Employee!B:B,0))</f>
        <v>#N/A</v>
      </c>
      <c r="AM102" s="4" t="e">
        <f>INDEX(Employee!F:F,MATCH(AK102,Employee!B:B,0))</f>
        <v>#N/A</v>
      </c>
      <c r="AN102" s="4" t="e">
        <f>INDEX(Employee!H:H,MATCH(AK102,Employee!B:B,0))</f>
        <v>#N/A</v>
      </c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 s="6"/>
    </row>
    <row r="103" spans="1:102" s="4" customFormat="1" hidden="1">
      <c r="A103" s="3">
        <f t="shared" si="4"/>
        <v>102</v>
      </c>
      <c r="B103" s="4" t="s">
        <v>14</v>
      </c>
      <c r="C103" s="4" t="s">
        <v>3</v>
      </c>
      <c r="D103" s="4" t="str">
        <f>INDEX(Employee!E:E,MATCH(AK103,Employee!B:B,0))</f>
        <v>BO</v>
      </c>
      <c r="E103" s="4" t="str">
        <f>INDEX(Employee!F:F,MATCH(AK103,Employee!B:B,0))</f>
        <v>Business Support</v>
      </c>
      <c r="F103" s="4" t="str">
        <f>INDEX(Employee!G:G,MATCH(AK103,Employee!B:B,0))</f>
        <v>Operation Team</v>
      </c>
      <c r="G103" s="4" t="s">
        <v>15</v>
      </c>
      <c r="I103" s="4" t="s">
        <v>343</v>
      </c>
      <c r="J103" s="4" t="s">
        <v>99</v>
      </c>
      <c r="K103" s="7" t="s">
        <v>121</v>
      </c>
      <c r="L103" s="7" t="s">
        <v>48</v>
      </c>
      <c r="M103" s="4" t="str">
        <f>RIGHT(K103,5)</f>
        <v>256GB</v>
      </c>
      <c r="N103" s="13" t="b">
        <v>1</v>
      </c>
      <c r="O103" s="13" t="b">
        <v>0</v>
      </c>
      <c r="P103" s="4" t="s">
        <v>344</v>
      </c>
      <c r="Q103" s="14">
        <v>44387</v>
      </c>
      <c r="R103" s="4" t="s">
        <v>102</v>
      </c>
      <c r="S103" s="10">
        <v>3300000</v>
      </c>
      <c r="AE103" s="21"/>
      <c r="AF103" s="4" t="str">
        <f>INDEX(Employee!C:C,MATCH(AG103,Employee!B:B,0))</f>
        <v>Nguyễn Viết Khải</v>
      </c>
      <c r="AG103" s="4" t="s">
        <v>103</v>
      </c>
      <c r="AH103" s="4" t="str">
        <f>INDEX(Employee!D:D,MATCH(AG103,Employee!B:B,0))</f>
        <v>Lead IT Support Engineer</v>
      </c>
      <c r="AI103" s="4" t="str">
        <f>INDEX(Employee!F:F,MATCH(AG103,Employee!B:B,0))</f>
        <v>Tech</v>
      </c>
      <c r="AJ103" s="4" t="str">
        <f>INDEX(Employee!C:C,MATCH(AK103,Employee!B:B,0))</f>
        <v>Đoàn Hà Mi</v>
      </c>
      <c r="AK103" s="4" t="s">
        <v>345</v>
      </c>
      <c r="AL103" s="4" t="str">
        <f>INDEX(Employee!D:D,MATCH(AK103,Employee!B:B,0))</f>
        <v>Admin &amp; Office Manager</v>
      </c>
      <c r="AM103" s="4" t="str">
        <f>INDEX(Employee!F:F,MATCH(AK103,Employee!B:B,0))</f>
        <v>Business Support</v>
      </c>
      <c r="AN103" s="4" t="str">
        <f>INDEX(Employee!H:H,MATCH(AK103,Employee!B:B,0))</f>
        <v>Trần Huyền Thanh (thanhth5)</v>
      </c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 s="6"/>
    </row>
    <row r="104" spans="1:102" s="4" customFormat="1" hidden="1">
      <c r="A104" s="3">
        <f t="shared" si="4"/>
        <v>103</v>
      </c>
      <c r="B104" s="4" t="s">
        <v>14</v>
      </c>
      <c r="C104" s="4" t="s">
        <v>3</v>
      </c>
      <c r="D104" s="4" t="str">
        <f>INDEX(Employee!E:E,MATCH(AK104,Employee!B:B,0))</f>
        <v>BO</v>
      </c>
      <c r="E104" s="4" t="str">
        <f>INDEX(Employee!F:F,MATCH(AK104,Employee!B:B,0))</f>
        <v>Business Support</v>
      </c>
      <c r="F104" s="4" t="str">
        <f>INDEX(Employee!G:G,MATCH(AK104,Employee!B:B,0))</f>
        <v>Operation Team</v>
      </c>
      <c r="G104" s="4" t="s">
        <v>15</v>
      </c>
      <c r="I104" s="4" t="s">
        <v>346</v>
      </c>
      <c r="J104" s="4" t="s">
        <v>115</v>
      </c>
      <c r="K104" s="7" t="s">
        <v>137</v>
      </c>
      <c r="L104" s="7" t="s">
        <v>52</v>
      </c>
      <c r="M104" s="4" t="str">
        <f>RIGHT(K104,5)</f>
        <v>256GB</v>
      </c>
      <c r="N104" s="13" t="b">
        <v>1</v>
      </c>
      <c r="O104" s="13" t="b">
        <v>1</v>
      </c>
      <c r="P104" s="4" t="s">
        <v>347</v>
      </c>
      <c r="Q104" s="14">
        <v>44119</v>
      </c>
      <c r="R104" s="4" t="s">
        <v>102</v>
      </c>
      <c r="S104" s="10">
        <v>3620834</v>
      </c>
      <c r="AE104" s="21"/>
      <c r="AF104" s="4" t="str">
        <f>INDEX(Employee!C:C,MATCH(AG104,Employee!B:B,0))</f>
        <v>Nguyễn Viết Khải</v>
      </c>
      <c r="AG104" s="4" t="s">
        <v>103</v>
      </c>
      <c r="AH104" s="4" t="str">
        <f>INDEX(Employee!D:D,MATCH(AG104,Employee!B:B,0))</f>
        <v>Lead IT Support Engineer</v>
      </c>
      <c r="AI104" s="4" t="str">
        <f>INDEX(Employee!F:F,MATCH(AG104,Employee!B:B,0))</f>
        <v>Tech</v>
      </c>
      <c r="AJ104" s="4" t="str">
        <f>INDEX(Employee!C:C,MATCH(AK104,Employee!B:B,0))</f>
        <v>Hoàng Thị Trang</v>
      </c>
      <c r="AK104" s="4" t="s">
        <v>348</v>
      </c>
      <c r="AL104" s="4" t="str">
        <f>INDEX(Employee!D:D,MATCH(AK104,Employee!B:B,0))</f>
        <v>Accounting Manager</v>
      </c>
      <c r="AM104" s="4" t="str">
        <f>INDEX(Employee!F:F,MATCH(AK104,Employee!B:B,0))</f>
        <v>Business Support</v>
      </c>
      <c r="AN104" s="4" t="str">
        <f>INDEX(Employee!H:H,MATCH(AK104,Employee!B:B,0))</f>
        <v>Nguyễn Thị Thủy</v>
      </c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 s="6"/>
    </row>
    <row r="105" spans="1:102" s="4" customFormat="1" hidden="1">
      <c r="A105" s="3">
        <f t="shared" si="4"/>
        <v>104</v>
      </c>
      <c r="B105" s="4" t="s">
        <v>14</v>
      </c>
      <c r="C105" s="4" t="s">
        <v>4</v>
      </c>
      <c r="D105" s="4" t="e">
        <f>INDEX(Employee!E:E,MATCH(AK105,Employee!B:B,0))</f>
        <v>#N/A</v>
      </c>
      <c r="E105" s="4" t="e">
        <f>INDEX(Employee!F:F,MATCH(AK105,Employee!B:B,0))</f>
        <v>#N/A</v>
      </c>
      <c r="F105" s="4" t="e">
        <f>INDEX(Employee!G:G,MATCH(AK105,Employee!B:B,0))</f>
        <v>#N/A</v>
      </c>
      <c r="G105" s="4" t="s">
        <v>15</v>
      </c>
      <c r="I105" s="4" t="s">
        <v>349</v>
      </c>
      <c r="J105" s="4" t="s">
        <v>115</v>
      </c>
      <c r="K105" s="7" t="s">
        <v>350</v>
      </c>
      <c r="L105" s="7" t="s">
        <v>52</v>
      </c>
      <c r="M105" s="4" t="str">
        <f>RIGHT(K105,5)</f>
        <v>256GB</v>
      </c>
      <c r="N105" s="13" t="b">
        <v>1</v>
      </c>
      <c r="O105" s="13" t="b">
        <v>0</v>
      </c>
      <c r="P105" s="4" t="s">
        <v>351</v>
      </c>
      <c r="Q105" s="14">
        <v>45342</v>
      </c>
      <c r="R105" s="4" t="s">
        <v>102</v>
      </c>
      <c r="S105" s="10">
        <v>19140973</v>
      </c>
      <c r="AE105" s="21"/>
      <c r="AF105" s="4" t="str">
        <f>INDEX(Employee!C:C,MATCH(AG105,Employee!B:B,0))</f>
        <v>Nguyễn Viết Khải</v>
      </c>
      <c r="AG105" s="4" t="s">
        <v>103</v>
      </c>
      <c r="AH105" s="4" t="str">
        <f>INDEX(Employee!D:D,MATCH(AG105,Employee!B:B,0))</f>
        <v>Lead IT Support Engineer</v>
      </c>
      <c r="AI105" s="4" t="str">
        <f>INDEX(Employee!F:F,MATCH(AG105,Employee!B:B,0))</f>
        <v>Tech</v>
      </c>
      <c r="AJ105" s="4" t="e">
        <f>INDEX(Employee!C:C,MATCH(AK105,Employee!B:B,0))</f>
        <v>#N/A</v>
      </c>
      <c r="AL105" s="4" t="e">
        <f>INDEX(Employee!D:D,MATCH(AK105,Employee!B:B,0))</f>
        <v>#N/A</v>
      </c>
      <c r="AM105" s="4" t="e">
        <f>INDEX(Employee!F:F,MATCH(AK105,Employee!B:B,0))</f>
        <v>#N/A</v>
      </c>
      <c r="AN105" s="4" t="e">
        <f>INDEX(Employee!H:H,MATCH(AK105,Employee!B:B,0))</f>
        <v>#N/A</v>
      </c>
      <c r="AS105" s="4" t="s">
        <v>352</v>
      </c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 s="6"/>
    </row>
    <row r="106" spans="1:102" s="4" customFormat="1" hidden="1">
      <c r="A106" s="3">
        <f t="shared" si="4"/>
        <v>105</v>
      </c>
      <c r="B106" s="4" t="s">
        <v>26</v>
      </c>
      <c r="C106" s="4" t="s">
        <v>5</v>
      </c>
      <c r="D106" s="4" t="e">
        <f>INDEX(Employee!E:E,MATCH(AK106,Employee!B:B,0))</f>
        <v>#N/A</v>
      </c>
      <c r="E106" s="4" t="e">
        <f>INDEX(Employee!F:F,MATCH(AK106,Employee!B:B,0))</f>
        <v>#N/A</v>
      </c>
      <c r="F106" s="4" t="e">
        <f>INDEX(Employee!G:G,MATCH(AK106,Employee!B:B,0))</f>
        <v>#N/A</v>
      </c>
      <c r="G106" s="4" t="s">
        <v>15</v>
      </c>
      <c r="I106" s="4" t="s">
        <v>353</v>
      </c>
      <c r="J106" s="4" t="s">
        <v>354</v>
      </c>
      <c r="K106" s="7" t="s">
        <v>355</v>
      </c>
      <c r="L106" s="7"/>
      <c r="M106" s="7"/>
      <c r="N106" s="13" t="b">
        <v>0</v>
      </c>
      <c r="O106" s="13" t="b">
        <v>0</v>
      </c>
      <c r="Q106" s="14">
        <v>45342</v>
      </c>
      <c r="R106" s="4" t="s">
        <v>102</v>
      </c>
      <c r="S106" s="10">
        <v>78909</v>
      </c>
      <c r="AE106" s="21"/>
      <c r="AF106" s="4" t="str">
        <f>INDEX(Employee!C:C,MATCH(AG106,Employee!B:B,0))</f>
        <v>Nguyễn Viết Khải</v>
      </c>
      <c r="AG106" s="4" t="s">
        <v>103</v>
      </c>
      <c r="AH106" s="4" t="str">
        <f>INDEX(Employee!D:D,MATCH(AG106,Employee!B:B,0))</f>
        <v>Lead IT Support Engineer</v>
      </c>
      <c r="AI106" s="4" t="str">
        <f>INDEX(Employee!F:F,MATCH(AG106,Employee!B:B,0))</f>
        <v>Tech</v>
      </c>
      <c r="AJ106" s="4" t="e">
        <f>INDEX(Employee!C:C,MATCH(AK106,Employee!B:B,0))</f>
        <v>#N/A</v>
      </c>
      <c r="AL106" s="4" t="e">
        <f>INDEX(Employee!D:D,MATCH(AK106,Employee!B:B,0))</f>
        <v>#N/A</v>
      </c>
      <c r="AM106" s="4" t="e">
        <f>INDEX(Employee!F:F,MATCH(AK106,Employee!B:B,0))</f>
        <v>#N/A</v>
      </c>
      <c r="AN106" s="4" t="e">
        <f>INDEX(Employee!H:H,MATCH(AK106,Employee!B:B,0))</f>
        <v>#N/A</v>
      </c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 s="6"/>
    </row>
    <row r="107" spans="1:102" s="4" customFormat="1" hidden="1">
      <c r="A107" s="3">
        <f t="shared" si="4"/>
        <v>106</v>
      </c>
      <c r="B107" s="4" t="s">
        <v>14</v>
      </c>
      <c r="C107" s="4" t="s">
        <v>7</v>
      </c>
      <c r="D107" s="4">
        <f>INDEX(Employee!E:E,MATCH(AK107,Employee!B:B,0))</f>
        <v>0</v>
      </c>
      <c r="E107" s="4" t="str">
        <f>INDEX(Employee!F:F,MATCH(AK107,Employee!B:B,0))</f>
        <v>CEO</v>
      </c>
      <c r="F107" s="4">
        <f>INDEX(Employee!G:G,MATCH(AK107,Employee!B:B,0))</f>
        <v>0</v>
      </c>
      <c r="G107" s="4" t="s">
        <v>15</v>
      </c>
      <c r="I107" s="4" t="s">
        <v>356</v>
      </c>
      <c r="J107" s="4" t="s">
        <v>115</v>
      </c>
      <c r="K107" s="7" t="s">
        <v>357</v>
      </c>
      <c r="L107" s="7" t="s">
        <v>53</v>
      </c>
      <c r="M107" s="4" t="str">
        <f>RIGHT(K107,5)</f>
        <v>512GB</v>
      </c>
      <c r="N107" s="13" t="b">
        <v>0</v>
      </c>
      <c r="O107" s="13" t="b">
        <v>0</v>
      </c>
      <c r="P107" s="4" t="s">
        <v>358</v>
      </c>
      <c r="Q107" s="14">
        <v>45842</v>
      </c>
      <c r="R107" s="4" t="s">
        <v>102</v>
      </c>
      <c r="S107" s="10">
        <v>13824518</v>
      </c>
      <c r="AE107" s="21"/>
      <c r="AF107" s="4" t="str">
        <f>INDEX(Employee!C:C,MATCH(AG107,Employee!B:B,0))</f>
        <v>Nguyễn Viết Khải</v>
      </c>
      <c r="AG107" s="4" t="s">
        <v>103</v>
      </c>
      <c r="AH107" s="4" t="str">
        <f>INDEX(Employee!D:D,MATCH(AG107,Employee!B:B,0))</f>
        <v>Lead IT Support Engineer</v>
      </c>
      <c r="AI107" s="4" t="str">
        <f>INDEX(Employee!F:F,MATCH(AG107,Employee!B:B,0))</f>
        <v>Tech</v>
      </c>
      <c r="AJ107" s="4" t="str">
        <f>INDEX(Employee!C:C,MATCH(AK107,Employee!B:B,0))</f>
        <v>Gary Robert Charles Mckinnon</v>
      </c>
      <c r="AK107" s="4" t="s">
        <v>359</v>
      </c>
      <c r="AL107" s="4" t="str">
        <f>INDEX(Employee!D:D,MATCH(AK107,Employee!B:B,0))</f>
        <v>CEO</v>
      </c>
      <c r="AM107" s="4" t="str">
        <f>INDEX(Employee!F:F,MATCH(AK107,Employee!B:B,0))</f>
        <v>CEO</v>
      </c>
      <c r="AN107" s="4">
        <f>INDEX(Employee!H:H,MATCH(AK107,Employee!B:B,0))</f>
        <v>0</v>
      </c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 s="6"/>
    </row>
    <row r="108" spans="1:102" s="4" customFormat="1" hidden="1">
      <c r="A108" s="3">
        <f t="shared" ref="A108:A171" si="9">IF(B108&lt;&gt;"",ROW()-1,"")</f>
        <v>107</v>
      </c>
      <c r="B108" s="4" t="s">
        <v>26</v>
      </c>
      <c r="C108" s="4" t="s">
        <v>5</v>
      </c>
      <c r="D108" s="4" t="e">
        <f>INDEX(Employee!E:E,MATCH(AK108,Employee!B:B,0))</f>
        <v>#N/A</v>
      </c>
      <c r="E108" s="4" t="e">
        <f>INDEX(Employee!F:F,MATCH(AK108,Employee!B:B,0))</f>
        <v>#N/A</v>
      </c>
      <c r="F108" s="4" t="e">
        <f>INDEX(Employee!G:G,MATCH(AK108,Employee!B:B,0))</f>
        <v>#N/A</v>
      </c>
      <c r="G108" s="4" t="s">
        <v>15</v>
      </c>
      <c r="I108" s="4" t="s">
        <v>360</v>
      </c>
      <c r="J108" s="4" t="s">
        <v>354</v>
      </c>
      <c r="K108" s="7" t="s">
        <v>361</v>
      </c>
      <c r="L108" s="7"/>
      <c r="M108" s="7"/>
      <c r="N108" s="13" t="b">
        <v>0</v>
      </c>
      <c r="O108" s="13" t="b">
        <v>0</v>
      </c>
      <c r="Q108" s="14">
        <v>45532</v>
      </c>
      <c r="R108" s="4" t="s">
        <v>102</v>
      </c>
      <c r="S108" s="10">
        <v>114091</v>
      </c>
      <c r="AE108" s="21"/>
      <c r="AF108" s="4" t="str">
        <f>INDEX(Employee!C:C,MATCH(AG108,Employee!B:B,0))</f>
        <v>Nguyễn Viết Khải</v>
      </c>
      <c r="AG108" s="4" t="s">
        <v>103</v>
      </c>
      <c r="AH108" s="4" t="str">
        <f>INDEX(Employee!D:D,MATCH(AG108,Employee!B:B,0))</f>
        <v>Lead IT Support Engineer</v>
      </c>
      <c r="AI108" s="4" t="str">
        <f>INDEX(Employee!F:F,MATCH(AG108,Employee!B:B,0))</f>
        <v>Tech</v>
      </c>
      <c r="AJ108" s="4" t="e">
        <f>INDEX(Employee!C:C,MATCH(AK108,Employee!B:B,0))</f>
        <v>#N/A</v>
      </c>
      <c r="AL108" s="4" t="e">
        <f>INDEX(Employee!D:D,MATCH(AK108,Employee!B:B,0))</f>
        <v>#N/A</v>
      </c>
      <c r="AM108" s="4" t="e">
        <f>INDEX(Employee!F:F,MATCH(AK108,Employee!B:B,0))</f>
        <v>#N/A</v>
      </c>
      <c r="AN108" s="4" t="e">
        <f>INDEX(Employee!H:H,MATCH(AK108,Employee!B:B,0))</f>
        <v>#N/A</v>
      </c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 s="6"/>
    </row>
    <row r="109" spans="1:102" s="4" customFormat="1" hidden="1">
      <c r="A109" s="3">
        <f t="shared" si="9"/>
        <v>108</v>
      </c>
      <c r="B109" s="4" t="s">
        <v>16</v>
      </c>
      <c r="C109" s="4" t="s">
        <v>3</v>
      </c>
      <c r="D109" s="4">
        <f>INDEX(Employee!E:E,MATCH(AK109,Employee!B:B,0))</f>
        <v>0</v>
      </c>
      <c r="E109" s="4" t="str">
        <f>INDEX(Employee!F:F,MATCH(AK109,Employee!B:B,0))</f>
        <v>Data</v>
      </c>
      <c r="F109" s="4">
        <f>INDEX(Employee!G:G,MATCH(AK109,Employee!B:B,0))</f>
        <v>0</v>
      </c>
      <c r="G109" s="4" t="s">
        <v>119</v>
      </c>
      <c r="H109" s="4" t="s">
        <v>362</v>
      </c>
      <c r="I109" s="4" t="s">
        <v>363</v>
      </c>
      <c r="J109" s="4" t="s">
        <v>107</v>
      </c>
      <c r="K109" s="7" t="s">
        <v>108</v>
      </c>
      <c r="L109" s="7"/>
      <c r="M109" s="7"/>
      <c r="N109" s="13" t="b">
        <v>1</v>
      </c>
      <c r="O109" s="13" t="b">
        <v>0</v>
      </c>
      <c r="P109" s="4" t="s">
        <v>364</v>
      </c>
      <c r="Q109" s="14">
        <v>45506</v>
      </c>
      <c r="R109" s="4" t="s">
        <v>102</v>
      </c>
      <c r="S109" s="10">
        <v>3711390</v>
      </c>
      <c r="AE109" s="21"/>
      <c r="AF109" s="4" t="str">
        <f>INDEX(Employee!C:C,MATCH(AG109,Employee!B:B,0))</f>
        <v>Nguyễn Viết Khải</v>
      </c>
      <c r="AG109" s="4" t="s">
        <v>103</v>
      </c>
      <c r="AH109" s="4" t="str">
        <f>INDEX(Employee!D:D,MATCH(AG109,Employee!B:B,0))</f>
        <v>Lead IT Support Engineer</v>
      </c>
      <c r="AI109" s="4" t="str">
        <f>INDEX(Employee!F:F,MATCH(AG109,Employee!B:B,0))</f>
        <v>Tech</v>
      </c>
      <c r="AJ109" s="4" t="str">
        <f>INDEX(Employee!C:C,MATCH(AK109,Employee!B:B,0))</f>
        <v>Huỳnh Quốc Quân</v>
      </c>
      <c r="AK109" s="4" t="s">
        <v>225</v>
      </c>
      <c r="AL109" s="4" t="str">
        <f>INDEX(Employee!D:D,MATCH(AK109,Employee!B:B,0))</f>
        <v>Senior Database Administrator</v>
      </c>
      <c r="AM109" s="4" t="str">
        <f>INDEX(Employee!F:F,MATCH(AK109,Employee!B:B,0))</f>
        <v>Data</v>
      </c>
      <c r="AN109" s="4" t="str">
        <f>INDEX(Employee!H:H,MATCH(AK109,Employee!B:B,0))</f>
        <v>Dương Huỳnh Nghĩa (nghiadh)</v>
      </c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 s="6"/>
    </row>
    <row r="110" spans="1:102" s="4" customFormat="1" hidden="1">
      <c r="A110" s="3">
        <f t="shared" si="9"/>
        <v>109</v>
      </c>
      <c r="B110" s="4" t="s">
        <v>16</v>
      </c>
      <c r="C110" s="4" t="s">
        <v>4</v>
      </c>
      <c r="D110" s="4" t="e">
        <f>INDEX(Employee!E:E,MATCH(AK110,Employee!B:B,0))</f>
        <v>#N/A</v>
      </c>
      <c r="E110" s="4" t="e">
        <f>INDEX(Employee!F:F,MATCH(AK110,Employee!B:B,0))</f>
        <v>#N/A</v>
      </c>
      <c r="F110" s="4" t="e">
        <f>INDEX(Employee!G:G,MATCH(AK110,Employee!B:B,0))</f>
        <v>#N/A</v>
      </c>
      <c r="G110" s="4" t="s">
        <v>15</v>
      </c>
      <c r="H110" s="4" t="s">
        <v>365</v>
      </c>
      <c r="I110" s="4" t="str">
        <f t="shared" ref="I110:I155" si="10">IF(I109="","", "MON"&amp;TEXT(VALUE(RIGHT(I109,4))+1,"0000"))</f>
        <v>MON0003</v>
      </c>
      <c r="J110" s="4" t="s">
        <v>107</v>
      </c>
      <c r="K110" s="4" t="s">
        <v>108</v>
      </c>
      <c r="L110" s="7"/>
      <c r="M110" s="7"/>
      <c r="N110" s="13" t="b">
        <v>0</v>
      </c>
      <c r="O110" s="13" t="b">
        <v>0</v>
      </c>
      <c r="P110" s="4" t="s">
        <v>366</v>
      </c>
      <c r="Q110" s="14">
        <v>45506</v>
      </c>
      <c r="R110" s="4" t="s">
        <v>102</v>
      </c>
      <c r="S110" s="10">
        <v>3711390</v>
      </c>
      <c r="AE110" s="21"/>
      <c r="AF110" s="4" t="str">
        <f>INDEX(Employee!C:C,MATCH(AG110,Employee!B:B,0))</f>
        <v>Nguyễn Viết Khải</v>
      </c>
      <c r="AG110" s="4" t="s">
        <v>103</v>
      </c>
      <c r="AH110" s="4" t="str">
        <f>INDEX(Employee!D:D,MATCH(AG110,Employee!B:B,0))</f>
        <v>Lead IT Support Engineer</v>
      </c>
      <c r="AI110" s="4" t="str">
        <f>INDEX(Employee!F:F,MATCH(AG110,Employee!B:B,0))</f>
        <v>Tech</v>
      </c>
      <c r="AJ110" s="4" t="e">
        <f>INDEX(Employee!C:C,MATCH(AK110,Employee!B:B,0))</f>
        <v>#N/A</v>
      </c>
      <c r="AL110" s="4" t="e">
        <f>INDEX(Employee!D:D,MATCH(AK110,Employee!B:B,0))</f>
        <v>#N/A</v>
      </c>
      <c r="AM110" s="4" t="e">
        <f>INDEX(Employee!F:F,MATCH(AK110,Employee!B:B,0))</f>
        <v>#N/A</v>
      </c>
      <c r="AN110" s="4" t="e">
        <f>INDEX(Employee!H:H,MATCH(AK110,Employee!B:B,0))</f>
        <v>#N/A</v>
      </c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 s="6"/>
    </row>
    <row r="111" spans="1:102" s="4" customFormat="1" hidden="1">
      <c r="A111" s="3">
        <f t="shared" si="9"/>
        <v>110</v>
      </c>
      <c r="B111" s="4" t="s">
        <v>16</v>
      </c>
      <c r="C111" s="4" t="s">
        <v>3</v>
      </c>
      <c r="D111" s="4" t="str">
        <f>INDEX(Employee!E:E,MATCH(AK111,Employee!B:B,0))</f>
        <v>Project</v>
      </c>
      <c r="E111" s="4" t="str">
        <f>INDEX(Employee!F:F,MATCH(AK111,Employee!B:B,0))</f>
        <v>Tech</v>
      </c>
      <c r="F111" s="4" t="str">
        <f>INDEX(Employee!G:G,MATCH(AK111,Employee!B:B,0))</f>
        <v>Resource Pool</v>
      </c>
      <c r="G111" s="4" t="s">
        <v>15</v>
      </c>
      <c r="I111" s="4" t="str">
        <f t="shared" si="10"/>
        <v>MON0004</v>
      </c>
      <c r="J111" s="4" t="s">
        <v>107</v>
      </c>
      <c r="K111" s="4" t="s">
        <v>367</v>
      </c>
      <c r="L111" s="7"/>
      <c r="M111" s="7"/>
      <c r="N111" s="13" t="b">
        <v>0</v>
      </c>
      <c r="O111" s="13" t="b">
        <v>0</v>
      </c>
      <c r="P111" s="4" t="s">
        <v>368</v>
      </c>
      <c r="Q111" s="14">
        <v>44628</v>
      </c>
      <c r="R111" s="4" t="s">
        <v>102</v>
      </c>
      <c r="S111" s="10">
        <v>495455</v>
      </c>
      <c r="AE111" s="21"/>
      <c r="AF111" s="4" t="str">
        <f>INDEX(Employee!C:C,MATCH(AG111,Employee!B:B,0))</f>
        <v>Nguyễn Viết Khải</v>
      </c>
      <c r="AG111" s="4" t="s">
        <v>103</v>
      </c>
      <c r="AH111" s="4" t="str">
        <f>INDEX(Employee!D:D,MATCH(AG111,Employee!B:B,0))</f>
        <v>Lead IT Support Engineer</v>
      </c>
      <c r="AI111" s="4" t="str">
        <f>INDEX(Employee!F:F,MATCH(AG111,Employee!B:B,0))</f>
        <v>Tech</v>
      </c>
      <c r="AJ111" s="4" t="str">
        <f>INDEX(Employee!C:C,MATCH(AK111,Employee!B:B,0))</f>
        <v>Huỳnh Nguyên Phương</v>
      </c>
      <c r="AK111" s="4" t="s">
        <v>162</v>
      </c>
      <c r="AL111" s="4" t="str">
        <f>INDEX(Employee!D:D,MATCH(AK111,Employee!B:B,0))</f>
        <v>Hardware Designer</v>
      </c>
      <c r="AM111" s="4" t="str">
        <f>INDEX(Employee!F:F,MATCH(AK111,Employee!B:B,0))</f>
        <v>Tech</v>
      </c>
      <c r="AN111" s="4" t="str">
        <f>INDEX(Employee!H:H,MATCH(AK111,Employee!B:B,0))</f>
        <v>Đoàn Hải Nam</v>
      </c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 s="6"/>
    </row>
    <row r="112" spans="1:102" s="4" customFormat="1" hidden="1">
      <c r="A112" s="3">
        <f t="shared" si="9"/>
        <v>111</v>
      </c>
      <c r="B112" s="4" t="s">
        <v>16</v>
      </c>
      <c r="C112" s="4" t="s">
        <v>3</v>
      </c>
      <c r="D112" s="4" t="str">
        <f>INDEX(Employee!E:E,MATCH(AK112,Employee!B:B,0))</f>
        <v>Project</v>
      </c>
      <c r="E112" s="4" t="str">
        <f>INDEX(Employee!F:F,MATCH(AK112,Employee!B:B,0))</f>
        <v>Data</v>
      </c>
      <c r="F112" s="4" t="str">
        <f>INDEX(Employee!G:G,MATCH(AK112,Employee!B:B,0))</f>
        <v>Venture</v>
      </c>
      <c r="G112" s="4" t="s">
        <v>15</v>
      </c>
      <c r="H112" s="4" t="s">
        <v>369</v>
      </c>
      <c r="I112" s="4" t="str">
        <f t="shared" si="10"/>
        <v>MON0005</v>
      </c>
      <c r="J112" s="4" t="s">
        <v>107</v>
      </c>
      <c r="K112" s="7" t="s">
        <v>367</v>
      </c>
      <c r="L112" s="7"/>
      <c r="M112" s="7"/>
      <c r="N112" s="13" t="b">
        <v>0</v>
      </c>
      <c r="O112" s="13" t="b">
        <v>0</v>
      </c>
      <c r="P112" s="4" t="s">
        <v>370</v>
      </c>
      <c r="Q112" s="14">
        <v>44672</v>
      </c>
      <c r="R112" s="4" t="s">
        <v>102</v>
      </c>
      <c r="S112" s="10">
        <v>527274</v>
      </c>
      <c r="AE112" s="21"/>
      <c r="AF112" s="4" t="str">
        <f>INDEX(Employee!C:C,MATCH(AG112,Employee!B:B,0))</f>
        <v>Nguyễn Viết Khải</v>
      </c>
      <c r="AG112" s="4" t="s">
        <v>103</v>
      </c>
      <c r="AH112" s="4" t="str">
        <f>INDEX(Employee!D:D,MATCH(AG112,Employee!B:B,0))</f>
        <v>Lead IT Support Engineer</v>
      </c>
      <c r="AI112" s="4" t="str">
        <f>INDEX(Employee!F:F,MATCH(AG112,Employee!B:B,0))</f>
        <v>Tech</v>
      </c>
      <c r="AJ112" s="4" t="str">
        <f>INDEX(Employee!C:C,MATCH(AK112,Employee!B:B,0))</f>
        <v>Trần Hoàng Anh</v>
      </c>
      <c r="AK112" s="4" t="s">
        <v>371</v>
      </c>
      <c r="AL112" s="4" t="str">
        <f>INDEX(Employee!D:D,MATCH(AK112,Employee!B:B,0))</f>
        <v>Senior Machine Learning Engineer</v>
      </c>
      <c r="AM112" s="4" t="str">
        <f>INDEX(Employee!F:F,MATCH(AK112,Employee!B:B,0))</f>
        <v>Data</v>
      </c>
      <c r="AN112" s="4" t="str">
        <f>INDEX(Employee!H:H,MATCH(AK112,Employee!B:B,0))</f>
        <v>Đoàn Nhật Duẩn</v>
      </c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 s="6"/>
    </row>
    <row r="113" spans="1:102" s="4" customFormat="1" hidden="1">
      <c r="A113" s="3">
        <f t="shared" si="9"/>
        <v>112</v>
      </c>
      <c r="B113" s="4" t="s">
        <v>16</v>
      </c>
      <c r="C113" s="4" t="s">
        <v>3</v>
      </c>
      <c r="D113" s="4" t="str">
        <f>INDEX(Employee!E:E,MATCH(AK113,Employee!B:B,0))</f>
        <v>CTD</v>
      </c>
      <c r="E113" s="4" t="str">
        <f>INDEX(Employee!F:F,MATCH(AK113,Employee!B:B,0))</f>
        <v>CTD</v>
      </c>
      <c r="F113" s="4" t="str">
        <f>INDEX(Employee!G:G,MATCH(AK113,Employee!B:B,0))</f>
        <v>CTD</v>
      </c>
      <c r="G113" s="4" t="s">
        <v>15</v>
      </c>
      <c r="H113" s="4" t="s">
        <v>372</v>
      </c>
      <c r="I113" s="4" t="str">
        <f t="shared" si="10"/>
        <v>MON0006</v>
      </c>
      <c r="J113" s="4" t="s">
        <v>107</v>
      </c>
      <c r="K113" s="4" t="s">
        <v>367</v>
      </c>
      <c r="L113" s="7"/>
      <c r="M113" s="7"/>
      <c r="N113" s="13" t="b">
        <v>0</v>
      </c>
      <c r="O113" s="13" t="b">
        <v>0</v>
      </c>
      <c r="P113" s="15" t="s">
        <v>373</v>
      </c>
      <c r="Q113" s="14">
        <v>44672</v>
      </c>
      <c r="R113" s="4" t="s">
        <v>102</v>
      </c>
      <c r="S113" s="10">
        <v>527274</v>
      </c>
      <c r="AE113" s="21"/>
      <c r="AF113" s="4" t="str">
        <f>INDEX(Employee!C:C,MATCH(AG113,Employee!B:B,0))</f>
        <v>Nguyễn Viết Khải</v>
      </c>
      <c r="AG113" s="4" t="s">
        <v>103</v>
      </c>
      <c r="AH113" s="4" t="str">
        <f>INDEX(Employee!D:D,MATCH(AG113,Employee!B:B,0))</f>
        <v>Lead IT Support Engineer</v>
      </c>
      <c r="AI113" s="4" t="str">
        <f>INDEX(Employee!F:F,MATCH(AG113,Employee!B:B,0))</f>
        <v>Tech</v>
      </c>
      <c r="AJ113" s="4" t="str">
        <f>INDEX(Employee!C:C,MATCH(AK113,Employee!B:B,0))</f>
        <v>IT Dept CTD</v>
      </c>
      <c r="AK113" s="4" t="s">
        <v>374</v>
      </c>
      <c r="AL113" s="4" t="str">
        <f>INDEX(Employee!D:D,MATCH(AK113,Employee!B:B,0))</f>
        <v>CTD</v>
      </c>
      <c r="AM113" s="4" t="str">
        <f>INDEX(Employee!F:F,MATCH(AK113,Employee!B:B,0))</f>
        <v>CTD</v>
      </c>
      <c r="AN113" s="4" t="str">
        <f>INDEX(Employee!H:H,MATCH(AK113,Employee!B:B,0))</f>
        <v>CTD</v>
      </c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 s="6"/>
    </row>
    <row r="114" spans="1:102" s="4" customFormat="1" hidden="1">
      <c r="A114" s="3">
        <f t="shared" si="9"/>
        <v>113</v>
      </c>
      <c r="B114" s="4" t="s">
        <v>16</v>
      </c>
      <c r="C114" s="4" t="s">
        <v>3</v>
      </c>
      <c r="D114" s="4" t="str">
        <f>INDEX(Employee!E:E,MATCH(AK114,Employee!B:B,0))</f>
        <v>CTD</v>
      </c>
      <c r="E114" s="4" t="str">
        <f>INDEX(Employee!F:F,MATCH(AK114,Employee!B:B,0))</f>
        <v>CTD</v>
      </c>
      <c r="F114" s="4" t="str">
        <f>INDEX(Employee!G:G,MATCH(AK114,Employee!B:B,0))</f>
        <v>CTD</v>
      </c>
      <c r="G114" s="4" t="s">
        <v>15</v>
      </c>
      <c r="H114" s="4" t="s">
        <v>375</v>
      </c>
      <c r="I114" s="4" t="str">
        <f t="shared" si="10"/>
        <v>MON0007</v>
      </c>
      <c r="J114" s="4" t="s">
        <v>107</v>
      </c>
      <c r="K114" s="7" t="s">
        <v>367</v>
      </c>
      <c r="L114" s="7"/>
      <c r="M114" s="7"/>
      <c r="N114" s="13" t="b">
        <v>0</v>
      </c>
      <c r="O114" s="13" t="b">
        <v>0</v>
      </c>
      <c r="P114" s="15" t="s">
        <v>376</v>
      </c>
      <c r="Q114" s="14">
        <v>44620</v>
      </c>
      <c r="R114" s="4" t="s">
        <v>102</v>
      </c>
      <c r="S114" s="10">
        <v>481818</v>
      </c>
      <c r="AE114" s="21"/>
      <c r="AF114" s="4" t="str">
        <f>INDEX(Employee!C:C,MATCH(AG114,Employee!B:B,0))</f>
        <v>Nguyễn Viết Khải</v>
      </c>
      <c r="AG114" s="4" t="s">
        <v>103</v>
      </c>
      <c r="AH114" s="4" t="str">
        <f>INDEX(Employee!D:D,MATCH(AG114,Employee!B:B,0))</f>
        <v>Lead IT Support Engineer</v>
      </c>
      <c r="AI114" s="4" t="str">
        <f>INDEX(Employee!F:F,MATCH(AG114,Employee!B:B,0))</f>
        <v>Tech</v>
      </c>
      <c r="AJ114" s="4" t="str">
        <f>INDEX(Employee!C:C,MATCH(AK114,Employee!B:B,0))</f>
        <v>IT Dept CTD</v>
      </c>
      <c r="AK114" s="4" t="s">
        <v>374</v>
      </c>
      <c r="AL114" s="4" t="str">
        <f>INDEX(Employee!D:D,MATCH(AK114,Employee!B:B,0))</f>
        <v>CTD</v>
      </c>
      <c r="AM114" s="4" t="str">
        <f>INDEX(Employee!F:F,MATCH(AK114,Employee!B:B,0))</f>
        <v>CTD</v>
      </c>
      <c r="AN114" s="4" t="str">
        <f>INDEX(Employee!H:H,MATCH(AK114,Employee!B:B,0))</f>
        <v>CTD</v>
      </c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CW114"/>
      <c r="CX114" s="6"/>
    </row>
    <row r="115" spans="1:102" s="4" customFormat="1" hidden="1">
      <c r="A115" s="3">
        <f t="shared" si="9"/>
        <v>114</v>
      </c>
      <c r="B115" s="4" t="s">
        <v>16</v>
      </c>
      <c r="C115" s="4" t="s">
        <v>3</v>
      </c>
      <c r="D115" s="4">
        <f>INDEX(Employee!E:E,MATCH(AK115,Employee!B:B,0))</f>
        <v>0</v>
      </c>
      <c r="E115" s="4" t="str">
        <f>INDEX(Employee!F:F,MATCH(AK115,Employee!B:B,0))</f>
        <v>Tech</v>
      </c>
      <c r="F115" s="4">
        <f>INDEX(Employee!G:G,MATCH(AK115,Employee!B:B,0))</f>
        <v>0</v>
      </c>
      <c r="G115" s="4" t="s">
        <v>119</v>
      </c>
      <c r="H115" s="4" t="s">
        <v>377</v>
      </c>
      <c r="I115" s="4" t="str">
        <f t="shared" si="10"/>
        <v>MON0008</v>
      </c>
      <c r="J115" s="4" t="s">
        <v>107</v>
      </c>
      <c r="K115" s="7" t="s">
        <v>378</v>
      </c>
      <c r="L115" s="7"/>
      <c r="M115" s="7"/>
      <c r="N115" s="13" t="b">
        <v>1</v>
      </c>
      <c r="O115" s="13" t="b">
        <v>0</v>
      </c>
      <c r="P115" s="15" t="s">
        <v>379</v>
      </c>
      <c r="Q115" s="14">
        <v>44757</v>
      </c>
      <c r="R115" s="4" t="s">
        <v>102</v>
      </c>
      <c r="S115" s="10">
        <v>6385639</v>
      </c>
      <c r="AE115" s="21"/>
      <c r="AF115" s="4" t="str">
        <f>INDEX(Employee!C:C,MATCH(AG115,Employee!B:B,0))</f>
        <v>Nguyễn Viết Khải</v>
      </c>
      <c r="AG115" s="4" t="s">
        <v>103</v>
      </c>
      <c r="AH115" s="4" t="str">
        <f>INDEX(Employee!D:D,MATCH(AG115,Employee!B:B,0))</f>
        <v>Lead IT Support Engineer</v>
      </c>
      <c r="AI115" s="4" t="str">
        <f>INDEX(Employee!F:F,MATCH(AG115,Employee!B:B,0))</f>
        <v>Tech</v>
      </c>
      <c r="AJ115" s="4" t="str">
        <f>INDEX(Employee!C:C,MATCH(AK115,Employee!B:B,0))</f>
        <v>Lê Nhựt Thịnh</v>
      </c>
      <c r="AK115" s="4" t="s">
        <v>124</v>
      </c>
      <c r="AL115" s="4" t="str">
        <f>INDEX(Employee!D:D,MATCH(AK115,Employee!B:B,0))</f>
        <v>Software Engineer</v>
      </c>
      <c r="AM115" s="4" t="str">
        <f>INDEX(Employee!F:F,MATCH(AK115,Employee!B:B,0))</f>
        <v>Tech</v>
      </c>
      <c r="AN115" s="4" t="str">
        <f>INDEX(Employee!H:H,MATCH(AK115,Employee!B:B,0))</f>
        <v>Trần Triệu Dương (duongtt5)</v>
      </c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  <c r="CX115" s="6"/>
    </row>
    <row r="116" spans="1:102" s="4" customFormat="1" hidden="1">
      <c r="A116" s="3">
        <f t="shared" si="9"/>
        <v>115</v>
      </c>
      <c r="B116" s="4" t="s">
        <v>16</v>
      </c>
      <c r="C116" s="4" t="s">
        <v>3</v>
      </c>
      <c r="D116" s="4" t="str">
        <f>INDEX(Employee!E:E,MATCH(AK116,Employee!B:B,0))</f>
        <v>Project</v>
      </c>
      <c r="E116" s="4" t="str">
        <f>INDEX(Employee!F:F,MATCH(AK116,Employee!B:B,0))</f>
        <v>Tech</v>
      </c>
      <c r="F116" s="4" t="str">
        <f>INDEX(Employee!G:G,MATCH(AK116,Employee!B:B,0))</f>
        <v>Venture</v>
      </c>
      <c r="G116" s="4" t="s">
        <v>15</v>
      </c>
      <c r="H116" s="4" t="s">
        <v>380</v>
      </c>
      <c r="I116" s="4" t="str">
        <f t="shared" si="10"/>
        <v>MON0009</v>
      </c>
      <c r="J116" s="4" t="s">
        <v>107</v>
      </c>
      <c r="K116" s="7" t="s">
        <v>378</v>
      </c>
      <c r="L116" s="7"/>
      <c r="M116" s="7"/>
      <c r="N116" s="13" t="b">
        <v>0</v>
      </c>
      <c r="O116" s="13" t="b">
        <v>0</v>
      </c>
      <c r="P116" s="15" t="s">
        <v>381</v>
      </c>
      <c r="Q116" s="14">
        <v>45097</v>
      </c>
      <c r="R116" s="4" t="s">
        <v>102</v>
      </c>
      <c r="S116" s="10">
        <v>6560445</v>
      </c>
      <c r="AE116" s="21"/>
      <c r="AF116" s="4" t="str">
        <f>INDEX(Employee!C:C,MATCH(AG116,Employee!B:B,0))</f>
        <v>Nguyễn Viết Khải</v>
      </c>
      <c r="AG116" s="4" t="s">
        <v>103</v>
      </c>
      <c r="AH116" s="4" t="str">
        <f>INDEX(Employee!D:D,MATCH(AG116,Employee!B:B,0))</f>
        <v>Lead IT Support Engineer</v>
      </c>
      <c r="AI116" s="4" t="str">
        <f>INDEX(Employee!F:F,MATCH(AG116,Employee!B:B,0))</f>
        <v>Tech</v>
      </c>
      <c r="AJ116" s="4" t="str">
        <f>INDEX(Employee!C:C,MATCH(AK116,Employee!B:B,0))</f>
        <v>Trịnh Minh Toàn</v>
      </c>
      <c r="AK116" s="4" t="s">
        <v>215</v>
      </c>
      <c r="AL116" s="4" t="str">
        <f>INDEX(Employee!D:D,MATCH(AK116,Employee!B:B,0))</f>
        <v>Senior Software Engineer</v>
      </c>
      <c r="AM116" s="4" t="str">
        <f>INDEX(Employee!F:F,MATCH(AK116,Employee!B:B,0))</f>
        <v>Tech</v>
      </c>
      <c r="AN116" s="4" t="str">
        <f>INDEX(Employee!H:H,MATCH(AK116,Employee!B:B,0))</f>
        <v>Đoàn Nhật Duẩn (duandn)</v>
      </c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/>
      <c r="CX116" s="6"/>
    </row>
    <row r="117" spans="1:102" s="4" customFormat="1" hidden="1">
      <c r="A117" s="3">
        <f t="shared" si="9"/>
        <v>116</v>
      </c>
      <c r="B117" s="4" t="s">
        <v>16</v>
      </c>
      <c r="C117" s="4" t="s">
        <v>3</v>
      </c>
      <c r="D117" s="4">
        <f>INDEX(Employee!E:E,MATCH(AK117,Employee!B:B,0))</f>
        <v>0</v>
      </c>
      <c r="E117" s="4" t="str">
        <f>INDEX(Employee!F:F,MATCH(AK117,Employee!B:B,0))</f>
        <v>Data</v>
      </c>
      <c r="F117" s="4">
        <f>INDEX(Employee!G:G,MATCH(AK117,Employee!B:B,0))</f>
        <v>0</v>
      </c>
      <c r="G117" s="4" t="s">
        <v>119</v>
      </c>
      <c r="H117" s="4" t="s">
        <v>382</v>
      </c>
      <c r="I117" s="4" t="str">
        <f t="shared" si="10"/>
        <v>MON0010</v>
      </c>
      <c r="J117" s="4" t="s">
        <v>107</v>
      </c>
      <c r="K117" s="7" t="s">
        <v>378</v>
      </c>
      <c r="L117" s="7"/>
      <c r="M117" s="7"/>
      <c r="N117" s="13" t="b">
        <v>1</v>
      </c>
      <c r="O117" s="13" t="b">
        <v>0</v>
      </c>
      <c r="P117" s="15" t="s">
        <v>383</v>
      </c>
      <c r="Q117" s="14">
        <v>45097</v>
      </c>
      <c r="R117" s="4" t="s">
        <v>102</v>
      </c>
      <c r="S117" s="10">
        <v>6560445</v>
      </c>
      <c r="AE117" s="21"/>
      <c r="AF117" s="4" t="str">
        <f>INDEX(Employee!C:C,MATCH(AG117,Employee!B:B,0))</f>
        <v>Nguyễn Viết Khải</v>
      </c>
      <c r="AG117" s="4" t="s">
        <v>103</v>
      </c>
      <c r="AH117" s="4" t="str">
        <f>INDEX(Employee!D:D,MATCH(AG117,Employee!B:B,0))</f>
        <v>Lead IT Support Engineer</v>
      </c>
      <c r="AI117" s="4" t="str">
        <f>INDEX(Employee!F:F,MATCH(AG117,Employee!B:B,0))</f>
        <v>Tech</v>
      </c>
      <c r="AJ117" s="4" t="str">
        <f>INDEX(Employee!C:C,MATCH(AK117,Employee!B:B,0))</f>
        <v>Nguyễn Huỳnh Thanh Phong</v>
      </c>
      <c r="AK117" s="4" t="s">
        <v>384</v>
      </c>
      <c r="AL117" s="4" t="str">
        <f>INDEX(Employee!D:D,MATCH(AK117,Employee!B:B,0))</f>
        <v>Senior Data Engineer</v>
      </c>
      <c r="AM117" s="4" t="str">
        <f>INDEX(Employee!F:F,MATCH(AK117,Employee!B:B,0))</f>
        <v>Data</v>
      </c>
      <c r="AN117" s="4" t="str">
        <f>INDEX(Employee!H:H,MATCH(AK117,Employee!B:B,0))</f>
        <v>Dương Huỳnh Nghĩa (nghiadh)</v>
      </c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CW117"/>
      <c r="CX117" s="6"/>
    </row>
    <row r="118" spans="1:102" s="4" customFormat="1" hidden="1">
      <c r="A118" s="3">
        <f t="shared" si="9"/>
        <v>117</v>
      </c>
      <c r="B118" s="4" t="s">
        <v>16</v>
      </c>
      <c r="C118" s="4" t="s">
        <v>3</v>
      </c>
      <c r="D118" s="4">
        <f>INDEX(Employee!E:E,MATCH(AK118,Employee!B:B,0))</f>
        <v>0</v>
      </c>
      <c r="E118" s="4" t="str">
        <f>INDEX(Employee!F:F,MATCH(AK118,Employee!B:B,0))</f>
        <v>Data</v>
      </c>
      <c r="F118" s="4">
        <f>INDEX(Employee!G:G,MATCH(AK118,Employee!B:B,0))</f>
        <v>0</v>
      </c>
      <c r="G118" s="4" t="s">
        <v>119</v>
      </c>
      <c r="H118" s="4" t="s">
        <v>385</v>
      </c>
      <c r="I118" s="4" t="str">
        <f t="shared" si="10"/>
        <v>MON0011</v>
      </c>
      <c r="J118" s="4" t="s">
        <v>107</v>
      </c>
      <c r="K118" s="7" t="s">
        <v>378</v>
      </c>
      <c r="L118" s="7"/>
      <c r="M118" s="7"/>
      <c r="N118" s="13" t="b">
        <v>1</v>
      </c>
      <c r="O118" s="13" t="b">
        <v>0</v>
      </c>
      <c r="P118" s="15" t="s">
        <v>386</v>
      </c>
      <c r="Q118" s="14">
        <v>45097</v>
      </c>
      <c r="R118" s="4" t="s">
        <v>102</v>
      </c>
      <c r="S118" s="10">
        <v>6560445</v>
      </c>
      <c r="AE118" s="21"/>
      <c r="AF118" s="4" t="str">
        <f>INDEX(Employee!C:C,MATCH(AG118,Employee!B:B,0))</f>
        <v>Nguyễn Viết Khải</v>
      </c>
      <c r="AG118" s="4" t="s">
        <v>103</v>
      </c>
      <c r="AH118" s="4" t="str">
        <f>INDEX(Employee!D:D,MATCH(AG118,Employee!B:B,0))</f>
        <v>Lead IT Support Engineer</v>
      </c>
      <c r="AI118" s="4" t="str">
        <f>INDEX(Employee!F:F,MATCH(AG118,Employee!B:B,0))</f>
        <v>Tech</v>
      </c>
      <c r="AJ118" s="4" t="str">
        <f>INDEX(Employee!C:C,MATCH(AK118,Employee!B:B,0))</f>
        <v>Đào Đức Dũng</v>
      </c>
      <c r="AK118" s="4" t="s">
        <v>387</v>
      </c>
      <c r="AL118" s="4" t="str">
        <f>INDEX(Employee!D:D,MATCH(AK118,Employee!B:B,0))</f>
        <v>Senior Data Engineer</v>
      </c>
      <c r="AM118" s="4" t="str">
        <f>INDEX(Employee!F:F,MATCH(AK118,Employee!B:B,0))</f>
        <v>Data</v>
      </c>
      <c r="AN118" s="4" t="str">
        <f>INDEX(Employee!H:H,MATCH(AK118,Employee!B:B,0))</f>
        <v>Dương Huỳnh Nghĩa (nghiadh)</v>
      </c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 s="6"/>
    </row>
    <row r="119" spans="1:102" s="4" customFormat="1" hidden="1">
      <c r="A119" s="3">
        <f t="shared" si="9"/>
        <v>118</v>
      </c>
      <c r="B119" s="4" t="s">
        <v>16</v>
      </c>
      <c r="C119" s="4" t="s">
        <v>3</v>
      </c>
      <c r="D119" s="4">
        <f>INDEX(Employee!E:E,MATCH(AK119,Employee!B:B,0))</f>
        <v>0</v>
      </c>
      <c r="E119" s="4" t="str">
        <f>INDEX(Employee!F:F,MATCH(AK119,Employee!B:B,0))</f>
        <v>Tech</v>
      </c>
      <c r="F119" s="4">
        <f>INDEX(Employee!G:G,MATCH(AK119,Employee!B:B,0))</f>
        <v>0</v>
      </c>
      <c r="G119" s="4" t="s">
        <v>119</v>
      </c>
      <c r="I119" s="4" t="str">
        <f t="shared" si="10"/>
        <v>MON0012</v>
      </c>
      <c r="J119" s="4" t="s">
        <v>107</v>
      </c>
      <c r="K119" s="7" t="s">
        <v>378</v>
      </c>
      <c r="L119" s="7"/>
      <c r="M119" s="7"/>
      <c r="N119" s="13" t="b">
        <v>1</v>
      </c>
      <c r="O119" s="13" t="b">
        <v>0</v>
      </c>
      <c r="P119" s="15" t="s">
        <v>388</v>
      </c>
      <c r="Q119" s="14">
        <v>45097</v>
      </c>
      <c r="R119" s="4" t="s">
        <v>102</v>
      </c>
      <c r="S119" s="10">
        <v>6786667</v>
      </c>
      <c r="AE119" s="21"/>
      <c r="AF119" s="4" t="str">
        <f>INDEX(Employee!C:C,MATCH(AG119,Employee!B:B,0))</f>
        <v>Nguyễn Viết Khải</v>
      </c>
      <c r="AG119" s="4" t="s">
        <v>103</v>
      </c>
      <c r="AH119" s="4" t="str">
        <f>INDEX(Employee!D:D,MATCH(AG119,Employee!B:B,0))</f>
        <v>Lead IT Support Engineer</v>
      </c>
      <c r="AI119" s="4" t="str">
        <f>INDEX(Employee!F:F,MATCH(AG119,Employee!B:B,0))</f>
        <v>Tech</v>
      </c>
      <c r="AJ119" s="4" t="str">
        <f>INDEX(Employee!C:C,MATCH(AK119,Employee!B:B,0))</f>
        <v>Trịnh Xuân Vượng</v>
      </c>
      <c r="AK119" s="4" t="s">
        <v>389</v>
      </c>
      <c r="AL119" s="4" t="str">
        <f>INDEX(Employee!D:D,MATCH(AK119,Employee!B:B,0))</f>
        <v>Solutions Architect</v>
      </c>
      <c r="AM119" s="4" t="str">
        <f>INDEX(Employee!F:F,MATCH(AK119,Employee!B:B,0))</f>
        <v>Tech</v>
      </c>
      <c r="AN119" s="4" t="str">
        <f>INDEX(Employee!H:H,MATCH(AK119,Employee!B:B,0))</f>
        <v>Dương Huỳnh Nghĩa (nghiadh)</v>
      </c>
      <c r="AS119" s="4" t="s">
        <v>242</v>
      </c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 s="6"/>
    </row>
    <row r="120" spans="1:102" s="4" customFormat="1" hidden="1">
      <c r="A120" s="3">
        <f t="shared" si="9"/>
        <v>119</v>
      </c>
      <c r="B120" s="4" t="s">
        <v>16</v>
      </c>
      <c r="C120" s="4" t="s">
        <v>3</v>
      </c>
      <c r="D120" s="4">
        <f>INDEX(Employee!E:E,MATCH(AK120,Employee!B:B,0))</f>
        <v>0</v>
      </c>
      <c r="E120" s="4" t="str">
        <f>INDEX(Employee!F:F,MATCH(AK120,Employee!B:B,0))</f>
        <v>Tech</v>
      </c>
      <c r="F120" s="4">
        <f>INDEX(Employee!G:G,MATCH(AK120,Employee!B:B,0))</f>
        <v>0</v>
      </c>
      <c r="G120" s="4" t="s">
        <v>119</v>
      </c>
      <c r="H120" s="4" t="s">
        <v>390</v>
      </c>
      <c r="I120" s="4" t="str">
        <f t="shared" si="10"/>
        <v>MON0013</v>
      </c>
      <c r="J120" s="4" t="s">
        <v>107</v>
      </c>
      <c r="K120" s="7" t="s">
        <v>378</v>
      </c>
      <c r="L120" s="7"/>
      <c r="M120" s="7"/>
      <c r="N120" s="13" t="b">
        <v>1</v>
      </c>
      <c r="O120" s="13" t="b">
        <v>0</v>
      </c>
      <c r="P120" s="15" t="s">
        <v>391</v>
      </c>
      <c r="Q120" s="14">
        <v>45097</v>
      </c>
      <c r="R120" s="4" t="s">
        <v>102</v>
      </c>
      <c r="S120" s="10">
        <v>6786667</v>
      </c>
      <c r="AE120" s="21"/>
      <c r="AF120" s="4" t="str">
        <f>INDEX(Employee!C:C,MATCH(AG120,Employee!B:B,0))</f>
        <v>Nguyễn Viết Khải</v>
      </c>
      <c r="AG120" s="4" t="s">
        <v>103</v>
      </c>
      <c r="AH120" s="4" t="str">
        <f>INDEX(Employee!D:D,MATCH(AG120,Employee!B:B,0))</f>
        <v>Lead IT Support Engineer</v>
      </c>
      <c r="AI120" s="4" t="str">
        <f>INDEX(Employee!F:F,MATCH(AG120,Employee!B:B,0))</f>
        <v>Tech</v>
      </c>
      <c r="AJ120" s="4" t="str">
        <f>INDEX(Employee!C:C,MATCH(AK120,Employee!B:B,0))</f>
        <v>Nguyễn Đình Thái</v>
      </c>
      <c r="AK120" s="4" t="s">
        <v>392</v>
      </c>
      <c r="AL120" s="4" t="str">
        <f>INDEX(Employee!D:D,MATCH(AK120,Employee!B:B,0))</f>
        <v>Senior Software Engineer</v>
      </c>
      <c r="AM120" s="4" t="str">
        <f>INDEX(Employee!F:F,MATCH(AK120,Employee!B:B,0))</f>
        <v>Tech</v>
      </c>
      <c r="AN120" s="4" t="str">
        <f>INDEX(Employee!H:H,MATCH(AK120,Employee!B:B,0))</f>
        <v>Trần Triệu Dương (duongtt5)</v>
      </c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CW120"/>
      <c r="CX120" s="6"/>
    </row>
    <row r="121" spans="1:102" s="4" customFormat="1" hidden="1">
      <c r="A121" s="3">
        <f t="shared" si="9"/>
        <v>120</v>
      </c>
      <c r="B121" s="4" t="s">
        <v>16</v>
      </c>
      <c r="C121" s="4" t="s">
        <v>3</v>
      </c>
      <c r="D121" s="4">
        <f>INDEX(Employee!E:E,MATCH(AK121,Employee!B:B,0))</f>
        <v>0</v>
      </c>
      <c r="E121" s="4" t="str">
        <f>INDEX(Employee!F:F,MATCH(AK121,Employee!B:B,0))</f>
        <v>Tech</v>
      </c>
      <c r="F121" s="4">
        <f>INDEX(Employee!G:G,MATCH(AK121,Employee!B:B,0))</f>
        <v>0</v>
      </c>
      <c r="G121" s="4" t="s">
        <v>119</v>
      </c>
      <c r="H121" s="4" t="s">
        <v>393</v>
      </c>
      <c r="I121" s="4" t="str">
        <f t="shared" si="10"/>
        <v>MON0014</v>
      </c>
      <c r="J121" s="4" t="s">
        <v>107</v>
      </c>
      <c r="K121" s="7" t="s">
        <v>378</v>
      </c>
      <c r="L121" s="7"/>
      <c r="M121" s="7"/>
      <c r="N121" s="13" t="b">
        <v>1</v>
      </c>
      <c r="O121" s="13" t="b">
        <v>0</v>
      </c>
      <c r="P121" s="15" t="s">
        <v>394</v>
      </c>
      <c r="Q121" s="14">
        <v>45097</v>
      </c>
      <c r="R121" s="4" t="s">
        <v>102</v>
      </c>
      <c r="S121" s="10">
        <v>6786667</v>
      </c>
      <c r="AE121" s="21"/>
      <c r="AF121" s="4" t="str">
        <f>INDEX(Employee!C:C,MATCH(AG121,Employee!B:B,0))</f>
        <v>Nguyễn Viết Khải</v>
      </c>
      <c r="AG121" s="4" t="s">
        <v>103</v>
      </c>
      <c r="AH121" s="4" t="str">
        <f>INDEX(Employee!D:D,MATCH(AG121,Employee!B:B,0))</f>
        <v>Lead IT Support Engineer</v>
      </c>
      <c r="AI121" s="4" t="str">
        <f>INDEX(Employee!F:F,MATCH(AG121,Employee!B:B,0))</f>
        <v>Tech</v>
      </c>
      <c r="AJ121" s="4" t="str">
        <f>INDEX(Employee!C:C,MATCH(AK121,Employee!B:B,0))</f>
        <v>Trần Kiên</v>
      </c>
      <c r="AK121" s="4" t="s">
        <v>198</v>
      </c>
      <c r="AL121" s="4" t="str">
        <f>INDEX(Employee!D:D,MATCH(AK121,Employee!B:B,0))</f>
        <v>QC Engineer</v>
      </c>
      <c r="AM121" s="4" t="str">
        <f>INDEX(Employee!F:F,MATCH(AK121,Employee!B:B,0))</f>
        <v>Tech</v>
      </c>
      <c r="AN121" s="4" t="str">
        <f>INDEX(Employee!H:H,MATCH(AK121,Employee!B:B,0))</f>
        <v>Trần Triệu Dương (duongtt5)</v>
      </c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 s="6"/>
    </row>
    <row r="122" spans="1:102" s="4" customFormat="1" hidden="1">
      <c r="A122" s="3">
        <f t="shared" si="9"/>
        <v>121</v>
      </c>
      <c r="B122" s="4" t="s">
        <v>16</v>
      </c>
      <c r="C122" s="4" t="s">
        <v>3</v>
      </c>
      <c r="D122" s="4">
        <f>INDEX(Employee!E:E,MATCH(AK122,Employee!B:B,0))</f>
        <v>0</v>
      </c>
      <c r="E122" s="4" t="str">
        <f>INDEX(Employee!F:F,MATCH(AK122,Employee!B:B,0))</f>
        <v>COO</v>
      </c>
      <c r="F122" s="4">
        <f>INDEX(Employee!G:G,MATCH(AK122,Employee!B:B,0))</f>
        <v>0</v>
      </c>
      <c r="G122" s="4" t="s">
        <v>119</v>
      </c>
      <c r="H122" s="4" t="s">
        <v>395</v>
      </c>
      <c r="I122" s="4" t="str">
        <f t="shared" si="10"/>
        <v>MON0015</v>
      </c>
      <c r="J122" s="4" t="s">
        <v>107</v>
      </c>
      <c r="K122" s="7" t="s">
        <v>378</v>
      </c>
      <c r="L122" s="7"/>
      <c r="M122" s="7"/>
      <c r="N122" s="13" t="b">
        <v>0</v>
      </c>
      <c r="O122" s="13" t="b">
        <v>0</v>
      </c>
      <c r="P122" s="15" t="s">
        <v>396</v>
      </c>
      <c r="Q122" s="14">
        <v>45097</v>
      </c>
      <c r="R122" s="4" t="s">
        <v>102</v>
      </c>
      <c r="S122" s="10">
        <v>7239112</v>
      </c>
      <c r="AE122" s="21"/>
      <c r="AF122" s="4" t="str">
        <f>INDEX(Employee!C:C,MATCH(AG122,Employee!B:B,0))</f>
        <v>Nguyễn Viết Khải</v>
      </c>
      <c r="AG122" s="4" t="s">
        <v>103</v>
      </c>
      <c r="AH122" s="4" t="str">
        <f>INDEX(Employee!D:D,MATCH(AG122,Employee!B:B,0))</f>
        <v>Lead IT Support Engineer</v>
      </c>
      <c r="AI122" s="4" t="str">
        <f>INDEX(Employee!F:F,MATCH(AG122,Employee!B:B,0))</f>
        <v>Tech</v>
      </c>
      <c r="AJ122" s="4" t="str">
        <f>INDEX(Employee!C:C,MATCH(AK122,Employee!B:B,0))</f>
        <v>Trần Triệu Dương</v>
      </c>
      <c r="AK122" s="4" t="s">
        <v>397</v>
      </c>
      <c r="AL122" s="4" t="str">
        <f>INDEX(Employee!D:D,MATCH(AK122,Employee!B:B,0))</f>
        <v>COO</v>
      </c>
      <c r="AM122" s="4" t="str">
        <f>INDEX(Employee!F:F,MATCH(AK122,Employee!B:B,0))</f>
        <v>COO</v>
      </c>
      <c r="AN122" s="4" t="str">
        <f>INDEX(Employee!H:H,MATCH(AK122,Employee!B:B,0))</f>
        <v>Aleksandar Jelic (jelica)</v>
      </c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/>
      <c r="CO122"/>
      <c r="CP122"/>
      <c r="CQ122"/>
      <c r="CR122"/>
      <c r="CS122"/>
      <c r="CT122"/>
      <c r="CU122"/>
      <c r="CV122"/>
      <c r="CW122"/>
      <c r="CX122" s="6"/>
    </row>
    <row r="123" spans="1:102" s="4" customFormat="1" hidden="1">
      <c r="A123" s="3">
        <f t="shared" si="9"/>
        <v>122</v>
      </c>
      <c r="B123" s="4" t="s">
        <v>16</v>
      </c>
      <c r="C123" s="4" t="s">
        <v>3</v>
      </c>
      <c r="D123" s="4">
        <f>INDEX(Employee!E:E,MATCH(AK123,Employee!B:B,0))</f>
        <v>0</v>
      </c>
      <c r="E123" s="4" t="str">
        <f>INDEX(Employee!F:F,MATCH(AK123,Employee!B:B,0))</f>
        <v>OP</v>
      </c>
      <c r="F123" s="4">
        <f>INDEX(Employee!G:G,MATCH(AK123,Employee!B:B,0))</f>
        <v>0</v>
      </c>
      <c r="G123" s="4" t="s">
        <v>119</v>
      </c>
      <c r="H123" s="4" t="s">
        <v>398</v>
      </c>
      <c r="I123" s="4" t="str">
        <f t="shared" si="10"/>
        <v>MON0016</v>
      </c>
      <c r="J123" s="4" t="s">
        <v>107</v>
      </c>
      <c r="K123" s="7" t="s">
        <v>378</v>
      </c>
      <c r="L123" s="7"/>
      <c r="M123" s="7"/>
      <c r="N123" s="13" t="b">
        <v>1</v>
      </c>
      <c r="O123" s="13" t="b">
        <v>0</v>
      </c>
      <c r="P123" s="15" t="s">
        <v>399</v>
      </c>
      <c r="Q123" s="14">
        <v>44757</v>
      </c>
      <c r="R123" s="4" t="s">
        <v>102</v>
      </c>
      <c r="S123" s="10">
        <v>6605834</v>
      </c>
      <c r="AE123" s="21"/>
      <c r="AF123" s="4" t="str">
        <f>INDEX(Employee!C:C,MATCH(AG123,Employee!B:B,0))</f>
        <v>Nguyễn Viết Khải</v>
      </c>
      <c r="AG123" s="4" t="s">
        <v>103</v>
      </c>
      <c r="AH123" s="4" t="str">
        <f>INDEX(Employee!D:D,MATCH(AG123,Employee!B:B,0))</f>
        <v>Lead IT Support Engineer</v>
      </c>
      <c r="AI123" s="4" t="str">
        <f>INDEX(Employee!F:F,MATCH(AG123,Employee!B:B,0))</f>
        <v>Tech</v>
      </c>
      <c r="AJ123" s="4" t="str">
        <f>INDEX(Employee!C:C,MATCH(AK123,Employee!B:B,0))</f>
        <v>Nguyễn Thị Hoàng Yến</v>
      </c>
      <c r="AK123" s="4" t="s">
        <v>400</v>
      </c>
      <c r="AL123" s="4" t="str">
        <f>INDEX(Employee!D:D,MATCH(AK123,Employee!B:B,0))</f>
        <v>Senior Database Developer</v>
      </c>
      <c r="AM123" s="4" t="str">
        <f>INDEX(Employee!F:F,MATCH(AK123,Employee!B:B,0))</f>
        <v>OP</v>
      </c>
      <c r="AN123" s="4" t="str">
        <f>INDEX(Employee!H:H,MATCH(AK123,Employee!B:B,0))</f>
        <v>Dương Huỳnh Nghĩa (nghiadh)</v>
      </c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  <c r="BR123"/>
      <c r="BS123"/>
      <c r="BT123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/>
      <c r="CL123"/>
      <c r="CM123"/>
      <c r="CN123"/>
      <c r="CO123"/>
      <c r="CP123"/>
      <c r="CQ123"/>
      <c r="CR123"/>
      <c r="CS123"/>
      <c r="CT123"/>
      <c r="CU123"/>
      <c r="CV123"/>
      <c r="CW123"/>
      <c r="CX123" s="6"/>
    </row>
    <row r="124" spans="1:102" s="4" customFormat="1" hidden="1">
      <c r="A124" s="3">
        <f t="shared" si="9"/>
        <v>123</v>
      </c>
      <c r="B124" s="4" t="s">
        <v>16</v>
      </c>
      <c r="C124" s="4" t="s">
        <v>3</v>
      </c>
      <c r="D124" s="4">
        <f>INDEX(Employee!E:E,MATCH(AK124,Employee!B:B,0))</f>
        <v>0</v>
      </c>
      <c r="E124" s="4" t="str">
        <f>INDEX(Employee!F:F,MATCH(AK124,Employee!B:B,0))</f>
        <v>Tech</v>
      </c>
      <c r="F124" s="4">
        <f>INDEX(Employee!G:G,MATCH(AK124,Employee!B:B,0))</f>
        <v>0</v>
      </c>
      <c r="G124" s="4" t="s">
        <v>119</v>
      </c>
      <c r="H124" s="4" t="s">
        <v>401</v>
      </c>
      <c r="I124" s="4" t="str">
        <f t="shared" si="10"/>
        <v>MON0017</v>
      </c>
      <c r="J124" s="4" t="s">
        <v>107</v>
      </c>
      <c r="K124" s="7" t="s">
        <v>378</v>
      </c>
      <c r="L124" s="7"/>
      <c r="M124" s="7"/>
      <c r="N124" s="13" t="b">
        <v>1</v>
      </c>
      <c r="O124" s="13" t="b">
        <v>0</v>
      </c>
      <c r="P124" s="15" t="s">
        <v>402</v>
      </c>
      <c r="Q124" s="14">
        <v>44757</v>
      </c>
      <c r="R124" s="4" t="s">
        <v>102</v>
      </c>
      <c r="S124" s="10">
        <v>6605834</v>
      </c>
      <c r="AE124" s="21"/>
      <c r="AF124" s="4" t="str">
        <f>INDEX(Employee!C:C,MATCH(AG124,Employee!B:B,0))</f>
        <v>Nguyễn Viết Khải</v>
      </c>
      <c r="AG124" s="4" t="s">
        <v>103</v>
      </c>
      <c r="AH124" s="4" t="str">
        <f>INDEX(Employee!D:D,MATCH(AG124,Employee!B:B,0))</f>
        <v>Lead IT Support Engineer</v>
      </c>
      <c r="AI124" s="4" t="str">
        <f>INDEX(Employee!F:F,MATCH(AG124,Employee!B:B,0))</f>
        <v>Tech</v>
      </c>
      <c r="AJ124" s="4" t="str">
        <f>INDEX(Employee!C:C,MATCH(AK124,Employee!B:B,0))</f>
        <v>Nguyễn Thanh Lê</v>
      </c>
      <c r="AK124" s="4" t="s">
        <v>143</v>
      </c>
      <c r="AL124" s="4" t="str">
        <f>INDEX(Employee!D:D,MATCH(AK124,Employee!B:B,0))</f>
        <v>Senior GIS Specialist</v>
      </c>
      <c r="AM124" s="4" t="str">
        <f>INDEX(Employee!F:F,MATCH(AK124,Employee!B:B,0))</f>
        <v>Tech</v>
      </c>
      <c r="AN124" s="4" t="str">
        <f>INDEX(Employee!H:H,MATCH(AK124,Employee!B:B,0))</f>
        <v>Dương Huỳnh Nghĩa (nghiadh)</v>
      </c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/>
      <c r="CN124"/>
      <c r="CO124"/>
      <c r="CP124"/>
      <c r="CQ124"/>
      <c r="CR124"/>
      <c r="CS124"/>
      <c r="CT124"/>
      <c r="CU124"/>
      <c r="CV124"/>
      <c r="CW124"/>
      <c r="CX124" s="6"/>
    </row>
    <row r="125" spans="1:102" s="4" customFormat="1" hidden="1">
      <c r="A125" s="3">
        <f t="shared" si="9"/>
        <v>124</v>
      </c>
      <c r="B125" s="4" t="s">
        <v>16</v>
      </c>
      <c r="C125" s="4" t="s">
        <v>3</v>
      </c>
      <c r="D125" s="4" t="str">
        <f>INDEX(Employee!E:E,MATCH(AK125,Employee!B:B,0))</f>
        <v>Project</v>
      </c>
      <c r="E125" s="4" t="str">
        <f>INDEX(Employee!F:F,MATCH(AK125,Employee!B:B,0))</f>
        <v>Tech</v>
      </c>
      <c r="F125" s="4" t="str">
        <f>INDEX(Employee!G:G,MATCH(AK125,Employee!B:B,0))</f>
        <v>Venture</v>
      </c>
      <c r="G125" s="4" t="s">
        <v>15</v>
      </c>
      <c r="I125" s="4" t="str">
        <f t="shared" si="10"/>
        <v>MON0018</v>
      </c>
      <c r="J125" s="4" t="s">
        <v>107</v>
      </c>
      <c r="K125" s="7" t="s">
        <v>378</v>
      </c>
      <c r="L125" s="7"/>
      <c r="M125" s="7"/>
      <c r="N125" s="13" t="b">
        <v>0</v>
      </c>
      <c r="O125" s="13" t="b">
        <v>0</v>
      </c>
      <c r="P125" s="15" t="s">
        <v>403</v>
      </c>
      <c r="Q125" s="14">
        <v>44757</v>
      </c>
      <c r="R125" s="4" t="s">
        <v>102</v>
      </c>
      <c r="S125" s="10">
        <v>6385639</v>
      </c>
      <c r="AE125" s="21"/>
      <c r="AF125" s="4" t="str">
        <f>INDEX(Employee!C:C,MATCH(AG125,Employee!B:B,0))</f>
        <v>Nguyễn Viết Khải</v>
      </c>
      <c r="AG125" s="4" t="s">
        <v>103</v>
      </c>
      <c r="AH125" s="4" t="str">
        <f>INDEX(Employee!D:D,MATCH(AG125,Employee!B:B,0))</f>
        <v>Lead IT Support Engineer</v>
      </c>
      <c r="AI125" s="4" t="str">
        <f>INDEX(Employee!F:F,MATCH(AG125,Employee!B:B,0))</f>
        <v>Tech</v>
      </c>
      <c r="AJ125" s="4" t="str">
        <f>INDEX(Employee!C:C,MATCH(AK125,Employee!B:B,0))</f>
        <v>Nguyễn Hồ Quốc Thịnh</v>
      </c>
      <c r="AK125" s="4" t="s">
        <v>296</v>
      </c>
      <c r="AL125" s="4" t="str">
        <f>INDEX(Employee!D:D,MATCH(AK125,Employee!B:B,0))</f>
        <v>Senior Software Engineer, Team Leader</v>
      </c>
      <c r="AM125" s="4" t="str">
        <f>INDEX(Employee!F:F,MATCH(AK125,Employee!B:B,0))</f>
        <v>Tech</v>
      </c>
      <c r="AN125" s="4" t="str">
        <f>INDEX(Employee!H:H,MATCH(AK125,Employee!B:B,0))</f>
        <v>Đoàn Nhật Duẩn</v>
      </c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  <c r="BR125"/>
      <c r="BS125"/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/>
      <c r="CL125"/>
      <c r="CM125"/>
      <c r="CN125"/>
      <c r="CO125"/>
      <c r="CP125"/>
      <c r="CQ125"/>
      <c r="CR125"/>
      <c r="CS125"/>
      <c r="CT125"/>
      <c r="CU125"/>
      <c r="CV125"/>
      <c r="CW125"/>
      <c r="CX125" s="6"/>
    </row>
    <row r="126" spans="1:102" s="4" customFormat="1" hidden="1">
      <c r="A126" s="3">
        <f t="shared" si="9"/>
        <v>125</v>
      </c>
      <c r="B126" s="4" t="s">
        <v>16</v>
      </c>
      <c r="C126" s="4" t="s">
        <v>3</v>
      </c>
      <c r="D126" s="4">
        <f>INDEX(Employee!E:E,MATCH(AK126,Employee!B:B,0))</f>
        <v>0</v>
      </c>
      <c r="E126" s="4" t="str">
        <f>INDEX(Employee!F:F,MATCH(AK126,Employee!B:B,0))</f>
        <v>Tech</v>
      </c>
      <c r="F126" s="4">
        <f>INDEX(Employee!G:G,MATCH(AK126,Employee!B:B,0))</f>
        <v>0</v>
      </c>
      <c r="G126" s="4" t="s">
        <v>119</v>
      </c>
      <c r="H126" s="4" t="s">
        <v>404</v>
      </c>
      <c r="I126" s="4" t="str">
        <f t="shared" si="10"/>
        <v>MON0019</v>
      </c>
      <c r="J126" s="4" t="s">
        <v>107</v>
      </c>
      <c r="K126" s="7" t="s">
        <v>378</v>
      </c>
      <c r="L126" s="7"/>
      <c r="M126" s="7"/>
      <c r="N126" s="13" t="b">
        <v>1</v>
      </c>
      <c r="O126" s="13" t="b">
        <v>0</v>
      </c>
      <c r="P126" s="15" t="s">
        <v>405</v>
      </c>
      <c r="Q126" s="14">
        <v>44757</v>
      </c>
      <c r="R126" s="4" t="s">
        <v>102</v>
      </c>
      <c r="S126" s="10">
        <v>6385639</v>
      </c>
      <c r="AE126" s="21"/>
      <c r="AF126" s="4" t="str">
        <f>INDEX(Employee!C:C,MATCH(AG126,Employee!B:B,0))</f>
        <v>Nguyễn Viết Khải</v>
      </c>
      <c r="AG126" s="4" t="s">
        <v>103</v>
      </c>
      <c r="AH126" s="4" t="str">
        <f>INDEX(Employee!D:D,MATCH(AG126,Employee!B:B,0))</f>
        <v>Lead IT Support Engineer</v>
      </c>
      <c r="AI126" s="4" t="str">
        <f>INDEX(Employee!F:F,MATCH(AG126,Employee!B:B,0))</f>
        <v>Tech</v>
      </c>
      <c r="AJ126" s="4" t="str">
        <f>INDEX(Employee!C:C,MATCH(AK126,Employee!B:B,0))</f>
        <v>Đặng Hồng Phong</v>
      </c>
      <c r="AK126" s="4" t="s">
        <v>406</v>
      </c>
      <c r="AL126" s="4" t="str">
        <f>INDEX(Employee!D:D,MATCH(AK126,Employee!B:B,0))</f>
        <v>Senior Software Engineer</v>
      </c>
      <c r="AM126" s="4" t="str">
        <f>INDEX(Employee!F:F,MATCH(AK126,Employee!B:B,0))</f>
        <v>Tech</v>
      </c>
      <c r="AN126" s="4" t="str">
        <f>INDEX(Employee!H:H,MATCH(AK126,Employee!B:B,0))</f>
        <v>Lê Viết Khánh (khanhlv2)</v>
      </c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  <c r="BR126"/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  <c r="CM126"/>
      <c r="CN126"/>
      <c r="CO126"/>
      <c r="CP126"/>
      <c r="CQ126"/>
      <c r="CR126"/>
      <c r="CS126"/>
      <c r="CT126"/>
      <c r="CU126"/>
      <c r="CV126"/>
      <c r="CW126"/>
      <c r="CX126" s="6"/>
    </row>
    <row r="127" spans="1:102" s="4" customFormat="1" hidden="1">
      <c r="A127" s="3">
        <f t="shared" si="9"/>
        <v>126</v>
      </c>
      <c r="B127" s="4" t="s">
        <v>16</v>
      </c>
      <c r="C127" s="4" t="s">
        <v>3</v>
      </c>
      <c r="D127" s="4" t="str">
        <f>INDEX(Employee!E:E,MATCH(AK127,Employee!B:B,0))</f>
        <v>Project</v>
      </c>
      <c r="E127" s="4" t="str">
        <f>INDEX(Employee!F:F,MATCH(AK127,Employee!B:B,0))</f>
        <v>Tech</v>
      </c>
      <c r="F127" s="4" t="str">
        <f>INDEX(Employee!G:G,MATCH(AK127,Employee!B:B,0))</f>
        <v>Venture</v>
      </c>
      <c r="G127" s="4" t="s">
        <v>15</v>
      </c>
      <c r="H127" s="4" t="s">
        <v>407</v>
      </c>
      <c r="I127" s="4" t="str">
        <f t="shared" si="10"/>
        <v>MON0020</v>
      </c>
      <c r="J127" s="4" t="s">
        <v>107</v>
      </c>
      <c r="K127" s="7" t="s">
        <v>378</v>
      </c>
      <c r="L127" s="7"/>
      <c r="M127" s="7"/>
      <c r="N127" s="13" t="b">
        <v>0</v>
      </c>
      <c r="O127" s="13" t="b">
        <v>0</v>
      </c>
      <c r="P127" s="15" t="s">
        <v>408</v>
      </c>
      <c r="Q127" s="14">
        <v>44757</v>
      </c>
      <c r="R127" s="4" t="s">
        <v>102</v>
      </c>
      <c r="S127" s="10">
        <v>6605834</v>
      </c>
      <c r="AE127" s="21"/>
      <c r="AF127" s="4" t="str">
        <f>INDEX(Employee!C:C,MATCH(AG127,Employee!B:B,0))</f>
        <v>Nguyễn Viết Khải</v>
      </c>
      <c r="AG127" s="4" t="s">
        <v>103</v>
      </c>
      <c r="AH127" s="4" t="str">
        <f>INDEX(Employee!D:D,MATCH(AG127,Employee!B:B,0))</f>
        <v>Lead IT Support Engineer</v>
      </c>
      <c r="AI127" s="4" t="str">
        <f>INDEX(Employee!F:F,MATCH(AG127,Employee!B:B,0))</f>
        <v>Tech</v>
      </c>
      <c r="AJ127" s="4" t="str">
        <f>INDEX(Employee!C:C,MATCH(AK127,Employee!B:B,0))</f>
        <v>Đoàn Nhật Duẩn</v>
      </c>
      <c r="AK127" s="4" t="s">
        <v>288</v>
      </c>
      <c r="AL127" s="4" t="str">
        <f>INDEX(Employee!D:D,MATCH(AK127,Employee!B:B,0))</f>
        <v>Chief Innovation Officer</v>
      </c>
      <c r="AM127" s="4" t="str">
        <f>INDEX(Employee!F:F,MATCH(AK127,Employee!B:B,0))</f>
        <v>Tech</v>
      </c>
      <c r="AN127" s="4" t="str">
        <f>INDEX(Employee!H:H,MATCH(AK127,Employee!B:B,0))</f>
        <v>Đoàn Hải Nam</v>
      </c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  <c r="CM127"/>
      <c r="CN127"/>
      <c r="CO127"/>
      <c r="CP127"/>
      <c r="CQ127"/>
      <c r="CR127"/>
      <c r="CS127"/>
      <c r="CT127"/>
      <c r="CU127"/>
      <c r="CV127"/>
      <c r="CW127"/>
      <c r="CX127" s="6"/>
    </row>
    <row r="128" spans="1:102" s="4" customFormat="1" hidden="1">
      <c r="A128" s="3">
        <f t="shared" si="9"/>
        <v>127</v>
      </c>
      <c r="B128" s="4" t="s">
        <v>16</v>
      </c>
      <c r="C128" s="4" t="s">
        <v>3</v>
      </c>
      <c r="D128" s="4">
        <f>INDEX(Employee!E:E,MATCH(AK128,Employee!B:B,0))</f>
        <v>0</v>
      </c>
      <c r="E128" s="4" t="str">
        <f>INDEX(Employee!F:F,MATCH(AK128,Employee!B:B,0))</f>
        <v>Tech</v>
      </c>
      <c r="F128" s="4">
        <f>INDEX(Employee!G:G,MATCH(AK128,Employee!B:B,0))</f>
        <v>0</v>
      </c>
      <c r="G128" s="4" t="s">
        <v>119</v>
      </c>
      <c r="H128" s="4" t="s">
        <v>409</v>
      </c>
      <c r="I128" s="4" t="str">
        <f t="shared" si="10"/>
        <v>MON0021</v>
      </c>
      <c r="J128" s="4" t="s">
        <v>107</v>
      </c>
      <c r="K128" s="7" t="s">
        <v>378</v>
      </c>
      <c r="L128" s="7"/>
      <c r="M128" s="7"/>
      <c r="N128" s="13" t="b">
        <v>1</v>
      </c>
      <c r="O128" s="13" t="b">
        <v>0</v>
      </c>
      <c r="P128" s="15" t="s">
        <v>410</v>
      </c>
      <c r="Q128" s="14">
        <v>44757</v>
      </c>
      <c r="R128" s="4" t="s">
        <v>102</v>
      </c>
      <c r="S128" s="10">
        <v>6165445</v>
      </c>
      <c r="AE128" s="21"/>
      <c r="AF128" s="4" t="str">
        <f>INDEX(Employee!C:C,MATCH(AG128,Employee!B:B,0))</f>
        <v>Nguyễn Viết Khải</v>
      </c>
      <c r="AG128" s="4" t="s">
        <v>103</v>
      </c>
      <c r="AH128" s="4" t="str">
        <f>INDEX(Employee!D:D,MATCH(AG128,Employee!B:B,0))</f>
        <v>Lead IT Support Engineer</v>
      </c>
      <c r="AI128" s="4" t="str">
        <f>INDEX(Employee!F:F,MATCH(AG128,Employee!B:B,0))</f>
        <v>Tech</v>
      </c>
      <c r="AJ128" s="4" t="str">
        <f>INDEX(Employee!C:C,MATCH(AK128,Employee!B:B,0))</f>
        <v>Hoàng Anh Dũng</v>
      </c>
      <c r="AK128" s="4" t="s">
        <v>411</v>
      </c>
      <c r="AL128" s="4" t="str">
        <f>INDEX(Employee!D:D,MATCH(AK128,Employee!B:B,0))</f>
        <v>Associate Software Engineer</v>
      </c>
      <c r="AM128" s="4" t="str">
        <f>INDEX(Employee!F:F,MATCH(AK128,Employee!B:B,0))</f>
        <v>Tech</v>
      </c>
      <c r="AN128" s="4" t="str">
        <f>INDEX(Employee!H:H,MATCH(AK128,Employee!B:B,0))</f>
        <v>Trương Thanh Nhân (nhantt7)</v>
      </c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  <c r="BR128"/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/>
      <c r="CL128"/>
      <c r="CM128"/>
      <c r="CN128"/>
      <c r="CO128"/>
      <c r="CP128"/>
      <c r="CQ128"/>
      <c r="CR128"/>
      <c r="CS128"/>
      <c r="CT128"/>
      <c r="CU128"/>
      <c r="CV128"/>
      <c r="CW128"/>
      <c r="CX128" s="6"/>
    </row>
    <row r="129" spans="1:102" s="4" customFormat="1" hidden="1">
      <c r="A129" s="3">
        <f t="shared" si="9"/>
        <v>128</v>
      </c>
      <c r="B129" s="4" t="s">
        <v>16</v>
      </c>
      <c r="C129" s="4" t="s">
        <v>3</v>
      </c>
      <c r="D129" s="4">
        <f>INDEX(Employee!E:E,MATCH(AK129,Employee!B:B,0))</f>
        <v>0</v>
      </c>
      <c r="E129" s="4" t="str">
        <f>INDEX(Employee!F:F,MATCH(AK129,Employee!B:B,0))</f>
        <v>Tech</v>
      </c>
      <c r="F129" s="4">
        <f>INDEX(Employee!G:G,MATCH(AK129,Employee!B:B,0))</f>
        <v>0</v>
      </c>
      <c r="G129" s="4" t="s">
        <v>119</v>
      </c>
      <c r="H129" s="4" t="s">
        <v>412</v>
      </c>
      <c r="I129" s="4" t="str">
        <f t="shared" si="10"/>
        <v>MON0022</v>
      </c>
      <c r="J129" s="4" t="s">
        <v>107</v>
      </c>
      <c r="K129" s="7" t="s">
        <v>378</v>
      </c>
      <c r="L129" s="7"/>
      <c r="M129" s="7"/>
      <c r="N129" s="13" t="b">
        <v>1</v>
      </c>
      <c r="O129" s="13" t="b">
        <v>0</v>
      </c>
      <c r="P129" s="15" t="s">
        <v>413</v>
      </c>
      <c r="Q129" s="14">
        <v>44757</v>
      </c>
      <c r="R129" s="4" t="s">
        <v>102</v>
      </c>
      <c r="S129" s="10">
        <v>6605834</v>
      </c>
      <c r="AE129" s="21"/>
      <c r="AF129" s="4" t="str">
        <f>INDEX(Employee!C:C,MATCH(AG129,Employee!B:B,0))</f>
        <v>Nguyễn Viết Khải</v>
      </c>
      <c r="AG129" s="4" t="s">
        <v>103</v>
      </c>
      <c r="AH129" s="4" t="str">
        <f>INDEX(Employee!D:D,MATCH(AG129,Employee!B:B,0))</f>
        <v>Lead IT Support Engineer</v>
      </c>
      <c r="AI129" s="4" t="str">
        <f>INDEX(Employee!F:F,MATCH(AG129,Employee!B:B,0))</f>
        <v>Tech</v>
      </c>
      <c r="AJ129" s="4" t="str">
        <f>INDEX(Employee!C:C,MATCH(AK129,Employee!B:B,0))</f>
        <v>Nguyễn Anh Tuấn</v>
      </c>
      <c r="AK129" s="4" t="s">
        <v>414</v>
      </c>
      <c r="AL129" s="4" t="str">
        <f>INDEX(Employee!D:D,MATCH(AK129,Employee!B:B,0))</f>
        <v>Senior QC Engineer</v>
      </c>
      <c r="AM129" s="4" t="str">
        <f>INDEX(Employee!F:F,MATCH(AK129,Employee!B:B,0))</f>
        <v>Tech</v>
      </c>
      <c r="AN129" s="4" t="str">
        <f>INDEX(Employee!H:H,MATCH(AK129,Employee!B:B,0))</f>
        <v>Huỳnh Ngọc Minh (minhhn2)</v>
      </c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  <c r="BR129"/>
      <c r="BS129"/>
      <c r="BT129"/>
      <c r="BU129"/>
      <c r="BV129"/>
      <c r="BW129"/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/>
      <c r="CL129"/>
      <c r="CM129"/>
      <c r="CN129"/>
      <c r="CO129"/>
      <c r="CP129"/>
      <c r="CQ129"/>
      <c r="CR129"/>
      <c r="CS129"/>
      <c r="CT129"/>
      <c r="CU129"/>
      <c r="CV129"/>
      <c r="CW129"/>
      <c r="CX129" s="6"/>
    </row>
    <row r="130" spans="1:102" s="4" customFormat="1" hidden="1">
      <c r="A130" s="3">
        <f t="shared" si="9"/>
        <v>129</v>
      </c>
      <c r="B130" s="4" t="s">
        <v>16</v>
      </c>
      <c r="C130" s="4" t="s">
        <v>3</v>
      </c>
      <c r="D130" s="4">
        <f>INDEX(Employee!E:E,MATCH(AK130,Employee!B:B,0))</f>
        <v>0</v>
      </c>
      <c r="E130" s="4" t="str">
        <f>INDEX(Employee!F:F,MATCH(AK130,Employee!B:B,0))</f>
        <v>Sales</v>
      </c>
      <c r="F130" s="4">
        <f>INDEX(Employee!G:G,MATCH(AK130,Employee!B:B,0))</f>
        <v>0</v>
      </c>
      <c r="G130" s="4" t="s">
        <v>119</v>
      </c>
      <c r="H130" s="4" t="s">
        <v>415</v>
      </c>
      <c r="I130" s="4" t="str">
        <f t="shared" si="10"/>
        <v>MON0023</v>
      </c>
      <c r="J130" s="4" t="s">
        <v>107</v>
      </c>
      <c r="K130" s="7" t="s">
        <v>378</v>
      </c>
      <c r="L130" s="7"/>
      <c r="M130" s="7"/>
      <c r="N130" s="13" t="b">
        <v>0</v>
      </c>
      <c r="O130" s="13" t="b">
        <v>0</v>
      </c>
      <c r="P130" s="15" t="s">
        <v>416</v>
      </c>
      <c r="Q130" s="14">
        <v>44757</v>
      </c>
      <c r="R130" s="4" t="s">
        <v>102</v>
      </c>
      <c r="S130" s="10">
        <v>6165445</v>
      </c>
      <c r="AE130" s="21"/>
      <c r="AF130" s="4" t="str">
        <f>INDEX(Employee!C:C,MATCH(AG130,Employee!B:B,0))</f>
        <v>Nguyễn Viết Khải</v>
      </c>
      <c r="AG130" s="4" t="s">
        <v>103</v>
      </c>
      <c r="AH130" s="4" t="str">
        <f>INDEX(Employee!D:D,MATCH(AG130,Employee!B:B,0))</f>
        <v>Lead IT Support Engineer</v>
      </c>
      <c r="AI130" s="4" t="str">
        <f>INDEX(Employee!F:F,MATCH(AG130,Employee!B:B,0))</f>
        <v>Tech</v>
      </c>
      <c r="AJ130" s="4" t="str">
        <f>INDEX(Employee!C:C,MATCH(AK130,Employee!B:B,0))</f>
        <v>Nguyễn Thị Thuý Hằng</v>
      </c>
      <c r="AK130" s="4" t="s">
        <v>417</v>
      </c>
      <c r="AL130" s="4" t="str">
        <f>INDEX(Employee!D:D,MATCH(AK130,Employee!B:B,0))</f>
        <v>Presales Editor</v>
      </c>
      <c r="AM130" s="4" t="str">
        <f>INDEX(Employee!F:F,MATCH(AK130,Employee!B:B,0))</f>
        <v>Sales</v>
      </c>
      <c r="AN130" s="4" t="str">
        <f>INDEX(Employee!H:H,MATCH(AK130,Employee!B:B,0))</f>
        <v>Antonuccio Antonio (antonioa)</v>
      </c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  <c r="BR130"/>
      <c r="BS130"/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/>
      <c r="CL130"/>
      <c r="CM130"/>
      <c r="CN130"/>
      <c r="CO130"/>
      <c r="CP130"/>
      <c r="CQ130"/>
      <c r="CR130"/>
      <c r="CS130"/>
      <c r="CT130"/>
      <c r="CU130"/>
      <c r="CV130"/>
      <c r="CW130"/>
      <c r="CX130" s="6"/>
    </row>
    <row r="131" spans="1:102" s="4" customFormat="1" hidden="1">
      <c r="A131" s="3">
        <f t="shared" si="9"/>
        <v>130</v>
      </c>
      <c r="B131" s="4" t="s">
        <v>16</v>
      </c>
      <c r="C131" s="4" t="s">
        <v>3</v>
      </c>
      <c r="D131" s="4" t="str">
        <f>INDEX(Employee!E:E,MATCH(AK131,Employee!B:B,0))</f>
        <v>BO</v>
      </c>
      <c r="E131" s="4" t="str">
        <f>INDEX(Employee!F:F,MATCH(AK131,Employee!B:B,0))</f>
        <v>Business Support</v>
      </c>
      <c r="F131" s="4" t="str">
        <f>INDEX(Employee!G:G,MATCH(AK131,Employee!B:B,0))</f>
        <v>Operation Team</v>
      </c>
      <c r="G131" s="4" t="s">
        <v>15</v>
      </c>
      <c r="H131" s="4" t="s">
        <v>418</v>
      </c>
      <c r="I131" s="4" t="str">
        <f t="shared" si="10"/>
        <v>MON0024</v>
      </c>
      <c r="J131" s="4" t="s">
        <v>107</v>
      </c>
      <c r="K131" s="7" t="s">
        <v>378</v>
      </c>
      <c r="L131" s="7"/>
      <c r="M131" s="7"/>
      <c r="N131" s="13" t="b">
        <v>0</v>
      </c>
      <c r="O131" s="13" t="b">
        <v>0</v>
      </c>
      <c r="P131" s="15" t="s">
        <v>419</v>
      </c>
      <c r="Q131" s="14">
        <v>44757</v>
      </c>
      <c r="R131" s="4" t="s">
        <v>102</v>
      </c>
      <c r="S131" s="10">
        <v>6385639</v>
      </c>
      <c r="AE131" s="21"/>
      <c r="AF131" s="4" t="str">
        <f>INDEX(Employee!C:C,MATCH(AG131,Employee!B:B,0))</f>
        <v>Nguyễn Viết Khải</v>
      </c>
      <c r="AG131" s="4" t="s">
        <v>103</v>
      </c>
      <c r="AH131" s="4" t="str">
        <f>INDEX(Employee!D:D,MATCH(AG131,Employee!B:B,0))</f>
        <v>Lead IT Support Engineer</v>
      </c>
      <c r="AI131" s="4" t="str">
        <f>INDEX(Employee!F:F,MATCH(AG131,Employee!B:B,0))</f>
        <v>Tech</v>
      </c>
      <c r="AJ131" s="4" t="str">
        <f>INDEX(Employee!C:C,MATCH(AK131,Employee!B:B,0))</f>
        <v>Võ Lê Nguyên Khang</v>
      </c>
      <c r="AK131" s="4" t="s">
        <v>250</v>
      </c>
      <c r="AL131" s="4" t="str">
        <f>INDEX(Employee!D:D,MATCH(AK131,Employee!B:B,0))</f>
        <v>Talent Acquisition Business Partner</v>
      </c>
      <c r="AM131" s="4" t="str">
        <f>INDEX(Employee!F:F,MATCH(AK131,Employee!B:B,0))</f>
        <v>Business Support</v>
      </c>
      <c r="AN131" s="4" t="str">
        <f>INDEX(Employee!H:H,MATCH(AK131,Employee!B:B,0))</f>
        <v>Nguyễn Thị My Sa</v>
      </c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  <c r="BR131"/>
      <c r="BS131"/>
      <c r="BT131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/>
      <c r="CL131"/>
      <c r="CM131"/>
      <c r="CN131"/>
      <c r="CO131"/>
      <c r="CP131"/>
      <c r="CQ131"/>
      <c r="CR131"/>
      <c r="CS131"/>
      <c r="CT131"/>
      <c r="CU131"/>
      <c r="CV131"/>
      <c r="CW131"/>
      <c r="CX131" s="6"/>
    </row>
    <row r="132" spans="1:102" s="4" customFormat="1" hidden="1">
      <c r="A132" s="3">
        <f t="shared" si="9"/>
        <v>131</v>
      </c>
      <c r="B132" s="4" t="s">
        <v>16</v>
      </c>
      <c r="C132" s="4" t="s">
        <v>3</v>
      </c>
      <c r="D132" s="4" t="str">
        <f>INDEX(Employee!E:E,MATCH(AK132,Employee!B:B,0))</f>
        <v>Project</v>
      </c>
      <c r="E132" s="4" t="str">
        <f>INDEX(Employee!F:F,MATCH(AK132,Employee!B:B,0))</f>
        <v>Tech</v>
      </c>
      <c r="F132" s="4" t="str">
        <f>INDEX(Employee!G:G,MATCH(AK132,Employee!B:B,0))</f>
        <v>Venture</v>
      </c>
      <c r="G132" s="4" t="s">
        <v>15</v>
      </c>
      <c r="H132" s="4" t="s">
        <v>420</v>
      </c>
      <c r="I132" s="4" t="str">
        <f t="shared" si="10"/>
        <v>MON0025</v>
      </c>
      <c r="J132" s="4" t="s">
        <v>107</v>
      </c>
      <c r="K132" s="7" t="s">
        <v>378</v>
      </c>
      <c r="L132" s="7"/>
      <c r="M132" s="7"/>
      <c r="N132" s="13" t="b">
        <v>0</v>
      </c>
      <c r="O132" s="13" t="b">
        <v>0</v>
      </c>
      <c r="P132" s="15" t="s">
        <v>421</v>
      </c>
      <c r="Q132" s="14">
        <v>44757</v>
      </c>
      <c r="R132" s="4" t="s">
        <v>102</v>
      </c>
      <c r="S132" s="10">
        <v>6605834</v>
      </c>
      <c r="AE132" s="21"/>
      <c r="AF132" s="4" t="str">
        <f>INDEX(Employee!C:C,MATCH(AG132,Employee!B:B,0))</f>
        <v>Nguyễn Viết Khải</v>
      </c>
      <c r="AG132" s="4" t="s">
        <v>103</v>
      </c>
      <c r="AH132" s="4" t="str">
        <f>INDEX(Employee!D:D,MATCH(AG132,Employee!B:B,0))</f>
        <v>Lead IT Support Engineer</v>
      </c>
      <c r="AI132" s="4" t="str">
        <f>INDEX(Employee!F:F,MATCH(AG132,Employee!B:B,0))</f>
        <v>Tech</v>
      </c>
      <c r="AJ132" s="4" t="str">
        <f>INDEX(Employee!C:C,MATCH(AK132,Employee!B:B,0))</f>
        <v>Phùng Thanh Huy</v>
      </c>
      <c r="AK132" s="4" t="s">
        <v>422</v>
      </c>
      <c r="AL132" s="4" t="str">
        <f>INDEX(Employee!D:D,MATCH(AK132,Employee!B:B,0))</f>
        <v>Senior Software Engineer</v>
      </c>
      <c r="AM132" s="4" t="str">
        <f>INDEX(Employee!F:F,MATCH(AK132,Employee!B:B,0))</f>
        <v>Tech</v>
      </c>
      <c r="AN132" s="4" t="str">
        <f>INDEX(Employee!H:H,MATCH(AK132,Employee!B:B,0))</f>
        <v>Đoàn Nhật Duẩn (duandn)</v>
      </c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  <c r="BR132"/>
      <c r="BS132"/>
      <c r="BT132"/>
      <c r="BU132"/>
      <c r="BV132"/>
      <c r="BW132"/>
      <c r="BX132"/>
      <c r="BY132"/>
      <c r="BZ132"/>
      <c r="CA132"/>
      <c r="CB132"/>
      <c r="CC132"/>
      <c r="CD132"/>
      <c r="CE132"/>
      <c r="CF132"/>
      <c r="CG132"/>
      <c r="CH132"/>
      <c r="CI132"/>
      <c r="CJ132"/>
      <c r="CK132"/>
      <c r="CL132"/>
      <c r="CM132"/>
      <c r="CN132"/>
      <c r="CO132"/>
      <c r="CP132"/>
      <c r="CQ132"/>
      <c r="CR132"/>
      <c r="CS132"/>
      <c r="CT132"/>
      <c r="CU132"/>
      <c r="CV132"/>
      <c r="CW132"/>
      <c r="CX132" s="6"/>
    </row>
    <row r="133" spans="1:102" s="4" customFormat="1" hidden="1">
      <c r="A133" s="3">
        <f t="shared" si="9"/>
        <v>132</v>
      </c>
      <c r="B133" s="4" t="s">
        <v>16</v>
      </c>
      <c r="C133" s="4" t="s">
        <v>3</v>
      </c>
      <c r="D133" s="4" t="str">
        <f>INDEX(Employee!E:E,MATCH(AK133,Employee!B:B,0))</f>
        <v>Project</v>
      </c>
      <c r="E133" s="4" t="str">
        <f>INDEX(Employee!F:F,MATCH(AK133,Employee!B:B,0))</f>
        <v>Tech</v>
      </c>
      <c r="F133" s="4" t="str">
        <f>INDEX(Employee!G:G,MATCH(AK133,Employee!B:B,0))</f>
        <v>Venture</v>
      </c>
      <c r="G133" s="4" t="s">
        <v>15</v>
      </c>
      <c r="H133" s="4" t="s">
        <v>423</v>
      </c>
      <c r="I133" s="4" t="str">
        <f t="shared" si="10"/>
        <v>MON0026</v>
      </c>
      <c r="J133" s="4" t="s">
        <v>107</v>
      </c>
      <c r="K133" s="7" t="s">
        <v>378</v>
      </c>
      <c r="L133" s="7"/>
      <c r="M133" s="7"/>
      <c r="N133" s="13" t="b">
        <v>0</v>
      </c>
      <c r="O133" s="13" t="b">
        <v>0</v>
      </c>
      <c r="P133" s="15" t="s">
        <v>424</v>
      </c>
      <c r="Q133" s="14">
        <v>44757</v>
      </c>
      <c r="R133" s="4" t="s">
        <v>102</v>
      </c>
      <c r="S133" s="10">
        <v>6385639</v>
      </c>
      <c r="AE133" s="21"/>
      <c r="AF133" s="4" t="str">
        <f>INDEX(Employee!C:C,MATCH(AG133,Employee!B:B,0))</f>
        <v>Nguyễn Viết Khải</v>
      </c>
      <c r="AG133" s="4" t="s">
        <v>103</v>
      </c>
      <c r="AH133" s="4" t="str">
        <f>INDEX(Employee!D:D,MATCH(AG133,Employee!B:B,0))</f>
        <v>Lead IT Support Engineer</v>
      </c>
      <c r="AI133" s="4" t="str">
        <f>INDEX(Employee!F:F,MATCH(AG133,Employee!B:B,0))</f>
        <v>Tech</v>
      </c>
      <c r="AJ133" s="4" t="str">
        <f>INDEX(Employee!C:C,MATCH(AK133,Employee!B:B,0))</f>
        <v>Lê Cao Long Nhật</v>
      </c>
      <c r="AK133" s="4" t="s">
        <v>425</v>
      </c>
      <c r="AL133" s="4" t="str">
        <f>INDEX(Employee!D:D,MATCH(AK133,Employee!B:B,0))</f>
        <v>Project Manager</v>
      </c>
      <c r="AM133" s="4" t="str">
        <f>INDEX(Employee!F:F,MATCH(AK133,Employee!B:B,0))</f>
        <v>Tech</v>
      </c>
      <c r="AN133" s="4" t="str">
        <f>INDEX(Employee!H:H,MATCH(AK133,Employee!B:B,0))</f>
        <v>Nguyễn Khánh Vy</v>
      </c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  <c r="BR133"/>
      <c r="BS133"/>
      <c r="BT133"/>
      <c r="BU133"/>
      <c r="BV133"/>
      <c r="BW133"/>
      <c r="BX133"/>
      <c r="BY133"/>
      <c r="BZ133"/>
      <c r="CA133"/>
      <c r="CB133"/>
      <c r="CC133"/>
      <c r="CD133"/>
      <c r="CE133"/>
      <c r="CF133"/>
      <c r="CG133"/>
      <c r="CH133"/>
      <c r="CI133"/>
      <c r="CJ133"/>
      <c r="CK133"/>
      <c r="CL133"/>
      <c r="CM133"/>
      <c r="CN133"/>
      <c r="CO133"/>
      <c r="CP133"/>
      <c r="CQ133"/>
      <c r="CR133"/>
      <c r="CS133"/>
      <c r="CT133"/>
      <c r="CU133"/>
      <c r="CV133"/>
      <c r="CW133"/>
      <c r="CX133" s="6"/>
    </row>
    <row r="134" spans="1:102" s="4" customFormat="1" hidden="1">
      <c r="A134" s="3">
        <f t="shared" si="9"/>
        <v>133</v>
      </c>
      <c r="B134" s="4" t="s">
        <v>16</v>
      </c>
      <c r="C134" s="4" t="s">
        <v>3</v>
      </c>
      <c r="D134" s="4">
        <f>INDEX(Employee!E:E,MATCH(AK134,Employee!B:B,0))</f>
        <v>0</v>
      </c>
      <c r="E134" s="4" t="str">
        <f>INDEX(Employee!F:F,MATCH(AK134,Employee!B:B,0))</f>
        <v>Tech</v>
      </c>
      <c r="F134" s="4">
        <f>INDEX(Employee!G:G,MATCH(AK134,Employee!B:B,0))</f>
        <v>0</v>
      </c>
      <c r="G134" s="4" t="s">
        <v>119</v>
      </c>
      <c r="H134" s="4" t="s">
        <v>426</v>
      </c>
      <c r="I134" s="4" t="str">
        <f t="shared" si="10"/>
        <v>MON0027</v>
      </c>
      <c r="J134" s="4" t="s">
        <v>107</v>
      </c>
      <c r="K134" s="7" t="s">
        <v>378</v>
      </c>
      <c r="L134" s="7"/>
      <c r="M134" s="7"/>
      <c r="N134" s="13" t="b">
        <v>0</v>
      </c>
      <c r="O134" s="13" t="b">
        <v>0</v>
      </c>
      <c r="P134" s="15" t="s">
        <v>427</v>
      </c>
      <c r="Q134" s="14">
        <v>44757</v>
      </c>
      <c r="R134" s="4" t="s">
        <v>102</v>
      </c>
      <c r="S134" s="10">
        <v>6385639</v>
      </c>
      <c r="AE134" s="21"/>
      <c r="AF134" s="4" t="str">
        <f>INDEX(Employee!C:C,MATCH(AG134,Employee!B:B,0))</f>
        <v>Nguyễn Viết Khải</v>
      </c>
      <c r="AG134" s="4" t="s">
        <v>103</v>
      </c>
      <c r="AH134" s="4" t="str">
        <f>INDEX(Employee!D:D,MATCH(AG134,Employee!B:B,0))</f>
        <v>Lead IT Support Engineer</v>
      </c>
      <c r="AI134" s="4" t="str">
        <f>INDEX(Employee!F:F,MATCH(AG134,Employee!B:B,0))</f>
        <v>Tech</v>
      </c>
      <c r="AJ134" s="4" t="str">
        <f>INDEX(Employee!C:C,MATCH(AK134,Employee!B:B,0))</f>
        <v>Trương Thanh Đông</v>
      </c>
      <c r="AK134" s="4" t="s">
        <v>271</v>
      </c>
      <c r="AL134" s="4" t="str">
        <f>INDEX(Employee!D:D,MATCH(AK134,Employee!B:B,0))</f>
        <v>Solutions Architect</v>
      </c>
      <c r="AM134" s="4" t="str">
        <f>INDEX(Employee!F:F,MATCH(AK134,Employee!B:B,0))</f>
        <v>Tech</v>
      </c>
      <c r="AN134" s="4" t="str">
        <f>INDEX(Employee!H:H,MATCH(AK134,Employee!B:B,0))</f>
        <v>Dương Huỳnh Nghĩa (nghiadh)</v>
      </c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  <c r="BR134"/>
      <c r="BS134"/>
      <c r="BT134"/>
      <c r="BU134"/>
      <c r="BV134"/>
      <c r="BW134"/>
      <c r="BX134"/>
      <c r="BY134"/>
      <c r="BZ134"/>
      <c r="CA134"/>
      <c r="CB134"/>
      <c r="CC134"/>
      <c r="CD134"/>
      <c r="CE134"/>
      <c r="CF134"/>
      <c r="CG134"/>
      <c r="CH134"/>
      <c r="CI134"/>
      <c r="CJ134"/>
      <c r="CK134"/>
      <c r="CL134"/>
      <c r="CM134"/>
      <c r="CN134"/>
      <c r="CO134"/>
      <c r="CP134"/>
      <c r="CQ134"/>
      <c r="CR134"/>
      <c r="CS134"/>
      <c r="CT134"/>
      <c r="CU134"/>
      <c r="CV134"/>
      <c r="CW134"/>
      <c r="CX134" s="6"/>
    </row>
    <row r="135" spans="1:102" s="4" customFormat="1" hidden="1">
      <c r="A135" s="3">
        <f t="shared" si="9"/>
        <v>134</v>
      </c>
      <c r="B135" s="4" t="s">
        <v>16</v>
      </c>
      <c r="C135" s="4" t="s">
        <v>3</v>
      </c>
      <c r="D135" s="4" t="str">
        <f>INDEX(Employee!E:E,MATCH(AK135,Employee!B:B,0))</f>
        <v>Undirect IT Staff</v>
      </c>
      <c r="E135" s="4" t="str">
        <f>INDEX(Employee!F:F,MATCH(AK135,Employee!B:B,0))</f>
        <v>Tech</v>
      </c>
      <c r="F135" s="4" t="str">
        <f>INDEX(Employee!G:G,MATCH(AK135,Employee!B:B,0))</f>
        <v>Operation Team</v>
      </c>
      <c r="G135" s="4" t="s">
        <v>15</v>
      </c>
      <c r="H135" s="4" t="s">
        <v>428</v>
      </c>
      <c r="I135" s="4" t="str">
        <f t="shared" si="10"/>
        <v>MON0028</v>
      </c>
      <c r="J135" s="4" t="s">
        <v>107</v>
      </c>
      <c r="K135" s="7" t="s">
        <v>378</v>
      </c>
      <c r="L135" s="7"/>
      <c r="M135" s="7"/>
      <c r="N135" s="13" t="b">
        <v>0</v>
      </c>
      <c r="O135" s="13" t="b">
        <v>0</v>
      </c>
      <c r="P135" s="15" t="s">
        <v>429</v>
      </c>
      <c r="Q135" s="14">
        <v>44757</v>
      </c>
      <c r="R135" s="4" t="s">
        <v>102</v>
      </c>
      <c r="S135" s="10">
        <v>6165445</v>
      </c>
      <c r="AE135" s="21"/>
      <c r="AF135" s="4" t="str">
        <f>INDEX(Employee!C:C,MATCH(AG135,Employee!B:B,0))</f>
        <v>Nguyễn Viết Khải</v>
      </c>
      <c r="AG135" s="4" t="s">
        <v>103</v>
      </c>
      <c r="AH135" s="4" t="str">
        <f>INDEX(Employee!D:D,MATCH(AG135,Employee!B:B,0))</f>
        <v>Lead IT Support Engineer</v>
      </c>
      <c r="AI135" s="4" t="str">
        <f>INDEX(Employee!F:F,MATCH(AG135,Employee!B:B,0))</f>
        <v>Tech</v>
      </c>
      <c r="AJ135" s="4" t="str">
        <f>INDEX(Employee!C:C,MATCH(AK135,Employee!B:B,0))</f>
        <v>Nguyễn Viết Khải</v>
      </c>
      <c r="AK135" s="4" t="s">
        <v>103</v>
      </c>
      <c r="AL135" s="4" t="str">
        <f>INDEX(Employee!D:D,MATCH(AK135,Employee!B:B,0))</f>
        <v>Lead IT Support Engineer</v>
      </c>
      <c r="AM135" s="4" t="str">
        <f>INDEX(Employee!F:F,MATCH(AK135,Employee!B:B,0))</f>
        <v>Tech</v>
      </c>
      <c r="AN135" s="4" t="str">
        <f>INDEX(Employee!H:H,MATCH(AK135,Employee!B:B,0))</f>
        <v>Đoàn Hải Nam</v>
      </c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  <c r="BR135"/>
      <c r="BS135"/>
      <c r="BT135"/>
      <c r="BU135"/>
      <c r="BV135"/>
      <c r="BW135"/>
      <c r="BX135"/>
      <c r="BY135"/>
      <c r="BZ135"/>
      <c r="CA135"/>
      <c r="CB135"/>
      <c r="CC135"/>
      <c r="CD135"/>
      <c r="CE135"/>
      <c r="CF135"/>
      <c r="CG135"/>
      <c r="CH135"/>
      <c r="CI135"/>
      <c r="CJ135"/>
      <c r="CK135"/>
      <c r="CL135"/>
      <c r="CM135"/>
      <c r="CN135"/>
      <c r="CO135"/>
      <c r="CP135"/>
      <c r="CQ135"/>
      <c r="CR135"/>
      <c r="CS135"/>
      <c r="CT135"/>
      <c r="CU135"/>
      <c r="CV135"/>
      <c r="CW135"/>
      <c r="CX135" s="6"/>
    </row>
    <row r="136" spans="1:102" s="4" customFormat="1" hidden="1">
      <c r="A136" s="3">
        <f t="shared" si="9"/>
        <v>135</v>
      </c>
      <c r="B136" s="4" t="s">
        <v>16</v>
      </c>
      <c r="C136" s="4" t="s">
        <v>3</v>
      </c>
      <c r="D136" s="4" t="str">
        <f>INDEX(Employee!E:E,MATCH(AK136,Employee!B:B,0))</f>
        <v>Project</v>
      </c>
      <c r="E136" s="4" t="str">
        <f>INDEX(Employee!F:F,MATCH(AK136,Employee!B:B,0))</f>
        <v>Tech</v>
      </c>
      <c r="F136" s="4" t="str">
        <f>INDEX(Employee!G:G,MATCH(AK136,Employee!B:B,0))</f>
        <v>Resource Pool</v>
      </c>
      <c r="G136" s="4" t="s">
        <v>15</v>
      </c>
      <c r="I136" s="4" t="str">
        <f t="shared" si="10"/>
        <v>MON0029</v>
      </c>
      <c r="J136" s="4" t="s">
        <v>107</v>
      </c>
      <c r="K136" s="7" t="s">
        <v>378</v>
      </c>
      <c r="L136" s="7"/>
      <c r="M136" s="7"/>
      <c r="N136" s="13" t="b">
        <v>0</v>
      </c>
      <c r="O136" s="13" t="b">
        <v>0</v>
      </c>
      <c r="P136" s="15" t="s">
        <v>430</v>
      </c>
      <c r="Q136" s="14">
        <v>44757</v>
      </c>
      <c r="R136" s="4" t="s">
        <v>102</v>
      </c>
      <c r="S136" s="10">
        <v>6385639</v>
      </c>
      <c r="AE136" s="21"/>
      <c r="AF136" s="4" t="str">
        <f>INDEX(Employee!C:C,MATCH(AG136,Employee!B:B,0))</f>
        <v>Nguyễn Viết Khải</v>
      </c>
      <c r="AG136" s="4" t="s">
        <v>103</v>
      </c>
      <c r="AH136" s="4" t="str">
        <f>INDEX(Employee!D:D,MATCH(AG136,Employee!B:B,0))</f>
        <v>Lead IT Support Engineer</v>
      </c>
      <c r="AI136" s="4" t="str">
        <f>INDEX(Employee!F:F,MATCH(AG136,Employee!B:B,0))</f>
        <v>Tech</v>
      </c>
      <c r="AJ136" s="4" t="str">
        <f>INDEX(Employee!C:C,MATCH(AK136,Employee!B:B,0))</f>
        <v>Nguyễn Thiện Nhân</v>
      </c>
      <c r="AK136" s="4" t="s">
        <v>431</v>
      </c>
      <c r="AL136" s="4" t="str">
        <f>INDEX(Employee!D:D,MATCH(AK136,Employee!B:B,0))</f>
        <v>Senior Software Engineer</v>
      </c>
      <c r="AM136" s="4" t="str">
        <f>INDEX(Employee!F:F,MATCH(AK136,Employee!B:B,0))</f>
        <v>Tech</v>
      </c>
      <c r="AN136" s="4" t="str">
        <f>INDEX(Employee!H:H,MATCH(AK136,Employee!B:B,0))</f>
        <v>Đoàn Hải Nam</v>
      </c>
      <c r="AS136" s="4" t="s">
        <v>127</v>
      </c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  <c r="BR136"/>
      <c r="BS136"/>
      <c r="BT136"/>
      <c r="BU136"/>
      <c r="BV136"/>
      <c r="BW136"/>
      <c r="BX136"/>
      <c r="BY136"/>
      <c r="BZ136"/>
      <c r="CA136"/>
      <c r="CB136"/>
      <c r="CC136"/>
      <c r="CD136"/>
      <c r="CE136"/>
      <c r="CF136"/>
      <c r="CG136"/>
      <c r="CH136"/>
      <c r="CI136"/>
      <c r="CJ136"/>
      <c r="CK136"/>
      <c r="CL136"/>
      <c r="CM136"/>
      <c r="CN136"/>
      <c r="CO136"/>
      <c r="CP136"/>
      <c r="CQ136"/>
      <c r="CR136"/>
      <c r="CS136"/>
      <c r="CT136"/>
      <c r="CU136"/>
      <c r="CV136"/>
      <c r="CW136"/>
      <c r="CX136" s="6"/>
    </row>
    <row r="137" spans="1:102" s="4" customFormat="1" hidden="1">
      <c r="A137" s="3">
        <f t="shared" si="9"/>
        <v>136</v>
      </c>
      <c r="B137" s="4" t="s">
        <v>16</v>
      </c>
      <c r="C137" s="4" t="s">
        <v>3</v>
      </c>
      <c r="D137" s="4" t="str">
        <f>INDEX(Employee!E:E,MATCH(AK137,Employee!B:B,0))</f>
        <v>CTD</v>
      </c>
      <c r="E137" s="4" t="str">
        <f>INDEX(Employee!F:F,MATCH(AK137,Employee!B:B,0))</f>
        <v>CTD</v>
      </c>
      <c r="F137" s="4" t="str">
        <f>INDEX(Employee!G:G,MATCH(AK137,Employee!B:B,0))</f>
        <v>CTD</v>
      </c>
      <c r="G137" s="4" t="s">
        <v>15</v>
      </c>
      <c r="H137" s="4" t="s">
        <v>432</v>
      </c>
      <c r="I137" s="4" t="str">
        <f t="shared" si="10"/>
        <v>MON0030</v>
      </c>
      <c r="J137" s="4" t="s">
        <v>107</v>
      </c>
      <c r="K137" s="7" t="s">
        <v>108</v>
      </c>
      <c r="L137" s="7"/>
      <c r="M137" s="7"/>
      <c r="N137" s="13" t="b">
        <v>0</v>
      </c>
      <c r="O137" s="13" t="b">
        <v>0</v>
      </c>
      <c r="P137" s="15" t="s">
        <v>433</v>
      </c>
      <c r="Q137" s="14">
        <v>45506</v>
      </c>
      <c r="R137" s="4" t="s">
        <v>102</v>
      </c>
      <c r="S137" s="10">
        <v>3711390</v>
      </c>
      <c r="AE137" s="21"/>
      <c r="AF137" s="4" t="str">
        <f>INDEX(Employee!C:C,MATCH(AG137,Employee!B:B,0))</f>
        <v>Nguyễn Viết Khải</v>
      </c>
      <c r="AG137" s="4" t="s">
        <v>103</v>
      </c>
      <c r="AH137" s="4" t="str">
        <f>INDEX(Employee!D:D,MATCH(AG137,Employee!B:B,0))</f>
        <v>Lead IT Support Engineer</v>
      </c>
      <c r="AI137" s="4" t="str">
        <f>INDEX(Employee!F:F,MATCH(AG137,Employee!B:B,0))</f>
        <v>Tech</v>
      </c>
      <c r="AJ137" s="4" t="str">
        <f>INDEX(Employee!C:C,MATCH(AK137,Employee!B:B,0))</f>
        <v>IT Dept CTD</v>
      </c>
      <c r="AK137" s="4" t="s">
        <v>374</v>
      </c>
      <c r="AL137" s="4" t="str">
        <f>INDEX(Employee!D:D,MATCH(AK137,Employee!B:B,0))</f>
        <v>CTD</v>
      </c>
      <c r="AM137" s="4" t="str">
        <f>INDEX(Employee!F:F,MATCH(AK137,Employee!B:B,0))</f>
        <v>CTD</v>
      </c>
      <c r="AN137" s="4" t="str">
        <f>INDEX(Employee!H:H,MATCH(AK137,Employee!B:B,0))</f>
        <v>CTD</v>
      </c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  <c r="BR137"/>
      <c r="BS137"/>
      <c r="BT137"/>
      <c r="BU137"/>
      <c r="BV137"/>
      <c r="BW137"/>
      <c r="BX137"/>
      <c r="BY137"/>
      <c r="BZ137"/>
      <c r="CA137"/>
      <c r="CB137"/>
      <c r="CC137"/>
      <c r="CD137"/>
      <c r="CE137"/>
      <c r="CF137"/>
      <c r="CG137"/>
      <c r="CH137"/>
      <c r="CI137"/>
      <c r="CJ137"/>
      <c r="CK137"/>
      <c r="CL137"/>
      <c r="CM137"/>
      <c r="CN137"/>
      <c r="CO137"/>
      <c r="CP137"/>
      <c r="CQ137"/>
      <c r="CR137"/>
      <c r="CS137"/>
      <c r="CT137"/>
      <c r="CU137"/>
      <c r="CV137"/>
      <c r="CW137"/>
      <c r="CX137" s="6"/>
    </row>
    <row r="138" spans="1:102" s="4" customFormat="1" hidden="1">
      <c r="A138" s="3">
        <f t="shared" si="9"/>
        <v>137</v>
      </c>
      <c r="B138" s="4" t="s">
        <v>16</v>
      </c>
      <c r="C138" s="4" t="s">
        <v>3</v>
      </c>
      <c r="D138" s="4" t="str">
        <f>INDEX(Employee!E:E,MATCH(AK138,Employee!B:B,0))</f>
        <v>CTD</v>
      </c>
      <c r="E138" s="4" t="str">
        <f>INDEX(Employee!F:F,MATCH(AK138,Employee!B:B,0))</f>
        <v>CTD</v>
      </c>
      <c r="F138" s="4" t="str">
        <f>INDEX(Employee!G:G,MATCH(AK138,Employee!B:B,0))</f>
        <v>CTD</v>
      </c>
      <c r="G138" s="4" t="s">
        <v>15</v>
      </c>
      <c r="H138" s="4" t="s">
        <v>434</v>
      </c>
      <c r="I138" s="4" t="str">
        <f t="shared" si="10"/>
        <v>MON0031</v>
      </c>
      <c r="J138" s="4" t="s">
        <v>107</v>
      </c>
      <c r="K138" s="7" t="s">
        <v>108</v>
      </c>
      <c r="L138" s="7"/>
      <c r="M138" s="7"/>
      <c r="N138" s="13" t="b">
        <v>0</v>
      </c>
      <c r="O138" s="13" t="b">
        <v>0</v>
      </c>
      <c r="P138" s="15" t="s">
        <v>435</v>
      </c>
      <c r="Q138" s="14">
        <v>45506</v>
      </c>
      <c r="R138" s="4" t="s">
        <v>102</v>
      </c>
      <c r="S138" s="10">
        <v>3711390</v>
      </c>
      <c r="AE138" s="21"/>
      <c r="AF138" s="4" t="str">
        <f>INDEX(Employee!C:C,MATCH(AG138,Employee!B:B,0))</f>
        <v>Nguyễn Viết Khải</v>
      </c>
      <c r="AG138" s="4" t="s">
        <v>103</v>
      </c>
      <c r="AH138" s="4" t="str">
        <f>INDEX(Employee!D:D,MATCH(AG138,Employee!B:B,0))</f>
        <v>Lead IT Support Engineer</v>
      </c>
      <c r="AI138" s="4" t="str">
        <f>INDEX(Employee!F:F,MATCH(AG138,Employee!B:B,0))</f>
        <v>Tech</v>
      </c>
      <c r="AJ138" s="4" t="str">
        <f>INDEX(Employee!C:C,MATCH(AK138,Employee!B:B,0))</f>
        <v>IT Dept CTD</v>
      </c>
      <c r="AK138" s="4" t="s">
        <v>374</v>
      </c>
      <c r="AL138" s="4" t="str">
        <f>INDEX(Employee!D:D,MATCH(AK138,Employee!B:B,0))</f>
        <v>CTD</v>
      </c>
      <c r="AM138" s="4" t="str">
        <f>INDEX(Employee!F:F,MATCH(AK138,Employee!B:B,0))</f>
        <v>CTD</v>
      </c>
      <c r="AN138" s="4" t="str">
        <f>INDEX(Employee!H:H,MATCH(AK138,Employee!B:B,0))</f>
        <v>CTD</v>
      </c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  <c r="BR138"/>
      <c r="BS138"/>
      <c r="BT138"/>
      <c r="BU138"/>
      <c r="BV138"/>
      <c r="BW138"/>
      <c r="BX138"/>
      <c r="BY138"/>
      <c r="BZ138"/>
      <c r="CA138"/>
      <c r="CB138"/>
      <c r="CC138"/>
      <c r="CD138"/>
      <c r="CE138"/>
      <c r="CF138"/>
      <c r="CG138"/>
      <c r="CH138"/>
      <c r="CI138"/>
      <c r="CJ138"/>
      <c r="CK138"/>
      <c r="CL138"/>
      <c r="CM138"/>
      <c r="CN138"/>
      <c r="CO138"/>
      <c r="CP138"/>
      <c r="CQ138"/>
      <c r="CR138"/>
      <c r="CS138"/>
      <c r="CT138"/>
      <c r="CU138"/>
      <c r="CV138"/>
      <c r="CW138"/>
      <c r="CX138" s="6"/>
    </row>
    <row r="139" spans="1:102" s="4" customFormat="1" hidden="1">
      <c r="A139" s="3">
        <f t="shared" si="9"/>
        <v>138</v>
      </c>
      <c r="B139" s="4" t="s">
        <v>16</v>
      </c>
      <c r="C139" s="4" t="s">
        <v>3</v>
      </c>
      <c r="D139" s="4" t="str">
        <f>INDEX(Employee!E:E,MATCH(AK139,Employee!B:B,0))</f>
        <v>Project</v>
      </c>
      <c r="E139" s="4" t="str">
        <f>INDEX(Employee!F:F,MATCH(AK139,Employee!B:B,0))</f>
        <v>Data</v>
      </c>
      <c r="F139" s="4" t="str">
        <f>INDEX(Employee!G:G,MATCH(AK139,Employee!B:B,0))</f>
        <v>Resource Pool</v>
      </c>
      <c r="G139" s="4" t="s">
        <v>15</v>
      </c>
      <c r="H139" s="4" t="s">
        <v>436</v>
      </c>
      <c r="I139" s="4" t="str">
        <f t="shared" si="10"/>
        <v>MON0032</v>
      </c>
      <c r="J139" s="4" t="s">
        <v>107</v>
      </c>
      <c r="K139" s="7" t="s">
        <v>108</v>
      </c>
      <c r="L139" s="7"/>
      <c r="M139" s="7"/>
      <c r="N139" s="13" t="b">
        <v>0</v>
      </c>
      <c r="O139" s="13" t="b">
        <v>0</v>
      </c>
      <c r="P139" s="15" t="s">
        <v>437</v>
      </c>
      <c r="Q139" s="14">
        <v>45506</v>
      </c>
      <c r="R139" s="4" t="s">
        <v>102</v>
      </c>
      <c r="S139" s="10">
        <v>3711390</v>
      </c>
      <c r="AE139" s="21"/>
      <c r="AF139" s="4" t="str">
        <f>INDEX(Employee!C:C,MATCH(AG139,Employee!B:B,0))</f>
        <v>Nguyễn Viết Khải</v>
      </c>
      <c r="AG139" s="4" t="s">
        <v>103</v>
      </c>
      <c r="AH139" s="4" t="str">
        <f>INDEX(Employee!D:D,MATCH(AG139,Employee!B:B,0))</f>
        <v>Lead IT Support Engineer</v>
      </c>
      <c r="AI139" s="4" t="str">
        <f>INDEX(Employee!F:F,MATCH(AG139,Employee!B:B,0))</f>
        <v>Tech</v>
      </c>
      <c r="AJ139" s="4" t="str">
        <f>INDEX(Employee!C:C,MATCH(AK139,Employee!B:B,0))</f>
        <v>Phạm Bằng</v>
      </c>
      <c r="AK139" s="4" t="s">
        <v>147</v>
      </c>
      <c r="AL139" s="4" t="str">
        <f>INDEX(Employee!D:D,MATCH(AK139,Employee!B:B,0))</f>
        <v>Fresher Data Engineer</v>
      </c>
      <c r="AM139" s="4" t="str">
        <f>INDEX(Employee!F:F,MATCH(AK139,Employee!B:B,0))</f>
        <v>Data</v>
      </c>
      <c r="AN139" s="4" t="str">
        <f>INDEX(Employee!H:H,MATCH(AK139,Employee!B:B,0))</f>
        <v>Đoàn Hải Nam</v>
      </c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  <c r="BR139"/>
      <c r="BS139"/>
      <c r="BT139"/>
      <c r="BU139"/>
      <c r="BV139"/>
      <c r="BW139"/>
      <c r="BX139"/>
      <c r="BY139"/>
      <c r="BZ139"/>
      <c r="CA139"/>
      <c r="CB139"/>
      <c r="CC139"/>
      <c r="CD139"/>
      <c r="CE139"/>
      <c r="CF139"/>
      <c r="CG139"/>
      <c r="CH139"/>
      <c r="CI139"/>
      <c r="CJ139"/>
      <c r="CK139"/>
      <c r="CL139"/>
      <c r="CM139"/>
      <c r="CN139"/>
      <c r="CO139"/>
      <c r="CP139"/>
      <c r="CQ139"/>
      <c r="CR139"/>
      <c r="CS139"/>
      <c r="CT139"/>
      <c r="CU139"/>
      <c r="CV139"/>
      <c r="CW139"/>
      <c r="CX139" s="6"/>
    </row>
    <row r="140" spans="1:102" s="4" customFormat="1" hidden="1">
      <c r="A140" s="3">
        <f t="shared" si="9"/>
        <v>139</v>
      </c>
      <c r="B140" s="4" t="s">
        <v>16</v>
      </c>
      <c r="C140" s="4" t="s">
        <v>3</v>
      </c>
      <c r="D140" s="4" t="str">
        <f>INDEX(Employee!E:E,MATCH(AK140,Employee!B:B,0))</f>
        <v>CTD</v>
      </c>
      <c r="E140" s="4" t="str">
        <f>INDEX(Employee!F:F,MATCH(AK140,Employee!B:B,0))</f>
        <v>CTD</v>
      </c>
      <c r="F140" s="4" t="str">
        <f>INDEX(Employee!G:G,MATCH(AK140,Employee!B:B,0))</f>
        <v>CTD</v>
      </c>
      <c r="G140" s="4" t="s">
        <v>15</v>
      </c>
      <c r="H140" s="4" t="s">
        <v>438</v>
      </c>
      <c r="I140" s="4" t="str">
        <f t="shared" si="10"/>
        <v>MON0033</v>
      </c>
      <c r="J140" s="4" t="s">
        <v>107</v>
      </c>
      <c r="K140" s="7" t="s">
        <v>108</v>
      </c>
      <c r="L140" s="7"/>
      <c r="M140" s="7"/>
      <c r="N140" s="13" t="b">
        <v>0</v>
      </c>
      <c r="O140" s="13" t="b">
        <v>0</v>
      </c>
      <c r="P140" s="15" t="s">
        <v>439</v>
      </c>
      <c r="Q140" s="14">
        <v>45506</v>
      </c>
      <c r="R140" s="4" t="s">
        <v>102</v>
      </c>
      <c r="S140" s="10">
        <v>3711390</v>
      </c>
      <c r="AE140" s="21"/>
      <c r="AF140" s="4" t="str">
        <f>INDEX(Employee!C:C,MATCH(AG140,Employee!B:B,0))</f>
        <v>Nguyễn Viết Khải</v>
      </c>
      <c r="AG140" s="4" t="s">
        <v>103</v>
      </c>
      <c r="AH140" s="4" t="str">
        <f>INDEX(Employee!D:D,MATCH(AG140,Employee!B:B,0))</f>
        <v>Lead IT Support Engineer</v>
      </c>
      <c r="AI140" s="4" t="str">
        <f>INDEX(Employee!F:F,MATCH(AG140,Employee!B:B,0))</f>
        <v>Tech</v>
      </c>
      <c r="AJ140" s="4" t="str">
        <f>INDEX(Employee!C:C,MATCH(AK140,Employee!B:B,0))</f>
        <v>IT Dept CTD</v>
      </c>
      <c r="AK140" s="4" t="s">
        <v>374</v>
      </c>
      <c r="AL140" s="4" t="str">
        <f>INDEX(Employee!D:D,MATCH(AK140,Employee!B:B,0))</f>
        <v>CTD</v>
      </c>
      <c r="AM140" s="4" t="str">
        <f>INDEX(Employee!F:F,MATCH(AK140,Employee!B:B,0))</f>
        <v>CTD</v>
      </c>
      <c r="AN140" s="4" t="str">
        <f>INDEX(Employee!H:H,MATCH(AK140,Employee!B:B,0))</f>
        <v>CTD</v>
      </c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  <c r="BR140"/>
      <c r="BS140"/>
      <c r="BT140"/>
      <c r="BU140"/>
      <c r="BV140"/>
      <c r="BW140"/>
      <c r="BX140"/>
      <c r="BY140"/>
      <c r="BZ140"/>
      <c r="CA140"/>
      <c r="CB140"/>
      <c r="CC140"/>
      <c r="CD140"/>
      <c r="CE140"/>
      <c r="CF140"/>
      <c r="CG140"/>
      <c r="CH140"/>
      <c r="CI140"/>
      <c r="CJ140"/>
      <c r="CK140"/>
      <c r="CL140"/>
      <c r="CM140"/>
      <c r="CN140"/>
      <c r="CO140"/>
      <c r="CP140"/>
      <c r="CQ140"/>
      <c r="CR140"/>
      <c r="CS140"/>
      <c r="CT140"/>
      <c r="CU140"/>
      <c r="CV140"/>
      <c r="CW140"/>
      <c r="CX140" s="6"/>
    </row>
    <row r="141" spans="1:102" s="4" customFormat="1" hidden="1">
      <c r="A141" s="3">
        <f t="shared" si="9"/>
        <v>140</v>
      </c>
      <c r="B141" s="4" t="s">
        <v>16</v>
      </c>
      <c r="C141" s="4" t="s">
        <v>3</v>
      </c>
      <c r="D141" s="4" t="str">
        <f>INDEX(Employee!E:E,MATCH(AK141,Employee!B:B,0))</f>
        <v>CTD</v>
      </c>
      <c r="E141" s="4" t="str">
        <f>INDEX(Employee!F:F,MATCH(AK141,Employee!B:B,0))</f>
        <v>CTD</v>
      </c>
      <c r="F141" s="4" t="str">
        <f>INDEX(Employee!G:G,MATCH(AK141,Employee!B:B,0))</f>
        <v>CTD</v>
      </c>
      <c r="G141" s="4" t="s">
        <v>15</v>
      </c>
      <c r="H141" s="4" t="s">
        <v>440</v>
      </c>
      <c r="I141" s="4" t="str">
        <f t="shared" si="10"/>
        <v>MON0034</v>
      </c>
      <c r="J141" s="4" t="s">
        <v>107</v>
      </c>
      <c r="K141" s="7" t="s">
        <v>108</v>
      </c>
      <c r="L141" s="7"/>
      <c r="M141" s="7"/>
      <c r="N141" s="13" t="b">
        <v>0</v>
      </c>
      <c r="O141" s="13" t="b">
        <v>0</v>
      </c>
      <c r="P141" s="15" t="s">
        <v>441</v>
      </c>
      <c r="Q141" s="14">
        <v>45506</v>
      </c>
      <c r="R141" s="4" t="s">
        <v>102</v>
      </c>
      <c r="S141" s="10">
        <v>3711390</v>
      </c>
      <c r="AE141" s="21"/>
      <c r="AF141" s="4" t="str">
        <f>INDEX(Employee!C:C,MATCH(AG141,Employee!B:B,0))</f>
        <v>Nguyễn Viết Khải</v>
      </c>
      <c r="AG141" s="4" t="s">
        <v>103</v>
      </c>
      <c r="AH141" s="4" t="str">
        <f>INDEX(Employee!D:D,MATCH(AG141,Employee!B:B,0))</f>
        <v>Lead IT Support Engineer</v>
      </c>
      <c r="AI141" s="4" t="str">
        <f>INDEX(Employee!F:F,MATCH(AG141,Employee!B:B,0))</f>
        <v>Tech</v>
      </c>
      <c r="AJ141" s="4" t="str">
        <f>INDEX(Employee!C:C,MATCH(AK141,Employee!B:B,0))</f>
        <v>P.Datacenter F9</v>
      </c>
      <c r="AK141" s="4" t="s">
        <v>442</v>
      </c>
      <c r="AL141" s="4" t="str">
        <f>INDEX(Employee!D:D,MATCH(AK141,Employee!B:B,0))</f>
        <v>CTD</v>
      </c>
      <c r="AM141" s="4" t="str">
        <f>INDEX(Employee!F:F,MATCH(AK141,Employee!B:B,0))</f>
        <v>CTD</v>
      </c>
      <c r="AN141" s="4" t="str">
        <f>INDEX(Employee!H:H,MATCH(AK141,Employee!B:B,0))</f>
        <v>CTD</v>
      </c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  <c r="BR141"/>
      <c r="BS141"/>
      <c r="BT141"/>
      <c r="BU141"/>
      <c r="BV141"/>
      <c r="BW141"/>
      <c r="BX141"/>
      <c r="BY141"/>
      <c r="BZ141"/>
      <c r="CA141"/>
      <c r="CB141"/>
      <c r="CC141"/>
      <c r="CD141"/>
      <c r="CE141"/>
      <c r="CF141"/>
      <c r="CG141"/>
      <c r="CH141"/>
      <c r="CI141"/>
      <c r="CJ141"/>
      <c r="CK141"/>
      <c r="CL141"/>
      <c r="CM141"/>
      <c r="CN141"/>
      <c r="CO141"/>
      <c r="CP141"/>
      <c r="CQ141"/>
      <c r="CR141"/>
      <c r="CS141"/>
      <c r="CT141"/>
      <c r="CU141"/>
      <c r="CV141"/>
      <c r="CW141"/>
      <c r="CX141" s="6"/>
    </row>
    <row r="142" spans="1:102" s="4" customFormat="1" hidden="1">
      <c r="A142" s="3">
        <f t="shared" si="9"/>
        <v>141</v>
      </c>
      <c r="B142" s="4" t="s">
        <v>16</v>
      </c>
      <c r="C142" s="4" t="s">
        <v>3</v>
      </c>
      <c r="D142" s="4" t="str">
        <f>INDEX(Employee!E:E,MATCH(AK142,Employee!B:B,0))</f>
        <v>Project</v>
      </c>
      <c r="E142" s="4" t="str">
        <f>INDEX(Employee!F:F,MATCH(AK142,Employee!B:B,0))</f>
        <v>Tech</v>
      </c>
      <c r="F142" s="4" t="str">
        <f>INDEX(Employee!G:G,MATCH(AK142,Employee!B:B,0))</f>
        <v>Venture</v>
      </c>
      <c r="G142" s="4" t="s">
        <v>15</v>
      </c>
      <c r="H142" s="4" t="s">
        <v>443</v>
      </c>
      <c r="I142" s="4" t="str">
        <f t="shared" si="10"/>
        <v>MON0035</v>
      </c>
      <c r="J142" s="4" t="s">
        <v>107</v>
      </c>
      <c r="K142" s="7" t="s">
        <v>108</v>
      </c>
      <c r="L142" s="7"/>
      <c r="M142" s="7"/>
      <c r="N142" s="13" t="b">
        <v>0</v>
      </c>
      <c r="O142" s="13" t="b">
        <v>0</v>
      </c>
      <c r="P142" s="15" t="s">
        <v>444</v>
      </c>
      <c r="Q142" s="14">
        <v>45506</v>
      </c>
      <c r="R142" s="4" t="s">
        <v>102</v>
      </c>
      <c r="S142" s="10">
        <v>3711390</v>
      </c>
      <c r="AE142" s="21"/>
      <c r="AF142" s="4" t="str">
        <f>INDEX(Employee!C:C,MATCH(AG142,Employee!B:B,0))</f>
        <v>Nguyễn Viết Khải</v>
      </c>
      <c r="AG142" s="4" t="s">
        <v>103</v>
      </c>
      <c r="AH142" s="4" t="str">
        <f>INDEX(Employee!D:D,MATCH(AG142,Employee!B:B,0))</f>
        <v>Lead IT Support Engineer</v>
      </c>
      <c r="AI142" s="4" t="str">
        <f>INDEX(Employee!F:F,MATCH(AG142,Employee!B:B,0))</f>
        <v>Tech</v>
      </c>
      <c r="AJ142" s="4" t="str">
        <f>INDEX(Employee!C:C,MATCH(AK142,Employee!B:B,0))</f>
        <v>Trịnh Minh Toàn</v>
      </c>
      <c r="AK142" s="4" t="s">
        <v>215</v>
      </c>
      <c r="AL142" s="4" t="str">
        <f>INDEX(Employee!D:D,MATCH(AK142,Employee!B:B,0))</f>
        <v>Senior Software Engineer</v>
      </c>
      <c r="AM142" s="4" t="str">
        <f>INDEX(Employee!F:F,MATCH(AK142,Employee!B:B,0))</f>
        <v>Tech</v>
      </c>
      <c r="AN142" s="4" t="str">
        <f>INDEX(Employee!H:H,MATCH(AK142,Employee!B:B,0))</f>
        <v>Đoàn Nhật Duẩn (duandn)</v>
      </c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  <c r="BR142"/>
      <c r="BS142"/>
      <c r="BT142"/>
      <c r="BU142"/>
      <c r="BV142"/>
      <c r="BW142"/>
      <c r="BX142"/>
      <c r="BY142"/>
      <c r="BZ142"/>
      <c r="CA142"/>
      <c r="CB142"/>
      <c r="CC142"/>
      <c r="CD142"/>
      <c r="CE142"/>
      <c r="CF142"/>
      <c r="CG142"/>
      <c r="CH142"/>
      <c r="CI142"/>
      <c r="CJ142"/>
      <c r="CK142"/>
      <c r="CL142"/>
      <c r="CM142"/>
      <c r="CN142"/>
      <c r="CO142"/>
      <c r="CP142"/>
      <c r="CQ142"/>
      <c r="CR142"/>
      <c r="CS142"/>
      <c r="CT142"/>
      <c r="CU142"/>
      <c r="CV142"/>
      <c r="CW142"/>
      <c r="CX142" s="6"/>
    </row>
    <row r="143" spans="1:102" s="4" customFormat="1" hidden="1">
      <c r="A143" s="3">
        <f t="shared" si="9"/>
        <v>142</v>
      </c>
      <c r="B143" s="4" t="s">
        <v>16</v>
      </c>
      <c r="C143" s="4" t="s">
        <v>3</v>
      </c>
      <c r="D143" s="4" t="str">
        <f>INDEX(Employee!E:E,MATCH(AK143,Employee!B:B,0))</f>
        <v>Project</v>
      </c>
      <c r="E143" s="4" t="str">
        <f>INDEX(Employee!F:F,MATCH(AK143,Employee!B:B,0))</f>
        <v>Tech</v>
      </c>
      <c r="F143" s="4" t="str">
        <f>INDEX(Employee!G:G,MATCH(AK143,Employee!B:B,0))</f>
        <v>Venture</v>
      </c>
      <c r="G143" s="4" t="s">
        <v>15</v>
      </c>
      <c r="H143" s="4" t="s">
        <v>445</v>
      </c>
      <c r="I143" s="4" t="str">
        <f t="shared" si="10"/>
        <v>MON0036</v>
      </c>
      <c r="J143" s="4" t="s">
        <v>107</v>
      </c>
      <c r="K143" s="7" t="s">
        <v>108</v>
      </c>
      <c r="L143" s="7"/>
      <c r="M143" s="7"/>
      <c r="N143" s="13" t="b">
        <v>0</v>
      </c>
      <c r="O143" s="13" t="b">
        <v>0</v>
      </c>
      <c r="P143" s="15" t="s">
        <v>446</v>
      </c>
      <c r="Q143" s="14">
        <v>45506</v>
      </c>
      <c r="R143" s="4" t="s">
        <v>102</v>
      </c>
      <c r="S143" s="10">
        <v>3711390</v>
      </c>
      <c r="AE143" s="21"/>
      <c r="AF143" s="4" t="str">
        <f>INDEX(Employee!C:C,MATCH(AG143,Employee!B:B,0))</f>
        <v>Nguyễn Viết Khải</v>
      </c>
      <c r="AG143" s="4" t="s">
        <v>103</v>
      </c>
      <c r="AH143" s="4" t="str">
        <f>INDEX(Employee!D:D,MATCH(AG143,Employee!B:B,0))</f>
        <v>Lead IT Support Engineer</v>
      </c>
      <c r="AI143" s="4" t="str">
        <f>INDEX(Employee!F:F,MATCH(AG143,Employee!B:B,0))</f>
        <v>Tech</v>
      </c>
      <c r="AJ143" s="4" t="str">
        <f>INDEX(Employee!C:C,MATCH(AK143,Employee!B:B,0))</f>
        <v>Nguyễn Văn Bình</v>
      </c>
      <c r="AK143" s="4" t="s">
        <v>447</v>
      </c>
      <c r="AL143" s="4" t="str">
        <f>INDEX(Employee!D:D,MATCH(AK143,Employee!B:B,0))</f>
        <v>Senior Software Engineer, Team Leader</v>
      </c>
      <c r="AM143" s="4" t="str">
        <f>INDEX(Employee!F:F,MATCH(AK143,Employee!B:B,0))</f>
        <v>Tech</v>
      </c>
      <c r="AN143" s="4" t="str">
        <f>INDEX(Employee!H:H,MATCH(AK143,Employee!B:B,0))</f>
        <v>Đoàn Nhật Duẩn (duandn)</v>
      </c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  <c r="BR143"/>
      <c r="BS143"/>
      <c r="BT143"/>
      <c r="BU143"/>
      <c r="BV143"/>
      <c r="BW143"/>
      <c r="BX143"/>
      <c r="BY143"/>
      <c r="BZ143"/>
      <c r="CA143"/>
      <c r="CB143"/>
      <c r="CC143"/>
      <c r="CD143"/>
      <c r="CE143"/>
      <c r="CF143"/>
      <c r="CG143"/>
      <c r="CH143"/>
      <c r="CI143"/>
      <c r="CJ143"/>
      <c r="CK143"/>
      <c r="CL143"/>
      <c r="CM143"/>
      <c r="CN143"/>
      <c r="CO143"/>
      <c r="CP143"/>
      <c r="CQ143"/>
      <c r="CR143"/>
      <c r="CS143"/>
      <c r="CT143"/>
      <c r="CU143"/>
      <c r="CV143"/>
      <c r="CW143"/>
      <c r="CX143" s="6"/>
    </row>
    <row r="144" spans="1:102" s="4" customFormat="1" hidden="1">
      <c r="A144" s="3">
        <f t="shared" si="9"/>
        <v>143</v>
      </c>
      <c r="B144" s="4" t="s">
        <v>16</v>
      </c>
      <c r="C144" s="4" t="s">
        <v>3</v>
      </c>
      <c r="D144" s="4" t="str">
        <f>INDEX(Employee!E:E,MATCH(AK144,Employee!B:B,0))</f>
        <v>CTD</v>
      </c>
      <c r="E144" s="4" t="str">
        <f>INDEX(Employee!F:F,MATCH(AK144,Employee!B:B,0))</f>
        <v>CTD</v>
      </c>
      <c r="F144" s="4" t="str">
        <f>INDEX(Employee!G:G,MATCH(AK144,Employee!B:B,0))</f>
        <v>CTD</v>
      </c>
      <c r="G144" s="4" t="s">
        <v>15</v>
      </c>
      <c r="H144" s="4" t="s">
        <v>448</v>
      </c>
      <c r="I144" s="4" t="str">
        <f t="shared" si="10"/>
        <v>MON0037</v>
      </c>
      <c r="J144" s="4" t="s">
        <v>107</v>
      </c>
      <c r="K144" s="4" t="s">
        <v>108</v>
      </c>
      <c r="L144" s="7"/>
      <c r="M144" s="7"/>
      <c r="N144" s="13" t="b">
        <v>0</v>
      </c>
      <c r="O144" s="13" t="b">
        <v>0</v>
      </c>
      <c r="P144" s="15" t="s">
        <v>449</v>
      </c>
      <c r="Q144" s="14">
        <v>45506</v>
      </c>
      <c r="R144" s="4" t="s">
        <v>102</v>
      </c>
      <c r="S144" s="10">
        <v>3711390</v>
      </c>
      <c r="AE144" s="21"/>
      <c r="AF144" s="4" t="str">
        <f>INDEX(Employee!C:C,MATCH(AG144,Employee!B:B,0))</f>
        <v>Nguyễn Viết Khải</v>
      </c>
      <c r="AG144" s="4" t="s">
        <v>103</v>
      </c>
      <c r="AH144" s="4" t="str">
        <f>INDEX(Employee!D:D,MATCH(AG144,Employee!B:B,0))</f>
        <v>Lead IT Support Engineer</v>
      </c>
      <c r="AI144" s="4" t="str">
        <f>INDEX(Employee!F:F,MATCH(AG144,Employee!B:B,0))</f>
        <v>Tech</v>
      </c>
      <c r="AJ144" s="4" t="str">
        <f>INDEX(Employee!C:C,MATCH(AK144,Employee!B:B,0))</f>
        <v>Trần Gia Ân</v>
      </c>
      <c r="AK144" s="4" t="s">
        <v>450</v>
      </c>
      <c r="AL144" s="4" t="str">
        <f>INDEX(Employee!D:D,MATCH(AK144,Employee!B:B,0))</f>
        <v>SAP Intern</v>
      </c>
      <c r="AM144" s="4" t="str">
        <f>INDEX(Employee!F:F,MATCH(AK144,Employee!B:B,0))</f>
        <v>CTD</v>
      </c>
      <c r="AN144" s="4" t="str">
        <f>INDEX(Employee!H:H,MATCH(AK144,Employee!B:B,0))</f>
        <v>CTD</v>
      </c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  <c r="BR144"/>
      <c r="BS144"/>
      <c r="BT144"/>
      <c r="BU144"/>
      <c r="BV144"/>
      <c r="BW144"/>
      <c r="BX144"/>
      <c r="BY144"/>
      <c r="BZ144"/>
      <c r="CA144"/>
      <c r="CB144"/>
      <c r="CC144"/>
      <c r="CD144"/>
      <c r="CE144"/>
      <c r="CF144"/>
      <c r="CG144"/>
      <c r="CH144"/>
      <c r="CI144"/>
      <c r="CJ144"/>
      <c r="CK144"/>
      <c r="CL144"/>
      <c r="CM144"/>
      <c r="CN144"/>
      <c r="CO144"/>
      <c r="CP144"/>
      <c r="CQ144"/>
      <c r="CR144"/>
      <c r="CS144"/>
      <c r="CT144"/>
      <c r="CU144"/>
      <c r="CV144"/>
      <c r="CW144"/>
      <c r="CX144" s="6"/>
    </row>
    <row r="145" spans="1:102" s="4" customFormat="1" hidden="1">
      <c r="A145" s="3">
        <f t="shared" si="9"/>
        <v>144</v>
      </c>
      <c r="B145" s="4" t="s">
        <v>16</v>
      </c>
      <c r="C145" s="4" t="s">
        <v>3</v>
      </c>
      <c r="D145" s="4">
        <f>INDEX(Employee!E:E,MATCH(AK145,Employee!B:B,0))</f>
        <v>0</v>
      </c>
      <c r="E145" s="4" t="str">
        <f>INDEX(Employee!F:F,MATCH(AK145,Employee!B:B,0))</f>
        <v>Tech</v>
      </c>
      <c r="F145" s="4">
        <f>INDEX(Employee!G:G,MATCH(AK145,Employee!B:B,0))</f>
        <v>0</v>
      </c>
      <c r="G145" s="4" t="s">
        <v>119</v>
      </c>
      <c r="H145" s="4" t="s">
        <v>451</v>
      </c>
      <c r="I145" s="4" t="str">
        <f t="shared" si="10"/>
        <v>MON0038</v>
      </c>
      <c r="J145" s="4" t="s">
        <v>107</v>
      </c>
      <c r="K145" s="7" t="s">
        <v>108</v>
      </c>
      <c r="L145" s="7"/>
      <c r="M145" s="7"/>
      <c r="N145" s="13" t="b">
        <v>1</v>
      </c>
      <c r="O145" s="13" t="b">
        <v>0</v>
      </c>
      <c r="P145" s="15" t="s">
        <v>452</v>
      </c>
      <c r="Q145" s="14">
        <v>45506</v>
      </c>
      <c r="R145" s="4" t="s">
        <v>102</v>
      </c>
      <c r="S145" s="10">
        <v>3711390</v>
      </c>
      <c r="AE145" s="21"/>
      <c r="AF145" s="4" t="str">
        <f>INDEX(Employee!C:C,MATCH(AG145,Employee!B:B,0))</f>
        <v>Nguyễn Viết Khải</v>
      </c>
      <c r="AG145" s="4" t="s">
        <v>103</v>
      </c>
      <c r="AH145" s="4" t="str">
        <f>INDEX(Employee!D:D,MATCH(AG145,Employee!B:B,0))</f>
        <v>Lead IT Support Engineer</v>
      </c>
      <c r="AI145" s="4" t="str">
        <f>INDEX(Employee!F:F,MATCH(AG145,Employee!B:B,0))</f>
        <v>Tech</v>
      </c>
      <c r="AJ145" s="4" t="str">
        <f>INDEX(Employee!C:C,MATCH(AK145,Employee!B:B,0))</f>
        <v>Nguyễn Hải Đăng</v>
      </c>
      <c r="AK145" s="4" t="s">
        <v>248</v>
      </c>
      <c r="AL145" s="4" t="str">
        <f>INDEX(Employee!D:D,MATCH(AK145,Employee!B:B,0))</f>
        <v>Associate QC Engineer</v>
      </c>
      <c r="AM145" s="4" t="str">
        <f>INDEX(Employee!F:F,MATCH(AK145,Employee!B:B,0))</f>
        <v>Tech</v>
      </c>
      <c r="AN145" s="4" t="str">
        <f>INDEX(Employee!H:H,MATCH(AK145,Employee!B:B,0))</f>
        <v>Trịnh Trần Minh Tuấn (tuanttm)</v>
      </c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  <c r="BR145"/>
      <c r="BS145"/>
      <c r="BT145"/>
      <c r="BU145"/>
      <c r="BV145"/>
      <c r="BW145"/>
      <c r="BX145"/>
      <c r="BY145"/>
      <c r="BZ145"/>
      <c r="CA145"/>
      <c r="CB145"/>
      <c r="CC145"/>
      <c r="CD145"/>
      <c r="CE145"/>
      <c r="CF145"/>
      <c r="CG145"/>
      <c r="CH145"/>
      <c r="CI145"/>
      <c r="CJ145"/>
      <c r="CK145"/>
      <c r="CL145"/>
      <c r="CM145"/>
      <c r="CN145"/>
      <c r="CO145"/>
      <c r="CP145"/>
      <c r="CQ145"/>
      <c r="CR145"/>
      <c r="CS145"/>
      <c r="CT145"/>
      <c r="CU145"/>
      <c r="CV145"/>
      <c r="CW145"/>
      <c r="CX145" s="6"/>
    </row>
    <row r="146" spans="1:102" s="4" customFormat="1" hidden="1">
      <c r="A146" s="3">
        <f t="shared" si="9"/>
        <v>145</v>
      </c>
      <c r="B146" s="4" t="s">
        <v>16</v>
      </c>
      <c r="C146" s="4" t="s">
        <v>3</v>
      </c>
      <c r="D146" s="4" t="str">
        <f>INDEX(Employee!E:E,MATCH(AK146,Employee!B:B,0))</f>
        <v>BO</v>
      </c>
      <c r="E146" s="4" t="str">
        <f>INDEX(Employee!F:F,MATCH(AK146,Employee!B:B,0))</f>
        <v>Business Support</v>
      </c>
      <c r="F146" s="4" t="str">
        <f>INDEX(Employee!G:G,MATCH(AK146,Employee!B:B,0))</f>
        <v>Operation Team</v>
      </c>
      <c r="G146" s="4" t="s">
        <v>15</v>
      </c>
      <c r="H146" s="4" t="s">
        <v>453</v>
      </c>
      <c r="I146" s="4" t="str">
        <f t="shared" si="10"/>
        <v>MON0039</v>
      </c>
      <c r="J146" s="4" t="s">
        <v>107</v>
      </c>
      <c r="K146" s="7" t="s">
        <v>108</v>
      </c>
      <c r="L146" s="7"/>
      <c r="M146" s="7"/>
      <c r="N146" s="13" t="b">
        <v>0</v>
      </c>
      <c r="O146" s="13" t="b">
        <v>0</v>
      </c>
      <c r="P146" s="15" t="s">
        <v>454</v>
      </c>
      <c r="Q146" s="14">
        <v>45506</v>
      </c>
      <c r="R146" s="4" t="s">
        <v>102</v>
      </c>
      <c r="S146" s="10">
        <v>3711390</v>
      </c>
      <c r="AE146" s="21"/>
      <c r="AF146" s="4" t="str">
        <f>INDEX(Employee!C:C,MATCH(AG146,Employee!B:B,0))</f>
        <v>Nguyễn Viết Khải</v>
      </c>
      <c r="AG146" s="4" t="s">
        <v>103</v>
      </c>
      <c r="AH146" s="4" t="str">
        <f>INDEX(Employee!D:D,MATCH(AG146,Employee!B:B,0))</f>
        <v>Lead IT Support Engineer</v>
      </c>
      <c r="AI146" s="4" t="str">
        <f>INDEX(Employee!F:F,MATCH(AG146,Employee!B:B,0))</f>
        <v>Tech</v>
      </c>
      <c r="AJ146" s="4" t="str">
        <f>INDEX(Employee!C:C,MATCH(AK146,Employee!B:B,0))</f>
        <v>Mai Thị Cẩm Hà</v>
      </c>
      <c r="AK146" s="4" t="s">
        <v>223</v>
      </c>
      <c r="AL146" s="4" t="str">
        <f>INDEX(Employee!D:D,MATCH(AK146,Employee!B:B,0))</f>
        <v>Associate GRC Analyst</v>
      </c>
      <c r="AM146" s="4" t="str">
        <f>INDEX(Employee!F:F,MATCH(AK146,Employee!B:B,0))</f>
        <v>Business Support</v>
      </c>
      <c r="AN146" s="4" t="str">
        <f>INDEX(Employee!H:H,MATCH(AK146,Employee!B:B,0))</f>
        <v>Nguyễn Thị My Sa</v>
      </c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  <c r="BR146"/>
      <c r="BS146"/>
      <c r="BT146"/>
      <c r="BU146"/>
      <c r="BV146"/>
      <c r="BW146"/>
      <c r="BX146"/>
      <c r="BY146"/>
      <c r="BZ146"/>
      <c r="CA146"/>
      <c r="CB146"/>
      <c r="CC146"/>
      <c r="CD146"/>
      <c r="CE146"/>
      <c r="CF146"/>
      <c r="CG146"/>
      <c r="CH146"/>
      <c r="CI146"/>
      <c r="CJ146"/>
      <c r="CK146"/>
      <c r="CL146"/>
      <c r="CM146"/>
      <c r="CN146"/>
      <c r="CO146"/>
      <c r="CP146"/>
      <c r="CQ146"/>
      <c r="CR146"/>
      <c r="CS146"/>
      <c r="CT146"/>
      <c r="CU146"/>
      <c r="CV146"/>
      <c r="CW146"/>
      <c r="CX146" s="6"/>
    </row>
    <row r="147" spans="1:102" s="4" customFormat="1" hidden="1">
      <c r="A147" s="3">
        <f t="shared" si="9"/>
        <v>146</v>
      </c>
      <c r="B147" s="4" t="s">
        <v>16</v>
      </c>
      <c r="C147" s="4" t="s">
        <v>3</v>
      </c>
      <c r="D147" s="4" t="str">
        <f>INDEX(Employee!E:E,MATCH(AK147,Employee!B:B,0))</f>
        <v>Undirect IT Staff</v>
      </c>
      <c r="E147" s="4" t="str">
        <f>INDEX(Employee!F:F,MATCH(AK147,Employee!B:B,0))</f>
        <v>Tech</v>
      </c>
      <c r="F147" s="4" t="str">
        <f>INDEX(Employee!G:G,MATCH(AK147,Employee!B:B,0))</f>
        <v>Odoo</v>
      </c>
      <c r="G147" s="4" t="s">
        <v>15</v>
      </c>
      <c r="H147" s="4" t="s">
        <v>455</v>
      </c>
      <c r="I147" s="4" t="str">
        <f t="shared" si="10"/>
        <v>MON0040</v>
      </c>
      <c r="J147" s="4" t="s">
        <v>107</v>
      </c>
      <c r="K147" s="7" t="s">
        <v>108</v>
      </c>
      <c r="L147" s="7"/>
      <c r="M147" s="7"/>
      <c r="N147" s="13" t="b">
        <v>0</v>
      </c>
      <c r="O147" s="13" t="b">
        <v>0</v>
      </c>
      <c r="P147" s="15" t="s">
        <v>456</v>
      </c>
      <c r="Q147" s="14">
        <v>45492</v>
      </c>
      <c r="R147" s="4" t="s">
        <v>102</v>
      </c>
      <c r="S147" s="10">
        <v>3591668</v>
      </c>
      <c r="AE147" s="21"/>
      <c r="AF147" s="4" t="str">
        <f>INDEX(Employee!C:C,MATCH(AG147,Employee!B:B,0))</f>
        <v>Nguyễn Viết Khải</v>
      </c>
      <c r="AG147" s="4" t="s">
        <v>103</v>
      </c>
      <c r="AH147" s="4" t="str">
        <f>INDEX(Employee!D:D,MATCH(AG147,Employee!B:B,0))</f>
        <v>Lead IT Support Engineer</v>
      </c>
      <c r="AI147" s="4" t="str">
        <f>INDEX(Employee!F:F,MATCH(AG147,Employee!B:B,0))</f>
        <v>Tech</v>
      </c>
      <c r="AJ147" s="4" t="str">
        <f>INDEX(Employee!C:C,MATCH(AK147,Employee!B:B,0))</f>
        <v>Nguyễn Ngọc Trinh</v>
      </c>
      <c r="AK147" s="4" t="s">
        <v>457</v>
      </c>
      <c r="AL147" s="4" t="str">
        <f>INDEX(Employee!D:D,MATCH(AK147,Employee!B:B,0))</f>
        <v>Fresher QC Engineer</v>
      </c>
      <c r="AM147" s="4" t="str">
        <f>INDEX(Employee!F:F,MATCH(AK147,Employee!B:B,0))</f>
        <v>Tech</v>
      </c>
      <c r="AN147" s="4" t="str">
        <f>INDEX(Employee!H:H,MATCH(AK147,Employee!B:B,0))</f>
        <v>Dương Phạm Thành Công (congdpt)</v>
      </c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  <c r="BR147"/>
      <c r="BS147"/>
      <c r="BT147"/>
      <c r="BU147"/>
      <c r="BV147"/>
      <c r="BW147"/>
      <c r="BX147"/>
      <c r="BY147"/>
      <c r="BZ147"/>
      <c r="CA147"/>
      <c r="CB147"/>
      <c r="CC147"/>
      <c r="CD147"/>
      <c r="CE147"/>
      <c r="CF147"/>
      <c r="CG147"/>
      <c r="CH147"/>
      <c r="CI147"/>
      <c r="CJ147"/>
      <c r="CK147"/>
      <c r="CL147"/>
      <c r="CM147"/>
      <c r="CN147"/>
      <c r="CO147"/>
      <c r="CP147"/>
      <c r="CQ147"/>
      <c r="CR147"/>
      <c r="CS147"/>
      <c r="CT147"/>
      <c r="CU147"/>
      <c r="CV147"/>
      <c r="CW147"/>
      <c r="CX147" s="6"/>
    </row>
    <row r="148" spans="1:102" s="4" customFormat="1" hidden="1">
      <c r="A148" s="3">
        <f t="shared" si="9"/>
        <v>147</v>
      </c>
      <c r="B148" s="4" t="s">
        <v>16</v>
      </c>
      <c r="C148" s="4" t="s">
        <v>3</v>
      </c>
      <c r="D148" s="4">
        <f>INDEX(Employee!E:E,MATCH(AK148,Employee!B:B,0))</f>
        <v>0</v>
      </c>
      <c r="E148" s="4" t="str">
        <f>INDEX(Employee!F:F,MATCH(AK148,Employee!B:B,0))</f>
        <v>Tech</v>
      </c>
      <c r="F148" s="4">
        <f>INDEX(Employee!G:G,MATCH(AK148,Employee!B:B,0))</f>
        <v>0</v>
      </c>
      <c r="G148" s="4" t="s">
        <v>119</v>
      </c>
      <c r="I148" s="4" t="str">
        <f t="shared" si="10"/>
        <v>MON0041</v>
      </c>
      <c r="J148" s="4" t="s">
        <v>107</v>
      </c>
      <c r="K148" s="7" t="s">
        <v>367</v>
      </c>
      <c r="L148" s="7"/>
      <c r="M148" s="7"/>
      <c r="N148" s="13" t="b">
        <v>1</v>
      </c>
      <c r="O148" s="13" t="b">
        <v>0</v>
      </c>
      <c r="P148" s="15" t="s">
        <v>458</v>
      </c>
      <c r="Q148" s="14">
        <v>45492</v>
      </c>
      <c r="R148" s="4" t="s">
        <v>102</v>
      </c>
      <c r="S148" s="10">
        <v>3591668</v>
      </c>
      <c r="AE148" s="21"/>
      <c r="AF148" s="4" t="str">
        <f>INDEX(Employee!C:C,MATCH(AG148,Employee!B:B,0))</f>
        <v>Nguyễn Viết Khải</v>
      </c>
      <c r="AG148" s="4" t="s">
        <v>103</v>
      </c>
      <c r="AH148" s="4" t="str">
        <f>INDEX(Employee!D:D,MATCH(AG148,Employee!B:B,0))</f>
        <v>Lead IT Support Engineer</v>
      </c>
      <c r="AI148" s="4" t="str">
        <f>INDEX(Employee!F:F,MATCH(AG148,Employee!B:B,0))</f>
        <v>Tech</v>
      </c>
      <c r="AJ148" s="4" t="str">
        <f>INDEX(Employee!C:C,MATCH(AK148,Employee!B:B,0))</f>
        <v>Nguyễn Quốc Bảo</v>
      </c>
      <c r="AK148" s="4" t="s">
        <v>459</v>
      </c>
      <c r="AL148" s="4" t="str">
        <f>INDEX(Employee!D:D,MATCH(AK148,Employee!B:B,0))</f>
        <v>DevOps Engineer</v>
      </c>
      <c r="AM148" s="4" t="str">
        <f>INDEX(Employee!F:F,MATCH(AK148,Employee!B:B,0))</f>
        <v>Tech</v>
      </c>
      <c r="AN148" s="4" t="str">
        <f>INDEX(Employee!H:H,MATCH(AK148,Employee!B:B,0))</f>
        <v>Trần Triệu Dương (duongtt5)</v>
      </c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  <c r="BR148"/>
      <c r="BS148"/>
      <c r="BT148"/>
      <c r="BU148"/>
      <c r="BV148"/>
      <c r="BW148"/>
      <c r="BX148"/>
      <c r="BY148"/>
      <c r="BZ148"/>
      <c r="CA148"/>
      <c r="CB148"/>
      <c r="CC148"/>
      <c r="CD148"/>
      <c r="CE148"/>
      <c r="CF148"/>
      <c r="CG148"/>
      <c r="CH148"/>
      <c r="CI148"/>
      <c r="CJ148"/>
      <c r="CK148"/>
      <c r="CL148"/>
      <c r="CM148"/>
      <c r="CN148"/>
      <c r="CO148"/>
      <c r="CP148"/>
      <c r="CQ148"/>
      <c r="CR148"/>
      <c r="CS148"/>
      <c r="CT148"/>
      <c r="CU148"/>
      <c r="CV148"/>
      <c r="CW148"/>
      <c r="CX148" s="6"/>
    </row>
    <row r="149" spans="1:102" s="4" customFormat="1" hidden="1">
      <c r="A149" s="3">
        <f t="shared" si="9"/>
        <v>148</v>
      </c>
      <c r="B149" s="4" t="s">
        <v>16</v>
      </c>
      <c r="C149" s="4" t="s">
        <v>3</v>
      </c>
      <c r="D149" s="4">
        <f>INDEX(Employee!E:E,MATCH(AK149,Employee!B:B,0))</f>
        <v>0</v>
      </c>
      <c r="E149" s="4" t="str">
        <f>INDEX(Employee!F:F,MATCH(AK149,Employee!B:B,0))</f>
        <v>Tech</v>
      </c>
      <c r="F149" s="4">
        <f>INDEX(Employee!G:G,MATCH(AK149,Employee!B:B,0))</f>
        <v>0</v>
      </c>
      <c r="G149" s="4" t="s">
        <v>119</v>
      </c>
      <c r="H149" s="4" t="s">
        <v>460</v>
      </c>
      <c r="I149" s="4" t="str">
        <f t="shared" si="10"/>
        <v>MON0042</v>
      </c>
      <c r="J149" s="4" t="s">
        <v>107</v>
      </c>
      <c r="K149" s="7" t="s">
        <v>367</v>
      </c>
      <c r="L149" s="7"/>
      <c r="M149" s="7"/>
      <c r="N149" s="13" t="b">
        <v>1</v>
      </c>
      <c r="O149" s="13" t="b">
        <v>0</v>
      </c>
      <c r="P149" s="15" t="s">
        <v>461</v>
      </c>
      <c r="Q149" s="14">
        <v>44752</v>
      </c>
      <c r="R149" s="4" t="s">
        <v>102</v>
      </c>
      <c r="S149" s="10">
        <v>1066252</v>
      </c>
      <c r="AE149" s="21"/>
      <c r="AF149" s="4" t="str">
        <f>INDEX(Employee!C:C,MATCH(AG149,Employee!B:B,0))</f>
        <v>Nguyễn Viết Khải</v>
      </c>
      <c r="AG149" s="4" t="s">
        <v>103</v>
      </c>
      <c r="AH149" s="4" t="str">
        <f>INDEX(Employee!D:D,MATCH(AG149,Employee!B:B,0))</f>
        <v>Lead IT Support Engineer</v>
      </c>
      <c r="AI149" s="4" t="str">
        <f>INDEX(Employee!F:F,MATCH(AG149,Employee!B:B,0))</f>
        <v>Tech</v>
      </c>
      <c r="AJ149" s="4" t="str">
        <f>INDEX(Employee!C:C,MATCH(AK149,Employee!B:B,0))</f>
        <v>Nguyễn Vân Anh</v>
      </c>
      <c r="AK149" s="4" t="s">
        <v>195</v>
      </c>
      <c r="AL149" s="4" t="str">
        <f>INDEX(Employee!D:D,MATCH(AK149,Employee!B:B,0))</f>
        <v>Senior Business Analyst</v>
      </c>
      <c r="AM149" s="4" t="str">
        <f>INDEX(Employee!F:F,MATCH(AK149,Employee!B:B,0))</f>
        <v>Tech</v>
      </c>
      <c r="AN149" s="4" t="str">
        <f>INDEX(Employee!H:H,MATCH(AK149,Employee!B:B,0))</f>
        <v>Trần Triệu Dương (duongtt5)</v>
      </c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  <c r="BR149"/>
      <c r="BS149"/>
      <c r="BT149"/>
      <c r="BU149"/>
      <c r="BV149"/>
      <c r="BW149"/>
      <c r="BX149"/>
      <c r="BY149"/>
      <c r="BZ149"/>
      <c r="CA149"/>
      <c r="CB149"/>
      <c r="CC149"/>
      <c r="CD149"/>
      <c r="CE149"/>
      <c r="CF149"/>
      <c r="CG149"/>
      <c r="CH149"/>
      <c r="CI149"/>
      <c r="CJ149"/>
      <c r="CK149"/>
      <c r="CL149"/>
      <c r="CM149"/>
      <c r="CN149"/>
      <c r="CO149"/>
      <c r="CP149"/>
      <c r="CQ149"/>
      <c r="CR149"/>
      <c r="CS149"/>
      <c r="CT149"/>
      <c r="CU149"/>
      <c r="CV149"/>
      <c r="CW149"/>
      <c r="CX149" s="6"/>
    </row>
    <row r="150" spans="1:102" s="4" customFormat="1" hidden="1">
      <c r="A150" s="3">
        <f t="shared" si="9"/>
        <v>149</v>
      </c>
      <c r="B150" s="4" t="s">
        <v>16</v>
      </c>
      <c r="C150" s="4" t="s">
        <v>3</v>
      </c>
      <c r="D150" s="4" t="str">
        <f>INDEX(Employee!E:E,MATCH(AK150,Employee!B:B,0))</f>
        <v>Project</v>
      </c>
      <c r="E150" s="4" t="str">
        <f>INDEX(Employee!F:F,MATCH(AK150,Employee!B:B,0))</f>
        <v>Tech</v>
      </c>
      <c r="F150" s="4" t="str">
        <f>INDEX(Employee!G:G,MATCH(AK150,Employee!B:B,0))</f>
        <v>Venture</v>
      </c>
      <c r="G150" s="4" t="s">
        <v>15</v>
      </c>
      <c r="H150" s="4" t="s">
        <v>462</v>
      </c>
      <c r="I150" s="4" t="str">
        <f t="shared" si="10"/>
        <v>MON0043</v>
      </c>
      <c r="J150" s="4" t="s">
        <v>107</v>
      </c>
      <c r="K150" s="7" t="s">
        <v>108</v>
      </c>
      <c r="L150" s="7"/>
      <c r="M150" s="7"/>
      <c r="N150" s="13" t="b">
        <v>0</v>
      </c>
      <c r="O150" s="13" t="b">
        <v>0</v>
      </c>
      <c r="P150" s="15" t="s">
        <v>463</v>
      </c>
      <c r="Q150" s="14">
        <v>45622</v>
      </c>
      <c r="R150" s="4" t="s">
        <v>102</v>
      </c>
      <c r="S150" s="10">
        <v>4190278</v>
      </c>
      <c r="T150" s="4" t="e">
        <f>INDEX(Employee!#REF!,MATCH(U150,Employee!#REF!,0))</f>
        <v>#REF!</v>
      </c>
      <c r="U150" s="4" t="s">
        <v>195</v>
      </c>
      <c r="V150" s="4" t="e">
        <f>INDEX(Employee!#REF!,MATCH(U150,Employee!#REF!,0))</f>
        <v>#REF!</v>
      </c>
      <c r="W150" s="4" t="e">
        <f>INDEX(Employee!#REF!,MATCH(U150,Employee!#REF!,0))</f>
        <v>#REF!</v>
      </c>
      <c r="X150" s="4" t="e">
        <f>INDEX(Employee!#REF!,MATCH(U150,Employee!#REF!,0))</f>
        <v>#REF!</v>
      </c>
      <c r="AJ150" s="4" t="str">
        <f>INDEX(Employee!C:C,MATCH(AK150,Employee!B:B,0))</f>
        <v>Huỳnh Thúy Diễm</v>
      </c>
      <c r="AK150" s="4" t="s">
        <v>132</v>
      </c>
      <c r="AL150" s="4" t="str">
        <f>INDEX(Employee!D:D,MATCH(AK150,Employee!B:B,0))</f>
        <v>Fresher Business Analyst</v>
      </c>
      <c r="AM150" s="4" t="str">
        <f>INDEX(Employee!F:F,MATCH(AK150,Employee!B:B,0))</f>
        <v>Tech</v>
      </c>
      <c r="AN150" s="4" t="str">
        <f>INDEX(Employee!H:H,MATCH(AK150,Employee!B:B,0))</f>
        <v>Nguyễn Khánh Vy</v>
      </c>
      <c r="AQ150" s="4" t="s">
        <v>464</v>
      </c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  <c r="BR150"/>
      <c r="BS150"/>
      <c r="BT150"/>
      <c r="BU150"/>
      <c r="BV150"/>
      <c r="BW150"/>
      <c r="BX150"/>
      <c r="BY150"/>
      <c r="BZ150"/>
      <c r="CA150"/>
      <c r="CB150"/>
      <c r="CC150"/>
      <c r="CD150"/>
      <c r="CE150"/>
      <c r="CF150"/>
      <c r="CG150"/>
      <c r="CH150" s="6"/>
      <c r="CI150"/>
      <c r="CJ150"/>
      <c r="CK150"/>
      <c r="CL150"/>
      <c r="CM150"/>
      <c r="CN150"/>
      <c r="CO150"/>
      <c r="CP150"/>
      <c r="CQ150"/>
      <c r="CR150"/>
      <c r="CS150"/>
      <c r="CT150"/>
      <c r="CU150"/>
      <c r="CV150"/>
      <c r="CW150"/>
      <c r="CX150" s="6"/>
    </row>
    <row r="151" spans="1:102" s="4" customFormat="1" hidden="1">
      <c r="A151" s="3">
        <f t="shared" si="9"/>
        <v>150</v>
      </c>
      <c r="B151" s="4" t="s">
        <v>16</v>
      </c>
      <c r="C151" s="4" t="s">
        <v>4</v>
      </c>
      <c r="D151" s="4" t="e">
        <f>INDEX(Employee!E:E,MATCH(AK151,Employee!B:B,0))</f>
        <v>#N/A</v>
      </c>
      <c r="E151" s="4" t="e">
        <f>INDEX(Employee!F:F,MATCH(AK151,Employee!B:B,0))</f>
        <v>#N/A</v>
      </c>
      <c r="F151" s="4" t="e">
        <f>INDEX(Employee!G:G,MATCH(AK151,Employee!B:B,0))</f>
        <v>#N/A</v>
      </c>
      <c r="G151" s="4" t="s">
        <v>15</v>
      </c>
      <c r="H151" s="4" t="s">
        <v>465</v>
      </c>
      <c r="I151" s="4" t="str">
        <f t="shared" si="10"/>
        <v>MON0044</v>
      </c>
      <c r="J151" s="4" t="s">
        <v>107</v>
      </c>
      <c r="K151" s="4" t="s">
        <v>108</v>
      </c>
      <c r="L151" s="7"/>
      <c r="M151" s="7"/>
      <c r="N151" s="13" t="b">
        <v>0</v>
      </c>
      <c r="O151" s="13" t="b">
        <v>0</v>
      </c>
      <c r="P151" s="15" t="s">
        <v>466</v>
      </c>
      <c r="Q151" s="14">
        <v>45622</v>
      </c>
      <c r="R151" s="4" t="s">
        <v>102</v>
      </c>
      <c r="S151" s="10">
        <v>4190278</v>
      </c>
      <c r="T151" s="4" t="e">
        <f>INDEX(Employee!#REF!,MATCH(U151,Employee!#REF!,0))</f>
        <v>#REF!</v>
      </c>
      <c r="U151" s="4" t="s">
        <v>195</v>
      </c>
      <c r="V151" s="4" t="e">
        <f>INDEX(Employee!#REF!,MATCH(U151,Employee!#REF!,0))</f>
        <v>#REF!</v>
      </c>
      <c r="W151" s="4" t="e">
        <f>INDEX(Employee!#REF!,MATCH(U151,Employee!#REF!,0))</f>
        <v>#REF!</v>
      </c>
      <c r="X151" s="4" t="e">
        <f>INDEX(Employee!#REF!,MATCH(U151,Employee!#REF!,0))</f>
        <v>#REF!</v>
      </c>
      <c r="AJ151" s="4" t="e">
        <f>INDEX(Employee!C:C,MATCH(AK151,Employee!B:B,0))</f>
        <v>#N/A</v>
      </c>
      <c r="AL151" s="4" t="e">
        <f>INDEX(Employee!D:D,MATCH(AK151,Employee!B:B,0))</f>
        <v>#N/A</v>
      </c>
      <c r="AM151" s="4" t="e">
        <f>INDEX(Employee!F:F,MATCH(AK151,Employee!B:B,0))</f>
        <v>#N/A</v>
      </c>
      <c r="AN151" s="4" t="e">
        <f>INDEX(Employee!H:H,MATCH(AK151,Employee!B:B,0))</f>
        <v>#N/A</v>
      </c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  <c r="BR151"/>
      <c r="BS151"/>
      <c r="BT151"/>
      <c r="BU151"/>
      <c r="BV151"/>
      <c r="BW151"/>
      <c r="BX151"/>
      <c r="BY151"/>
      <c r="BZ151"/>
      <c r="CA151"/>
      <c r="CB151"/>
      <c r="CC151"/>
      <c r="CD151"/>
      <c r="CE151"/>
      <c r="CF151"/>
      <c r="CG151"/>
      <c r="CH151" s="6"/>
      <c r="CI151"/>
      <c r="CJ151"/>
      <c r="CK151"/>
      <c r="CL151"/>
      <c r="CM151"/>
      <c r="CN151"/>
      <c r="CO151"/>
      <c r="CP151"/>
      <c r="CQ151"/>
      <c r="CR151"/>
      <c r="CS151"/>
      <c r="CT151"/>
      <c r="CU151"/>
      <c r="CV151"/>
      <c r="CW151"/>
      <c r="CX151" s="6"/>
    </row>
    <row r="152" spans="1:102" s="4" customFormat="1" hidden="1">
      <c r="A152" s="3">
        <f t="shared" si="9"/>
        <v>151</v>
      </c>
      <c r="B152" s="4" t="s">
        <v>16</v>
      </c>
      <c r="C152" s="4" t="s">
        <v>4</v>
      </c>
      <c r="D152" s="4" t="e">
        <f>INDEX(Employee!E:E,MATCH(AK152,Employee!B:B,0))</f>
        <v>#N/A</v>
      </c>
      <c r="E152" s="4" t="e">
        <f>INDEX(Employee!F:F,MATCH(AK152,Employee!B:B,0))</f>
        <v>#N/A</v>
      </c>
      <c r="F152" s="4" t="e">
        <f>INDEX(Employee!G:G,MATCH(AK152,Employee!B:B,0))</f>
        <v>#N/A</v>
      </c>
      <c r="G152" s="4" t="s">
        <v>15</v>
      </c>
      <c r="I152" s="4" t="str">
        <f t="shared" si="10"/>
        <v>MON0045</v>
      </c>
      <c r="J152" s="4" t="s">
        <v>107</v>
      </c>
      <c r="K152" s="4" t="s">
        <v>108</v>
      </c>
      <c r="L152" s="7"/>
      <c r="M152" s="7"/>
      <c r="N152" s="13" t="b">
        <v>0</v>
      </c>
      <c r="O152" s="13" t="b">
        <v>0</v>
      </c>
      <c r="P152" s="15" t="s">
        <v>467</v>
      </c>
      <c r="Q152" s="14">
        <v>45622</v>
      </c>
      <c r="R152" s="4" t="s">
        <v>102</v>
      </c>
      <c r="S152" s="10">
        <v>4190278</v>
      </c>
      <c r="T152" s="4" t="e">
        <f>INDEX(Employee!#REF!,MATCH(U152,Employee!#REF!,0))</f>
        <v>#REF!</v>
      </c>
      <c r="U152" s="4" t="s">
        <v>195</v>
      </c>
      <c r="V152" s="4" t="e">
        <f>INDEX(Employee!#REF!,MATCH(U152,Employee!#REF!,0))</f>
        <v>#REF!</v>
      </c>
      <c r="W152" s="4" t="e">
        <f>INDEX(Employee!#REF!,MATCH(U152,Employee!#REF!,0))</f>
        <v>#REF!</v>
      </c>
      <c r="X152" s="4" t="e">
        <f>INDEX(Employee!#REF!,MATCH(U152,Employee!#REF!,0))</f>
        <v>#REF!</v>
      </c>
      <c r="AJ152" s="4" t="e">
        <f>INDEX(Employee!C:C,MATCH(AK152,Employee!B:B,0))</f>
        <v>#N/A</v>
      </c>
      <c r="AL152" s="4" t="e">
        <f>INDEX(Employee!D:D,MATCH(AK152,Employee!B:B,0))</f>
        <v>#N/A</v>
      </c>
      <c r="AM152" s="4" t="e">
        <f>INDEX(Employee!F:F,MATCH(AK152,Employee!B:B,0))</f>
        <v>#N/A</v>
      </c>
      <c r="AN152" s="4" t="e">
        <f>INDEX(Employee!H:H,MATCH(AK152,Employee!B:B,0))</f>
        <v>#N/A</v>
      </c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  <c r="BR152"/>
      <c r="BS152"/>
      <c r="BT152"/>
      <c r="BU152"/>
      <c r="BV152"/>
      <c r="BW152"/>
      <c r="BX152"/>
      <c r="BY152"/>
      <c r="BZ152"/>
      <c r="CA152"/>
      <c r="CB152"/>
      <c r="CC152"/>
      <c r="CD152"/>
      <c r="CE152"/>
      <c r="CF152"/>
      <c r="CG152"/>
      <c r="CH152" s="6"/>
      <c r="CI152"/>
      <c r="CJ152"/>
      <c r="CK152"/>
      <c r="CL152"/>
      <c r="CM152"/>
      <c r="CN152"/>
      <c r="CO152"/>
      <c r="CP152"/>
      <c r="CQ152"/>
      <c r="CR152"/>
      <c r="CS152"/>
      <c r="CT152"/>
      <c r="CU152"/>
      <c r="CV152"/>
      <c r="CW152"/>
      <c r="CX152" s="6"/>
    </row>
    <row r="153" spans="1:102" s="4" customFormat="1" hidden="1">
      <c r="A153" s="3">
        <f t="shared" si="9"/>
        <v>152</v>
      </c>
      <c r="B153" s="4" t="s">
        <v>16</v>
      </c>
      <c r="C153" s="4" t="s">
        <v>3</v>
      </c>
      <c r="D153" s="4">
        <f>INDEX(Employee!E:E,MATCH(AK153,Employee!B:B,0))</f>
        <v>0</v>
      </c>
      <c r="E153" s="4" t="str">
        <f>INDEX(Employee!F:F,MATCH(AK153,Employee!B:B,0))</f>
        <v>OP</v>
      </c>
      <c r="F153" s="4">
        <f>INDEX(Employee!G:G,MATCH(AK153,Employee!B:B,0))</f>
        <v>0</v>
      </c>
      <c r="G153" s="4" t="s">
        <v>119</v>
      </c>
      <c r="H153" s="4" t="s">
        <v>468</v>
      </c>
      <c r="I153" s="4" t="str">
        <f t="shared" si="10"/>
        <v>MON0046</v>
      </c>
      <c r="J153" s="4" t="s">
        <v>107</v>
      </c>
      <c r="K153" s="7" t="s">
        <v>108</v>
      </c>
      <c r="L153" s="7"/>
      <c r="M153" s="7"/>
      <c r="N153" s="13" t="b">
        <v>1</v>
      </c>
      <c r="O153" s="13" t="b">
        <v>0</v>
      </c>
      <c r="P153" s="15" t="s">
        <v>469</v>
      </c>
      <c r="Q153" s="14">
        <v>45622</v>
      </c>
      <c r="R153" s="4" t="s">
        <v>102</v>
      </c>
      <c r="S153" s="10">
        <v>4190278</v>
      </c>
      <c r="T153" s="4" t="e">
        <f>INDEX(Employee!#REF!,MATCH(U153,Employee!#REF!,0))</f>
        <v>#REF!</v>
      </c>
      <c r="U153" s="4" t="s">
        <v>195</v>
      </c>
      <c r="V153" s="4" t="e">
        <f>INDEX(Employee!#REF!,MATCH(U153,Employee!#REF!,0))</f>
        <v>#REF!</v>
      </c>
      <c r="W153" s="4" t="e">
        <f>INDEX(Employee!#REF!,MATCH(U153,Employee!#REF!,0))</f>
        <v>#REF!</v>
      </c>
      <c r="X153" s="4" t="e">
        <f>INDEX(Employee!#REF!,MATCH(U153,Employee!#REF!,0))</f>
        <v>#REF!</v>
      </c>
      <c r="AJ153" s="4" t="str">
        <f>INDEX(Employee!C:C,MATCH(AK153,Employee!B:B,0))</f>
        <v>Nguyễn Thị Việt Hà</v>
      </c>
      <c r="AK153" s="4" t="s">
        <v>470</v>
      </c>
      <c r="AL153" s="4" t="str">
        <f>INDEX(Employee!D:D,MATCH(AK153,Employee!B:B,0))</f>
        <v>Incident Manager</v>
      </c>
      <c r="AM153" s="4" t="str">
        <f>INDEX(Employee!F:F,MATCH(AK153,Employee!B:B,0))</f>
        <v>OP</v>
      </c>
      <c r="AN153" s="4" t="str">
        <f>INDEX(Employee!H:H,MATCH(AK153,Employee!B:B,0))</f>
        <v>Chu Văn Toàn (ToanCV)</v>
      </c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  <c r="BR153"/>
      <c r="BS153"/>
      <c r="BT153"/>
      <c r="BU153"/>
      <c r="BV153"/>
      <c r="BW153"/>
      <c r="BX153"/>
      <c r="BY153"/>
      <c r="BZ153"/>
      <c r="CA153"/>
      <c r="CB153"/>
      <c r="CC153"/>
      <c r="CD153"/>
      <c r="CE153"/>
      <c r="CF153"/>
      <c r="CG153"/>
      <c r="CH153" s="6"/>
      <c r="CI153"/>
      <c r="CJ153"/>
      <c r="CK153"/>
      <c r="CL153"/>
      <c r="CM153"/>
      <c r="CN153"/>
      <c r="CO153"/>
      <c r="CP153"/>
      <c r="CQ153"/>
      <c r="CR153"/>
      <c r="CS153"/>
      <c r="CT153"/>
      <c r="CU153"/>
      <c r="CV153"/>
      <c r="CW153"/>
      <c r="CX153" s="6"/>
    </row>
    <row r="154" spans="1:102" s="4" customFormat="1" hidden="1">
      <c r="A154" s="3">
        <f t="shared" si="9"/>
        <v>153</v>
      </c>
      <c r="B154" s="4" t="s">
        <v>16</v>
      </c>
      <c r="C154" s="4" t="s">
        <v>4</v>
      </c>
      <c r="D154" s="4" t="e">
        <f>INDEX(Employee!E:E,MATCH(AK154,Employee!B:B,0))</f>
        <v>#N/A</v>
      </c>
      <c r="E154" s="4" t="e">
        <f>INDEX(Employee!F:F,MATCH(AK154,Employee!B:B,0))</f>
        <v>#N/A</v>
      </c>
      <c r="F154" s="4" t="e">
        <f>INDEX(Employee!G:G,MATCH(AK154,Employee!B:B,0))</f>
        <v>#N/A</v>
      </c>
      <c r="G154" s="4" t="s">
        <v>15</v>
      </c>
      <c r="H154" s="4" t="s">
        <v>471</v>
      </c>
      <c r="I154" s="4" t="str">
        <f t="shared" si="10"/>
        <v>MON0047</v>
      </c>
      <c r="J154" s="4" t="s">
        <v>107</v>
      </c>
      <c r="K154" s="4" t="s">
        <v>108</v>
      </c>
      <c r="L154" s="7"/>
      <c r="M154" s="7"/>
      <c r="N154" s="13" t="b">
        <v>0</v>
      </c>
      <c r="O154" s="13" t="b">
        <v>0</v>
      </c>
      <c r="P154" s="15" t="s">
        <v>472</v>
      </c>
      <c r="Q154" s="14">
        <v>45622</v>
      </c>
      <c r="R154" s="4" t="s">
        <v>102</v>
      </c>
      <c r="S154" s="10">
        <v>4190278</v>
      </c>
      <c r="T154" s="4" t="e">
        <f>INDEX(Employee!#REF!,MATCH(U154,Employee!#REF!,0))</f>
        <v>#REF!</v>
      </c>
      <c r="U154" s="4" t="s">
        <v>195</v>
      </c>
      <c r="V154" s="4" t="e">
        <f>INDEX(Employee!#REF!,MATCH(U154,Employee!#REF!,0))</f>
        <v>#REF!</v>
      </c>
      <c r="W154" s="4" t="e">
        <f>INDEX(Employee!#REF!,MATCH(U154,Employee!#REF!,0))</f>
        <v>#REF!</v>
      </c>
      <c r="X154" s="4" t="e">
        <f>INDEX(Employee!#REF!,MATCH(U154,Employee!#REF!,0))</f>
        <v>#REF!</v>
      </c>
      <c r="AJ154" s="4" t="e">
        <f>INDEX(Employee!C:C,MATCH(AK154,Employee!B:B,0))</f>
        <v>#N/A</v>
      </c>
      <c r="AL154" s="4" t="e">
        <f>INDEX(Employee!D:D,MATCH(AK154,Employee!B:B,0))</f>
        <v>#N/A</v>
      </c>
      <c r="AM154" s="4" t="e">
        <f>INDEX(Employee!F:F,MATCH(AK154,Employee!B:B,0))</f>
        <v>#N/A</v>
      </c>
      <c r="AN154" s="4" t="e">
        <f>INDEX(Employee!H:H,MATCH(AK154,Employee!B:B,0))</f>
        <v>#N/A</v>
      </c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  <c r="BR154"/>
      <c r="BS154"/>
      <c r="BT154"/>
      <c r="BU154"/>
      <c r="BV154"/>
      <c r="BW154"/>
      <c r="BX154"/>
      <c r="BY154"/>
      <c r="BZ154"/>
      <c r="CA154"/>
      <c r="CB154"/>
      <c r="CC154"/>
      <c r="CD154"/>
      <c r="CE154"/>
      <c r="CF154"/>
      <c r="CG154"/>
      <c r="CH154" s="6"/>
      <c r="CI154"/>
      <c r="CJ154"/>
      <c r="CK154"/>
      <c r="CL154"/>
      <c r="CM154"/>
      <c r="CN154"/>
      <c r="CO154"/>
      <c r="CP154"/>
      <c r="CQ154"/>
      <c r="CR154"/>
      <c r="CS154"/>
      <c r="CT154"/>
      <c r="CU154"/>
      <c r="CV154"/>
      <c r="CW154"/>
      <c r="CX154" s="6"/>
    </row>
    <row r="155" spans="1:102" s="4" customFormat="1" hidden="1">
      <c r="A155" s="3">
        <f t="shared" si="9"/>
        <v>154</v>
      </c>
      <c r="B155" s="4" t="s">
        <v>16</v>
      </c>
      <c r="C155" s="4" t="s">
        <v>3</v>
      </c>
      <c r="D155" s="4" t="str">
        <f>INDEX(Employee!E:E,MATCH(AK155,Employee!B:B,0))</f>
        <v>CTD</v>
      </c>
      <c r="E155" s="4" t="str">
        <f>INDEX(Employee!F:F,MATCH(AK155,Employee!B:B,0))</f>
        <v>CTD</v>
      </c>
      <c r="F155" s="4" t="str">
        <f>INDEX(Employee!G:G,MATCH(AK155,Employee!B:B,0))</f>
        <v>CTD</v>
      </c>
      <c r="G155" s="4" t="s">
        <v>15</v>
      </c>
      <c r="H155" s="4" t="s">
        <v>473</v>
      </c>
      <c r="I155" s="4" t="str">
        <f t="shared" si="10"/>
        <v>MON0048</v>
      </c>
      <c r="J155" s="4" t="s">
        <v>107</v>
      </c>
      <c r="K155" s="4" t="s">
        <v>108</v>
      </c>
      <c r="L155" s="7"/>
      <c r="M155" s="7"/>
      <c r="N155" s="13" t="b">
        <v>0</v>
      </c>
      <c r="O155" s="13" t="b">
        <v>0</v>
      </c>
      <c r="P155" s="15" t="s">
        <v>474</v>
      </c>
      <c r="Q155" s="14">
        <v>45622</v>
      </c>
      <c r="R155" s="4" t="s">
        <v>102</v>
      </c>
      <c r="S155" s="10">
        <v>4310000</v>
      </c>
      <c r="T155" s="4" t="e">
        <f>INDEX(Employee!#REF!,MATCH(U155,Employee!#REF!,0))</f>
        <v>#REF!</v>
      </c>
      <c r="U155" s="4" t="s">
        <v>195</v>
      </c>
      <c r="V155" s="4" t="e">
        <f>INDEX(Employee!#REF!,MATCH(U155,Employee!#REF!,0))</f>
        <v>#REF!</v>
      </c>
      <c r="W155" s="4" t="e">
        <f>INDEX(Employee!#REF!,MATCH(U155,Employee!#REF!,0))</f>
        <v>#REF!</v>
      </c>
      <c r="X155" s="4" t="e">
        <f>INDEX(Employee!#REF!,MATCH(U155,Employee!#REF!,0))</f>
        <v>#REF!</v>
      </c>
      <c r="AJ155" s="4" t="str">
        <f>INDEX(Employee!C:C,MATCH(AK155,Employee!B:B,0))</f>
        <v>Nguyễn Thị My Sa</v>
      </c>
      <c r="AK155" s="4" t="s">
        <v>475</v>
      </c>
      <c r="AL155" s="4" t="str">
        <f>INDEX(Employee!D:D,MATCH(AK155,Employee!B:B,0))</f>
        <v>HR Business Partner</v>
      </c>
      <c r="AM155" s="4" t="str">
        <f>INDEX(Employee!F:F,MATCH(AK155,Employee!B:B,0))</f>
        <v>CTD</v>
      </c>
      <c r="AN155" s="4" t="str">
        <f>INDEX(Employee!H:H,MATCH(AK155,Employee!B:B,0))</f>
        <v>Nguyễn Trình Thùy Trang</v>
      </c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  <c r="BR155"/>
      <c r="BS155"/>
      <c r="BT155"/>
      <c r="BU155"/>
      <c r="BV155"/>
      <c r="BW155"/>
      <c r="BX155"/>
      <c r="BY155"/>
      <c r="BZ155"/>
      <c r="CA155"/>
      <c r="CB155"/>
      <c r="CC155"/>
      <c r="CD155"/>
      <c r="CE155"/>
      <c r="CF155"/>
      <c r="CG155"/>
      <c r="CH155" s="6"/>
      <c r="CI155"/>
      <c r="CJ155"/>
      <c r="CK155"/>
      <c r="CL155"/>
      <c r="CM155"/>
      <c r="CN155"/>
      <c r="CO155"/>
      <c r="CP155"/>
      <c r="CQ155"/>
      <c r="CR155"/>
      <c r="CS155"/>
      <c r="CT155"/>
      <c r="CU155"/>
      <c r="CV155"/>
      <c r="CW155"/>
      <c r="CX155" s="6"/>
    </row>
    <row r="156" spans="1:102" s="4" customFormat="1" hidden="1">
      <c r="A156" s="3">
        <f t="shared" si="9"/>
        <v>155</v>
      </c>
      <c r="B156" s="4" t="s">
        <v>16</v>
      </c>
      <c r="C156" s="4" t="s">
        <v>3</v>
      </c>
      <c r="D156" s="4" t="str">
        <f>INDEX(Employee!E:E,MATCH(AK156,Employee!B:B,0))</f>
        <v>BO</v>
      </c>
      <c r="E156" s="4" t="str">
        <f>INDEX(Employee!F:F,MATCH(AK156,Employee!B:B,0))</f>
        <v>Business Support</v>
      </c>
      <c r="F156" s="4" t="str">
        <f>INDEX(Employee!G:G,MATCH(AK156,Employee!B:B,0))</f>
        <v>Operation Team</v>
      </c>
      <c r="G156" s="4" t="s">
        <v>15</v>
      </c>
      <c r="H156" s="4" t="s">
        <v>476</v>
      </c>
      <c r="I156" s="4" t="s">
        <v>477</v>
      </c>
      <c r="J156" s="4" t="s">
        <v>107</v>
      </c>
      <c r="K156" s="4" t="s">
        <v>108</v>
      </c>
      <c r="L156" s="7"/>
      <c r="M156" s="7"/>
      <c r="N156" s="13" t="b">
        <v>0</v>
      </c>
      <c r="O156" s="13" t="b">
        <v>0</v>
      </c>
      <c r="P156" s="15" t="s">
        <v>478</v>
      </c>
      <c r="Q156" s="14">
        <v>45622</v>
      </c>
      <c r="R156" s="4" t="s">
        <v>102</v>
      </c>
      <c r="S156" s="10">
        <v>4192223</v>
      </c>
      <c r="T156" s="4" t="e">
        <f>INDEX(Employee!#REF!,MATCH(U156,Employee!#REF!,0))</f>
        <v>#REF!</v>
      </c>
      <c r="U156" s="4" t="s">
        <v>195</v>
      </c>
      <c r="V156" s="4" t="e">
        <f>INDEX(Employee!#REF!,MATCH(U156,Employee!#REF!,0))</f>
        <v>#REF!</v>
      </c>
      <c r="W156" s="4" t="e">
        <f>INDEX(Employee!#REF!,MATCH(U156,Employee!#REF!,0))</f>
        <v>#REF!</v>
      </c>
      <c r="X156" s="4" t="e">
        <f>INDEX(Employee!#REF!,MATCH(U156,Employee!#REF!,0))</f>
        <v>#REF!</v>
      </c>
      <c r="AJ156" s="4" t="str">
        <f>INDEX(Employee!C:C,MATCH(AK156,Employee!B:B,0))</f>
        <v>Đoàn Hà Mi</v>
      </c>
      <c r="AK156" s="4" t="s">
        <v>345</v>
      </c>
      <c r="AL156" s="4" t="str">
        <f>INDEX(Employee!D:D,MATCH(AK156,Employee!B:B,0))</f>
        <v>Admin &amp; Office Manager</v>
      </c>
      <c r="AM156" s="4" t="str">
        <f>INDEX(Employee!F:F,MATCH(AK156,Employee!B:B,0))</f>
        <v>Business Support</v>
      </c>
      <c r="AN156" s="4" t="str">
        <f>INDEX(Employee!H:H,MATCH(AK156,Employee!B:B,0))</f>
        <v>Trần Huyền Thanh (thanhth5)</v>
      </c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  <c r="BR156"/>
      <c r="BS156"/>
      <c r="BT156"/>
      <c r="BU156"/>
      <c r="BV156"/>
      <c r="BW156"/>
      <c r="BX156"/>
      <c r="BY156"/>
      <c r="BZ156"/>
      <c r="CA156"/>
      <c r="CB156"/>
      <c r="CC156"/>
      <c r="CD156"/>
      <c r="CE156"/>
      <c r="CF156"/>
      <c r="CG156"/>
      <c r="CH156" s="6"/>
      <c r="CI156"/>
      <c r="CJ156"/>
      <c r="CK156"/>
      <c r="CL156"/>
      <c r="CM156"/>
      <c r="CN156"/>
      <c r="CO156"/>
      <c r="CP156"/>
      <c r="CQ156"/>
      <c r="CR156"/>
      <c r="CS156"/>
      <c r="CT156"/>
      <c r="CU156"/>
      <c r="CV156"/>
      <c r="CW156"/>
      <c r="CX156" s="6"/>
    </row>
    <row r="157" spans="1:102" s="4" customFormat="1" hidden="1">
      <c r="A157" s="3">
        <f t="shared" si="9"/>
        <v>156</v>
      </c>
      <c r="B157" s="4" t="s">
        <v>16</v>
      </c>
      <c r="C157" s="4" t="s">
        <v>3</v>
      </c>
      <c r="D157" s="4">
        <f>INDEX(Employee!E:E,MATCH(AK157,Employee!B:B,0))</f>
        <v>0</v>
      </c>
      <c r="E157" s="4" t="str">
        <f>INDEX(Employee!F:F,MATCH(AK157,Employee!B:B,0))</f>
        <v>Tech</v>
      </c>
      <c r="F157" s="4">
        <f>INDEX(Employee!G:G,MATCH(AK157,Employee!B:B,0))</f>
        <v>0</v>
      </c>
      <c r="G157" s="4" t="s">
        <v>119</v>
      </c>
      <c r="H157" s="4" t="s">
        <v>479</v>
      </c>
      <c r="I157" s="4" t="str">
        <f t="shared" ref="I157:I190" si="11">IF(I156="","", "MON"&amp;TEXT(VALUE(RIGHT(I156,4))+1,"0000"))</f>
        <v>MON0051</v>
      </c>
      <c r="J157" s="4" t="s">
        <v>107</v>
      </c>
      <c r="K157" s="7" t="s">
        <v>108</v>
      </c>
      <c r="L157" s="7"/>
      <c r="M157" s="7"/>
      <c r="N157" s="13" t="b">
        <v>1</v>
      </c>
      <c r="O157" s="13" t="b">
        <v>0</v>
      </c>
      <c r="P157" s="15" t="s">
        <v>480</v>
      </c>
      <c r="Q157" s="14">
        <v>45622</v>
      </c>
      <c r="R157" s="4" t="s">
        <v>102</v>
      </c>
      <c r="S157" s="10">
        <v>4192223</v>
      </c>
      <c r="T157" s="4" t="e">
        <f>INDEX(Employee!#REF!,MATCH(U157,Employee!#REF!,0))</f>
        <v>#REF!</v>
      </c>
      <c r="U157" s="4" t="s">
        <v>195</v>
      </c>
      <c r="V157" s="4" t="e">
        <f>INDEX(Employee!#REF!,MATCH(U157,Employee!#REF!,0))</f>
        <v>#REF!</v>
      </c>
      <c r="W157" s="4" t="e">
        <f>INDEX(Employee!#REF!,MATCH(U157,Employee!#REF!,0))</f>
        <v>#REF!</v>
      </c>
      <c r="X157" s="4" t="e">
        <f>INDEX(Employee!#REF!,MATCH(U157,Employee!#REF!,0))</f>
        <v>#REF!</v>
      </c>
      <c r="AJ157" s="4" t="str">
        <f>INDEX(Employee!C:C,MATCH(AK157,Employee!B:B,0))</f>
        <v>Lương Minh Hoàng</v>
      </c>
      <c r="AK157" s="4" t="s">
        <v>481</v>
      </c>
      <c r="AL157" s="4" t="str">
        <f>INDEX(Employee!D:D,MATCH(AK157,Employee!B:B,0))</f>
        <v>Lead Software Engineer</v>
      </c>
      <c r="AM157" s="4" t="str">
        <f>INDEX(Employee!F:F,MATCH(AK157,Employee!B:B,0))</f>
        <v>Tech</v>
      </c>
      <c r="AN157" s="4" t="str">
        <f>INDEX(Employee!H:H,MATCH(AK157,Employee!B:B,0))</f>
        <v>Nguyễn Ngọc Châu Sang</v>
      </c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  <c r="BR157"/>
      <c r="BS157"/>
      <c r="BT157"/>
      <c r="BU157"/>
      <c r="BV157"/>
      <c r="BW157"/>
      <c r="BX157"/>
      <c r="BY157"/>
      <c r="BZ157"/>
      <c r="CA157"/>
      <c r="CB157"/>
      <c r="CC157"/>
      <c r="CD157"/>
      <c r="CE157"/>
      <c r="CF157"/>
      <c r="CG157"/>
      <c r="CH157" s="6"/>
      <c r="CI157"/>
      <c r="CJ157"/>
      <c r="CK157"/>
      <c r="CL157"/>
      <c r="CM157"/>
      <c r="CN157"/>
      <c r="CO157"/>
      <c r="CP157"/>
      <c r="CQ157"/>
      <c r="CR157"/>
      <c r="CS157"/>
      <c r="CT157"/>
      <c r="CU157"/>
      <c r="CV157"/>
      <c r="CW157"/>
      <c r="CX157" s="6"/>
    </row>
    <row r="158" spans="1:102" s="4" customFormat="1">
      <c r="A158" s="3">
        <f t="shared" si="9"/>
        <v>157</v>
      </c>
      <c r="B158" s="4" t="s">
        <v>16</v>
      </c>
      <c r="C158" s="4" t="s">
        <v>3</v>
      </c>
      <c r="D158" s="4" t="str">
        <f>INDEX(Employee!E:E,MATCH(AK158,Employee!B:B,0))</f>
        <v>Project</v>
      </c>
      <c r="E158" s="4" t="str">
        <f>INDEX(Employee!F:F,MATCH(AK158,Employee!B:B,0))</f>
        <v>Tech</v>
      </c>
      <c r="F158" s="4" t="str">
        <f>INDEX(Employee!G:G,MATCH(AK158,Employee!B:B,0))</f>
        <v>Venture</v>
      </c>
      <c r="G158" s="4" t="s">
        <v>15</v>
      </c>
      <c r="H158" s="4" t="s">
        <v>482</v>
      </c>
      <c r="I158" s="4" t="str">
        <f t="shared" si="11"/>
        <v>MON0052</v>
      </c>
      <c r="J158" s="4" t="s">
        <v>107</v>
      </c>
      <c r="K158" s="7" t="s">
        <v>108</v>
      </c>
      <c r="L158" s="7"/>
      <c r="M158" s="7"/>
      <c r="N158" s="13" t="b">
        <v>0</v>
      </c>
      <c r="O158" s="13" t="b">
        <v>0</v>
      </c>
      <c r="P158" s="15" t="s">
        <v>483</v>
      </c>
      <c r="Q158" s="14">
        <v>45622</v>
      </c>
      <c r="R158" s="4" t="s">
        <v>102</v>
      </c>
      <c r="S158" s="10">
        <v>4312000</v>
      </c>
      <c r="T158" s="4" t="e">
        <f>INDEX(Employee!#REF!,MATCH(U158,Employee!#REF!,0))</f>
        <v>#REF!</v>
      </c>
      <c r="U158" s="4" t="s">
        <v>195</v>
      </c>
      <c r="V158" s="4" t="e">
        <f>INDEX(Employee!#REF!,MATCH(U158,Employee!#REF!,0))</f>
        <v>#REF!</v>
      </c>
      <c r="W158" s="4" t="e">
        <f>INDEX(Employee!#REF!,MATCH(U158,Employee!#REF!,0))</f>
        <v>#REF!</v>
      </c>
      <c r="X158" s="4" t="e">
        <f>INDEX(Employee!#REF!,MATCH(U158,Employee!#REF!,0))</f>
        <v>#REF!</v>
      </c>
      <c r="AJ158" s="4" t="str">
        <f>INDEX(Employee!C:C,MATCH(AK158,Employee!B:B,0))</f>
        <v>Phạm Thị Trúc Linh</v>
      </c>
      <c r="AK158" s="4" t="s">
        <v>292</v>
      </c>
      <c r="AL158" s="4" t="str">
        <f>INDEX(Employee!D:D,MATCH(AK158,Employee!B:B,0))</f>
        <v>Associate QC Engineer</v>
      </c>
      <c r="AM158" s="4" t="str">
        <f>INDEX(Employee!F:F,MATCH(AK158,Employee!B:B,0))</f>
        <v>Tech</v>
      </c>
      <c r="AN158" s="4" t="str">
        <f>INDEX(Employee!H:H,MATCH(AK158,Employee!B:B,0))</f>
        <v>Nguyễn Khánh Vy</v>
      </c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  <c r="BR158"/>
      <c r="BS158"/>
      <c r="BT158"/>
      <c r="BU158"/>
      <c r="BV158"/>
      <c r="BW158"/>
      <c r="BX158"/>
      <c r="BY158"/>
      <c r="BZ158"/>
      <c r="CA158"/>
      <c r="CB158"/>
      <c r="CC158"/>
      <c r="CD158"/>
      <c r="CE158"/>
      <c r="CF158"/>
      <c r="CG158"/>
      <c r="CH158" s="6"/>
      <c r="CI158"/>
      <c r="CJ158"/>
      <c r="CK158"/>
      <c r="CL158"/>
      <c r="CM158"/>
      <c r="CN158"/>
      <c r="CO158"/>
      <c r="CP158"/>
      <c r="CQ158"/>
      <c r="CR158"/>
      <c r="CS158"/>
      <c r="CT158"/>
      <c r="CU158"/>
      <c r="CV158"/>
      <c r="CW158"/>
      <c r="CX158" s="6"/>
    </row>
    <row r="159" spans="1:102" s="4" customFormat="1" hidden="1">
      <c r="A159" s="3">
        <f t="shared" si="9"/>
        <v>158</v>
      </c>
      <c r="B159" s="4" t="s">
        <v>16</v>
      </c>
      <c r="C159" s="4" t="s">
        <v>3</v>
      </c>
      <c r="D159" s="4">
        <f>INDEX(Employee!E:E,MATCH(AK159,Employee!B:B,0))</f>
        <v>0</v>
      </c>
      <c r="E159" s="4" t="str">
        <f>INDEX(Employee!F:F,MATCH(AK159,Employee!B:B,0))</f>
        <v>IPL</v>
      </c>
      <c r="F159" s="4">
        <f>INDEX(Employee!G:G,MATCH(AK159,Employee!B:B,0))</f>
        <v>0</v>
      </c>
      <c r="G159" s="4" t="s">
        <v>119</v>
      </c>
      <c r="H159" s="4" t="s">
        <v>484</v>
      </c>
      <c r="I159" s="4" t="str">
        <f t="shared" si="11"/>
        <v>MON0053</v>
      </c>
      <c r="J159" s="4" t="s">
        <v>107</v>
      </c>
      <c r="K159" s="7" t="s">
        <v>485</v>
      </c>
      <c r="L159" s="7"/>
      <c r="M159" s="7"/>
      <c r="N159" s="13" t="b">
        <v>0</v>
      </c>
      <c r="O159" s="13" t="b">
        <v>0</v>
      </c>
      <c r="P159" s="15" t="s">
        <v>486</v>
      </c>
      <c r="Q159" s="14">
        <v>42621</v>
      </c>
      <c r="R159" s="4" t="s">
        <v>102</v>
      </c>
      <c r="S159" s="10">
        <v>287960</v>
      </c>
      <c r="T159" s="4" t="e">
        <f>INDEX(Employee!#REF!,MATCH(U159,Employee!#REF!,0))</f>
        <v>#REF!</v>
      </c>
      <c r="U159" s="4" t="s">
        <v>195</v>
      </c>
      <c r="V159" s="4" t="e">
        <f>INDEX(Employee!#REF!,MATCH(U159,Employee!#REF!,0))</f>
        <v>#REF!</v>
      </c>
      <c r="W159" s="4" t="e">
        <f>INDEX(Employee!#REF!,MATCH(U159,Employee!#REF!,0))</f>
        <v>#REF!</v>
      </c>
      <c r="X159" s="4" t="e">
        <f>INDEX(Employee!#REF!,MATCH(U159,Employee!#REF!,0))</f>
        <v>#REF!</v>
      </c>
      <c r="AJ159" s="4" t="str">
        <f>INDEX(Employee!C:C,MATCH(AK159,Employee!B:B,0))</f>
        <v>IPL Meeting Room</v>
      </c>
      <c r="AK159" s="4" t="s">
        <v>487</v>
      </c>
      <c r="AL159" s="4" t="str">
        <f>INDEX(Employee!D:D,MATCH(AK159,Employee!B:B,0))</f>
        <v>IPL</v>
      </c>
      <c r="AM159" s="4" t="str">
        <f>INDEX(Employee!F:F,MATCH(AK159,Employee!B:B,0))</f>
        <v>IPL</v>
      </c>
      <c r="AN159" s="4" t="str">
        <f>INDEX(Employee!H:H,MATCH(AK159,Employee!B:B,0))</f>
        <v>IPL</v>
      </c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  <c r="BR159"/>
      <c r="BS159"/>
      <c r="BT159"/>
      <c r="BU159"/>
      <c r="BV159"/>
      <c r="BW159"/>
      <c r="BX159"/>
      <c r="BY159"/>
      <c r="BZ159"/>
      <c r="CA159"/>
      <c r="CB159"/>
      <c r="CC159"/>
      <c r="CD159"/>
      <c r="CE159"/>
      <c r="CF159"/>
      <c r="CG159"/>
      <c r="CH159" s="6"/>
      <c r="CI159"/>
      <c r="CJ159"/>
      <c r="CK159"/>
      <c r="CL159"/>
      <c r="CM159"/>
      <c r="CN159"/>
      <c r="CO159"/>
      <c r="CP159"/>
      <c r="CQ159"/>
      <c r="CR159"/>
      <c r="CS159"/>
      <c r="CT159"/>
      <c r="CU159"/>
      <c r="CV159"/>
      <c r="CW159"/>
      <c r="CX159" s="6"/>
    </row>
    <row r="160" spans="1:102" s="4" customFormat="1" hidden="1">
      <c r="A160" s="3">
        <f t="shared" si="9"/>
        <v>159</v>
      </c>
      <c r="B160" s="4" t="s">
        <v>16</v>
      </c>
      <c r="C160" s="4" t="s">
        <v>4</v>
      </c>
      <c r="D160" s="4" t="str">
        <f>INDEX(Employee!E:E,MATCH(AK160,Employee!B:B,0))</f>
        <v>Undirect IT Staff</v>
      </c>
      <c r="E160" s="4" t="str">
        <f>INDEX(Employee!F:F,MATCH(AK160,Employee!B:B,0))</f>
        <v>Tech</v>
      </c>
      <c r="F160" s="4" t="str">
        <f>INDEX(Employee!G:G,MATCH(AK160,Employee!B:B,0))</f>
        <v>Odoo</v>
      </c>
      <c r="G160" s="4" t="s">
        <v>15</v>
      </c>
      <c r="H160" s="4" t="s">
        <v>488</v>
      </c>
      <c r="I160" s="4" t="str">
        <f t="shared" si="11"/>
        <v>MON0054</v>
      </c>
      <c r="J160" s="4" t="s">
        <v>107</v>
      </c>
      <c r="K160" s="7" t="s">
        <v>485</v>
      </c>
      <c r="L160" s="7"/>
      <c r="M160" s="7"/>
      <c r="N160" s="13" t="b">
        <v>0</v>
      </c>
      <c r="O160" s="13" t="b">
        <v>0</v>
      </c>
      <c r="P160" s="15" t="s">
        <v>489</v>
      </c>
      <c r="Q160" s="14">
        <v>42621</v>
      </c>
      <c r="R160" s="4" t="s">
        <v>102</v>
      </c>
      <c r="S160" s="10">
        <v>287960</v>
      </c>
      <c r="T160" s="4" t="e">
        <f>INDEX(Employee!#REF!,MATCH(U160,Employee!#REF!,0))</f>
        <v>#REF!</v>
      </c>
      <c r="U160" s="4" t="s">
        <v>195</v>
      </c>
      <c r="V160" s="4" t="e">
        <f>INDEX(Employee!#REF!,MATCH(U160,Employee!#REF!,0))</f>
        <v>#REF!</v>
      </c>
      <c r="W160" s="4" t="e">
        <f>INDEX(Employee!#REF!,MATCH(U160,Employee!#REF!,0))</f>
        <v>#REF!</v>
      </c>
      <c r="X160" s="4" t="e">
        <f>INDEX(Employee!#REF!,MATCH(U160,Employee!#REF!,0))</f>
        <v>#REF!</v>
      </c>
      <c r="AJ160" s="4" t="str">
        <f>INDEX(Employee!C:C,MATCH(AK160,Employee!B:B,0))</f>
        <v>Nguyễn Ngọc Trinh</v>
      </c>
      <c r="AK160" s="4" t="s">
        <v>457</v>
      </c>
      <c r="AL160" s="4" t="str">
        <f>INDEX(Employee!D:D,MATCH(AK160,Employee!B:B,0))</f>
        <v>Fresher QC Engineer</v>
      </c>
      <c r="AM160" s="4" t="str">
        <f>INDEX(Employee!F:F,MATCH(AK160,Employee!B:B,0))</f>
        <v>Tech</v>
      </c>
      <c r="AN160" s="4" t="str">
        <f>INDEX(Employee!H:H,MATCH(AK160,Employee!B:B,0))</f>
        <v>Dương Phạm Thành Công (congdpt)</v>
      </c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  <c r="BR160"/>
      <c r="BS160"/>
      <c r="BT160"/>
      <c r="BU160"/>
      <c r="BV160"/>
      <c r="BW160"/>
      <c r="BX160"/>
      <c r="BY160"/>
      <c r="BZ160"/>
      <c r="CA160"/>
      <c r="CB160"/>
      <c r="CC160"/>
      <c r="CD160"/>
      <c r="CE160"/>
      <c r="CF160"/>
      <c r="CG160"/>
      <c r="CH160" s="6"/>
      <c r="CI160"/>
      <c r="CJ160"/>
      <c r="CK160"/>
      <c r="CL160"/>
      <c r="CM160"/>
      <c r="CN160"/>
      <c r="CO160"/>
      <c r="CP160"/>
      <c r="CQ160"/>
      <c r="CR160"/>
      <c r="CS160"/>
      <c r="CT160"/>
      <c r="CU160"/>
      <c r="CV160"/>
      <c r="CW160"/>
      <c r="CX160" s="6"/>
    </row>
    <row r="161" spans="1:102" s="4" customFormat="1" hidden="1">
      <c r="A161" s="3">
        <f t="shared" si="9"/>
        <v>160</v>
      </c>
      <c r="B161" s="4" t="s">
        <v>16</v>
      </c>
      <c r="C161" s="4" t="s">
        <v>4</v>
      </c>
      <c r="D161" s="4" t="e">
        <f>INDEX(Employee!E:E,MATCH(AK161,Employee!B:B,0))</f>
        <v>#N/A</v>
      </c>
      <c r="E161" s="4" t="e">
        <f>INDEX(Employee!F:F,MATCH(AK161,Employee!B:B,0))</f>
        <v>#N/A</v>
      </c>
      <c r="F161" s="4" t="e">
        <f>INDEX(Employee!G:G,MATCH(AK161,Employee!B:B,0))</f>
        <v>#N/A</v>
      </c>
      <c r="G161" s="4" t="s">
        <v>15</v>
      </c>
      <c r="H161" s="4" t="s">
        <v>490</v>
      </c>
      <c r="I161" s="4" t="str">
        <f>IF(I160="","", "MON"&amp;TEXT(VALUE(RIGHT(I160,4))+1,"0000"))</f>
        <v>MON0055</v>
      </c>
      <c r="J161" s="4" t="s">
        <v>107</v>
      </c>
      <c r="K161" s="7" t="s">
        <v>485</v>
      </c>
      <c r="L161" s="7"/>
      <c r="M161" s="7"/>
      <c r="N161" s="13" t="b">
        <v>0</v>
      </c>
      <c r="O161" s="13" t="b">
        <v>0</v>
      </c>
      <c r="P161" s="15" t="s">
        <v>491</v>
      </c>
      <c r="Q161" s="14">
        <v>42621</v>
      </c>
      <c r="R161" s="4" t="s">
        <v>102</v>
      </c>
      <c r="S161" s="10">
        <v>287960</v>
      </c>
      <c r="T161" s="4" t="e">
        <f>INDEX(Employee!#REF!,MATCH(U161,Employee!#REF!,0))</f>
        <v>#REF!</v>
      </c>
      <c r="U161" s="4" t="s">
        <v>195</v>
      </c>
      <c r="V161" s="4" t="e">
        <f>INDEX(Employee!#REF!,MATCH(U161,Employee!#REF!,0))</f>
        <v>#REF!</v>
      </c>
      <c r="W161" s="4" t="e">
        <f>INDEX(Employee!#REF!,MATCH(U161,Employee!#REF!,0))</f>
        <v>#REF!</v>
      </c>
      <c r="X161" s="4" t="e">
        <f>INDEX(Employee!#REF!,MATCH(U161,Employee!#REF!,0))</f>
        <v>#REF!</v>
      </c>
      <c r="AJ161" s="4" t="e">
        <f>INDEX(Employee!C:C,MATCH(AK161,Employee!B:B,0))</f>
        <v>#N/A</v>
      </c>
      <c r="AL161" s="4" t="e">
        <f>INDEX(Employee!D:D,MATCH(AK161,Employee!B:B,0))</f>
        <v>#N/A</v>
      </c>
      <c r="AM161" s="4" t="e">
        <f>INDEX(Employee!F:F,MATCH(AK161,Employee!B:B,0))</f>
        <v>#N/A</v>
      </c>
      <c r="AN161" s="4" t="e">
        <f>INDEX(Employee!H:H,MATCH(AK161,Employee!B:B,0))</f>
        <v>#N/A</v>
      </c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  <c r="BR161"/>
      <c r="BS161"/>
      <c r="BT161"/>
      <c r="BU161"/>
      <c r="BV161"/>
      <c r="BW161"/>
      <c r="BX161"/>
      <c r="BY161"/>
      <c r="BZ161"/>
      <c r="CA161"/>
      <c r="CB161"/>
      <c r="CC161"/>
      <c r="CD161"/>
      <c r="CE161"/>
      <c r="CF161"/>
      <c r="CG161"/>
      <c r="CH161" s="6"/>
      <c r="CI161"/>
      <c r="CJ161"/>
      <c r="CK161"/>
      <c r="CL161"/>
      <c r="CM161"/>
      <c r="CN161"/>
      <c r="CO161"/>
      <c r="CP161"/>
      <c r="CQ161"/>
      <c r="CR161"/>
      <c r="CS161"/>
      <c r="CT161"/>
      <c r="CU161"/>
      <c r="CV161"/>
      <c r="CW161"/>
      <c r="CX161" s="6"/>
    </row>
    <row r="162" spans="1:102" s="4" customFormat="1" hidden="1">
      <c r="A162" s="3">
        <f t="shared" si="9"/>
        <v>161</v>
      </c>
      <c r="B162" s="4" t="s">
        <v>16</v>
      </c>
      <c r="C162" s="4" t="s">
        <v>3</v>
      </c>
      <c r="D162" s="4" t="str">
        <f>INDEX(Employee!E:E,MATCH(AK162,Employee!B:B,0))</f>
        <v>Undirect IT Staff</v>
      </c>
      <c r="E162" s="4" t="str">
        <f>INDEX(Employee!F:F,MATCH(AK162,Employee!B:B,0))</f>
        <v>Tech</v>
      </c>
      <c r="F162" s="4" t="str">
        <f>INDEX(Employee!G:G,MATCH(AK162,Employee!B:B,0))</f>
        <v>Odoo</v>
      </c>
      <c r="G162" s="4" t="s">
        <v>15</v>
      </c>
      <c r="H162" s="4" t="s">
        <v>492</v>
      </c>
      <c r="I162" s="4" t="str">
        <f t="shared" si="11"/>
        <v>MON0056</v>
      </c>
      <c r="J162" s="4" t="s">
        <v>107</v>
      </c>
      <c r="K162" s="7" t="s">
        <v>367</v>
      </c>
      <c r="L162" s="7"/>
      <c r="M162" s="7"/>
      <c r="N162" s="13" t="b">
        <v>0</v>
      </c>
      <c r="O162" s="13" t="b">
        <v>0</v>
      </c>
      <c r="P162" s="15" t="s">
        <v>493</v>
      </c>
      <c r="Q162" s="14">
        <v>44628</v>
      </c>
      <c r="R162" s="4" t="s">
        <v>102</v>
      </c>
      <c r="S162" s="10">
        <v>481818</v>
      </c>
      <c r="T162" s="4" t="e">
        <f>INDEX(Employee!#REF!,MATCH(U162,Employee!#REF!,0))</f>
        <v>#REF!</v>
      </c>
      <c r="U162" s="4" t="s">
        <v>195</v>
      </c>
      <c r="V162" s="4" t="e">
        <f>INDEX(Employee!#REF!,MATCH(U162,Employee!#REF!,0))</f>
        <v>#REF!</v>
      </c>
      <c r="W162" s="4" t="e">
        <f>INDEX(Employee!#REF!,MATCH(U162,Employee!#REF!,0))</f>
        <v>#REF!</v>
      </c>
      <c r="X162" s="4" t="e">
        <f>INDEX(Employee!#REF!,MATCH(U162,Employee!#REF!,0))</f>
        <v>#REF!</v>
      </c>
      <c r="AJ162" s="4" t="str">
        <f>INDEX(Employee!C:C,MATCH(AK162,Employee!B:B,0))</f>
        <v>Đặng Thành Thái</v>
      </c>
      <c r="AK162" s="4" t="s">
        <v>252</v>
      </c>
      <c r="AL162" s="4" t="str">
        <f>INDEX(Employee!D:D,MATCH(AK162,Employee!B:B,0))</f>
        <v>Software Engineer</v>
      </c>
      <c r="AM162" s="4" t="str">
        <f>INDEX(Employee!F:F,MATCH(AK162,Employee!B:B,0))</f>
        <v>Tech</v>
      </c>
      <c r="AN162" s="4" t="str">
        <f>INDEX(Employee!H:H,MATCH(AK162,Employee!B:B,0))</f>
        <v>Dương Phạm Thành Công (congdpt)</v>
      </c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  <c r="BR162"/>
      <c r="BS162"/>
      <c r="BT162"/>
      <c r="BU162"/>
      <c r="BV162"/>
      <c r="BW162"/>
      <c r="BX162"/>
      <c r="BY162"/>
      <c r="BZ162"/>
      <c r="CA162"/>
      <c r="CB162"/>
      <c r="CC162"/>
      <c r="CD162"/>
      <c r="CE162"/>
      <c r="CF162"/>
      <c r="CG162"/>
      <c r="CH162" s="6"/>
      <c r="CI162"/>
      <c r="CJ162"/>
      <c r="CK162"/>
      <c r="CL162"/>
      <c r="CM162"/>
      <c r="CN162"/>
      <c r="CO162"/>
      <c r="CP162"/>
      <c r="CQ162"/>
      <c r="CR162"/>
      <c r="CS162"/>
      <c r="CT162"/>
      <c r="CU162"/>
      <c r="CV162"/>
      <c r="CW162"/>
      <c r="CX162" s="6"/>
    </row>
    <row r="163" spans="1:102" s="4" customFormat="1" hidden="1">
      <c r="A163" s="3">
        <f t="shared" si="9"/>
        <v>162</v>
      </c>
      <c r="B163" s="4" t="s">
        <v>16</v>
      </c>
      <c r="C163" s="4" t="s">
        <v>3</v>
      </c>
      <c r="D163" s="4" t="str">
        <f>INDEX(Employee!E:E,MATCH(AK163,Employee!B:B,0))</f>
        <v>Undirect IT Staff</v>
      </c>
      <c r="E163" s="4" t="str">
        <f>INDEX(Employee!F:F,MATCH(AK163,Employee!B:B,0))</f>
        <v>Tech</v>
      </c>
      <c r="F163" s="4" t="str">
        <f>INDEX(Employee!G:G,MATCH(AK163,Employee!B:B,0))</f>
        <v>Odoo</v>
      </c>
      <c r="G163" s="4" t="s">
        <v>15</v>
      </c>
      <c r="H163" s="4" t="s">
        <v>494</v>
      </c>
      <c r="I163" s="4" t="str">
        <f t="shared" si="11"/>
        <v>MON0057</v>
      </c>
      <c r="J163" s="4" t="s">
        <v>107</v>
      </c>
      <c r="K163" s="4" t="s">
        <v>367</v>
      </c>
      <c r="L163" s="7"/>
      <c r="M163" s="7"/>
      <c r="N163" s="13" t="b">
        <v>0</v>
      </c>
      <c r="O163" s="13" t="b">
        <v>0</v>
      </c>
      <c r="P163" s="15" t="s">
        <v>495</v>
      </c>
      <c r="Q163" s="14">
        <v>44628</v>
      </c>
      <c r="R163" s="4" t="s">
        <v>102</v>
      </c>
      <c r="S163" s="10">
        <v>480000</v>
      </c>
      <c r="T163" s="4" t="e">
        <f>INDEX(Employee!#REF!,MATCH(U163,Employee!#REF!,0))</f>
        <v>#REF!</v>
      </c>
      <c r="U163" s="4" t="s">
        <v>195</v>
      </c>
      <c r="V163" s="4" t="e">
        <f>INDEX(Employee!#REF!,MATCH(U163,Employee!#REF!,0))</f>
        <v>#REF!</v>
      </c>
      <c r="W163" s="4" t="e">
        <f>INDEX(Employee!#REF!,MATCH(U163,Employee!#REF!,0))</f>
        <v>#REF!</v>
      </c>
      <c r="X163" s="4" t="e">
        <f>INDEX(Employee!#REF!,MATCH(U163,Employee!#REF!,0))</f>
        <v>#REF!</v>
      </c>
      <c r="AJ163" s="4" t="str">
        <f>INDEX(Employee!C:C,MATCH(AK163,Employee!B:B,0))</f>
        <v>Nguyễn Quốc Trung</v>
      </c>
      <c r="AK163" s="4" t="s">
        <v>496</v>
      </c>
      <c r="AL163" s="4" t="str">
        <f>INDEX(Employee!D:D,MATCH(AK163,Employee!B:B,0))</f>
        <v>Fresher Software Engineer</v>
      </c>
      <c r="AM163" s="4" t="str">
        <f>INDEX(Employee!F:F,MATCH(AK163,Employee!B:B,0))</f>
        <v>Tech</v>
      </c>
      <c r="AN163" s="4" t="str">
        <f>INDEX(Employee!H:H,MATCH(AK163,Employee!B:B,0))</f>
        <v>Dương Phạm Thành Công (congdpt)</v>
      </c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  <c r="BR163"/>
      <c r="BS163"/>
      <c r="BT163"/>
      <c r="BU163"/>
      <c r="BV163"/>
      <c r="BW163"/>
      <c r="BX163"/>
      <c r="BY163"/>
      <c r="BZ163"/>
      <c r="CA163"/>
      <c r="CB163"/>
      <c r="CC163"/>
      <c r="CD163"/>
      <c r="CE163"/>
      <c r="CF163"/>
      <c r="CG163"/>
      <c r="CH163" s="6"/>
      <c r="CI163"/>
      <c r="CJ163"/>
      <c r="CK163"/>
      <c r="CL163"/>
      <c r="CM163"/>
      <c r="CN163"/>
      <c r="CO163"/>
      <c r="CP163"/>
      <c r="CQ163"/>
      <c r="CR163"/>
      <c r="CS163"/>
      <c r="CT163"/>
      <c r="CU163"/>
      <c r="CV163"/>
      <c r="CW163"/>
      <c r="CX163" s="6"/>
    </row>
    <row r="164" spans="1:102" s="4" customFormat="1" hidden="1">
      <c r="A164" s="3">
        <f t="shared" si="9"/>
        <v>163</v>
      </c>
      <c r="B164" s="4" t="s">
        <v>16</v>
      </c>
      <c r="C164" s="4" t="s">
        <v>3</v>
      </c>
      <c r="D164" s="4" t="str">
        <f>INDEX(Employee!E:E,MATCH(AK164,Employee!B:B,0))</f>
        <v>Project</v>
      </c>
      <c r="E164" s="4" t="str">
        <f>INDEX(Employee!F:F,MATCH(AK164,Employee!B:B,0))</f>
        <v>Tech</v>
      </c>
      <c r="F164" s="4" t="str">
        <f>INDEX(Employee!G:G,MATCH(AK164,Employee!B:B,0))</f>
        <v>Venture</v>
      </c>
      <c r="G164" s="4" t="s">
        <v>15</v>
      </c>
      <c r="H164" s="4" t="s">
        <v>497</v>
      </c>
      <c r="I164" s="4" t="str">
        <f t="shared" si="11"/>
        <v>MON0058</v>
      </c>
      <c r="J164" s="4" t="s">
        <v>107</v>
      </c>
      <c r="K164" s="7" t="s">
        <v>367</v>
      </c>
      <c r="L164" s="7"/>
      <c r="M164" s="7"/>
      <c r="N164" s="13" t="b">
        <v>0</v>
      </c>
      <c r="O164" s="13" t="b">
        <v>0</v>
      </c>
      <c r="P164" s="15" t="s">
        <v>498</v>
      </c>
      <c r="Q164" s="14">
        <v>44620</v>
      </c>
      <c r="R164" s="4" t="s">
        <v>102</v>
      </c>
      <c r="S164" s="10">
        <v>495455</v>
      </c>
      <c r="T164" s="4" t="e">
        <f>INDEX(Employee!#REF!,MATCH(U164,Employee!#REF!,0))</f>
        <v>#REF!</v>
      </c>
      <c r="U164" s="4" t="s">
        <v>195</v>
      </c>
      <c r="V164" s="4" t="e">
        <f>INDEX(Employee!#REF!,MATCH(U164,Employee!#REF!,0))</f>
        <v>#REF!</v>
      </c>
      <c r="W164" s="4" t="e">
        <f>INDEX(Employee!#REF!,MATCH(U164,Employee!#REF!,0))</f>
        <v>#REF!</v>
      </c>
      <c r="X164" s="4" t="e">
        <f>INDEX(Employee!#REF!,MATCH(U164,Employee!#REF!,0))</f>
        <v>#REF!</v>
      </c>
      <c r="AJ164" s="4" t="str">
        <f>INDEX(Employee!C:C,MATCH(AK164,Employee!B:B,0))</f>
        <v>Nguyễn Quý</v>
      </c>
      <c r="AK164" s="4" t="s">
        <v>181</v>
      </c>
      <c r="AL164" s="4" t="str">
        <f>INDEX(Employee!D:D,MATCH(AK164,Employee!B:B,0))</f>
        <v>Senior Software Engineer</v>
      </c>
      <c r="AM164" s="4" t="str">
        <f>INDEX(Employee!F:F,MATCH(AK164,Employee!B:B,0))</f>
        <v>Tech</v>
      </c>
      <c r="AN164" s="4" t="str">
        <f>INDEX(Employee!H:H,MATCH(AK164,Employee!B:B,0))</f>
        <v>Đoàn Nhật Duẩn (duandn)</v>
      </c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  <c r="BR164"/>
      <c r="BS164"/>
      <c r="BT164"/>
      <c r="BU164"/>
      <c r="BV164"/>
      <c r="BW164"/>
      <c r="BX164"/>
      <c r="BY164"/>
      <c r="BZ164"/>
      <c r="CA164"/>
      <c r="CB164"/>
      <c r="CC164"/>
      <c r="CD164"/>
      <c r="CE164"/>
      <c r="CF164"/>
      <c r="CG164"/>
      <c r="CH164" s="6"/>
      <c r="CI164"/>
      <c r="CJ164"/>
      <c r="CK164"/>
      <c r="CL164"/>
      <c r="CM164"/>
      <c r="CN164"/>
      <c r="CO164"/>
      <c r="CP164"/>
      <c r="CQ164"/>
      <c r="CR164"/>
      <c r="CS164"/>
      <c r="CT164"/>
      <c r="CU164"/>
      <c r="CV164"/>
      <c r="CW164"/>
      <c r="CX164" s="6"/>
    </row>
    <row r="165" spans="1:102" s="4" customFormat="1" hidden="1">
      <c r="A165" s="3">
        <f t="shared" si="9"/>
        <v>164</v>
      </c>
      <c r="B165" s="4" t="s">
        <v>16</v>
      </c>
      <c r="C165" s="4" t="s">
        <v>3</v>
      </c>
      <c r="D165" s="4">
        <f>INDEX(Employee!E:E,MATCH(AK165,Employee!B:B,0))</f>
        <v>0</v>
      </c>
      <c r="E165" s="4" t="str">
        <f>INDEX(Employee!F:F,MATCH(AK165,Employee!B:B,0))</f>
        <v>IPL</v>
      </c>
      <c r="F165" s="4">
        <f>INDEX(Employee!G:G,MATCH(AK165,Employee!B:B,0))</f>
        <v>0</v>
      </c>
      <c r="G165" s="4" t="s">
        <v>119</v>
      </c>
      <c r="H165" s="4" t="s">
        <v>499</v>
      </c>
      <c r="I165" s="4" t="str">
        <f t="shared" si="11"/>
        <v>MON0059</v>
      </c>
      <c r="J165" s="4" t="s">
        <v>107</v>
      </c>
      <c r="K165" s="7" t="s">
        <v>367</v>
      </c>
      <c r="L165" s="7"/>
      <c r="M165" s="7"/>
      <c r="N165" s="13" t="b">
        <v>0</v>
      </c>
      <c r="O165" s="13" t="b">
        <v>0</v>
      </c>
      <c r="P165" s="15" t="s">
        <v>500</v>
      </c>
      <c r="Q165" s="14">
        <v>44628</v>
      </c>
      <c r="R165" s="4" t="s">
        <v>102</v>
      </c>
      <c r="S165" s="10">
        <v>688132</v>
      </c>
      <c r="T165" s="4" t="e">
        <f>INDEX(Employee!#REF!,MATCH(U165,Employee!#REF!,0))</f>
        <v>#REF!</v>
      </c>
      <c r="U165" s="4" t="s">
        <v>195</v>
      </c>
      <c r="V165" s="4" t="e">
        <f>INDEX(Employee!#REF!,MATCH(U165,Employee!#REF!,0))</f>
        <v>#REF!</v>
      </c>
      <c r="W165" s="4" t="e">
        <f>INDEX(Employee!#REF!,MATCH(U165,Employee!#REF!,0))</f>
        <v>#REF!</v>
      </c>
      <c r="X165" s="4" t="e">
        <f>INDEX(Employee!#REF!,MATCH(U165,Employee!#REF!,0))</f>
        <v>#REF!</v>
      </c>
      <c r="AJ165" s="4" t="str">
        <f>INDEX(Employee!C:C,MATCH(AK165,Employee!B:B,0))</f>
        <v>Reception</v>
      </c>
      <c r="AK165" s="4" t="s">
        <v>501</v>
      </c>
      <c r="AL165" s="4" t="str">
        <f>INDEX(Employee!D:D,MATCH(AK165,Employee!B:B,0))</f>
        <v>IPL</v>
      </c>
      <c r="AM165" s="4" t="str">
        <f>INDEX(Employee!F:F,MATCH(AK165,Employee!B:B,0))</f>
        <v>IPL</v>
      </c>
      <c r="AN165" s="4" t="str">
        <f>INDEX(Employee!H:H,MATCH(AK165,Employee!B:B,0))</f>
        <v>IPL</v>
      </c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  <c r="BR165"/>
      <c r="BS165"/>
      <c r="BT165"/>
      <c r="BU165"/>
      <c r="BV165"/>
      <c r="BW165"/>
      <c r="BX165"/>
      <c r="BY165"/>
      <c r="BZ165"/>
      <c r="CA165"/>
      <c r="CB165"/>
      <c r="CC165"/>
      <c r="CD165"/>
      <c r="CE165"/>
      <c r="CF165"/>
      <c r="CG165"/>
      <c r="CH165" s="6"/>
      <c r="CI165"/>
      <c r="CJ165"/>
      <c r="CK165"/>
      <c r="CL165"/>
      <c r="CM165"/>
      <c r="CN165"/>
      <c r="CO165"/>
      <c r="CP165"/>
      <c r="CQ165"/>
      <c r="CR165"/>
      <c r="CS165"/>
      <c r="CT165"/>
      <c r="CU165"/>
      <c r="CV165"/>
      <c r="CW165"/>
      <c r="CX165" s="6"/>
    </row>
    <row r="166" spans="1:102" s="4" customFormat="1" hidden="1">
      <c r="A166" s="3">
        <f t="shared" si="9"/>
        <v>165</v>
      </c>
      <c r="B166" s="4" t="s">
        <v>16</v>
      </c>
      <c r="C166" s="4" t="s">
        <v>3</v>
      </c>
      <c r="D166" s="4">
        <f>INDEX(Employee!E:E,MATCH(AK166,Employee!B:B,0))</f>
        <v>0</v>
      </c>
      <c r="E166" s="4" t="str">
        <f>INDEX(Employee!F:F,MATCH(AK166,Employee!B:B,0))</f>
        <v>OP</v>
      </c>
      <c r="F166" s="4">
        <f>INDEX(Employee!G:G,MATCH(AK166,Employee!B:B,0))</f>
        <v>0</v>
      </c>
      <c r="G166" s="4" t="s">
        <v>119</v>
      </c>
      <c r="I166" s="4" t="str">
        <f t="shared" si="11"/>
        <v>MON0060</v>
      </c>
      <c r="J166" s="4" t="s">
        <v>107</v>
      </c>
      <c r="K166" s="4" t="s">
        <v>367</v>
      </c>
      <c r="L166" s="7"/>
      <c r="M166" s="7"/>
      <c r="N166" s="13" t="b">
        <v>1</v>
      </c>
      <c r="O166" s="13" t="b">
        <v>0</v>
      </c>
      <c r="P166" s="15" t="s">
        <v>502</v>
      </c>
      <c r="Q166" s="14">
        <v>44628</v>
      </c>
      <c r="R166" s="4" t="s">
        <v>102</v>
      </c>
      <c r="S166" s="10">
        <v>495455</v>
      </c>
      <c r="T166" s="4" t="e">
        <f>INDEX(Employee!#REF!,MATCH(U166,Employee!#REF!,0))</f>
        <v>#REF!</v>
      </c>
      <c r="U166" s="4" t="s">
        <v>195</v>
      </c>
      <c r="V166" s="4" t="e">
        <f>INDEX(Employee!#REF!,MATCH(U166,Employee!#REF!,0))</f>
        <v>#REF!</v>
      </c>
      <c r="W166" s="4" t="e">
        <f>INDEX(Employee!#REF!,MATCH(U166,Employee!#REF!,0))</f>
        <v>#REF!</v>
      </c>
      <c r="X166" s="4" t="e">
        <f>INDEX(Employee!#REF!,MATCH(U166,Employee!#REF!,0))</f>
        <v>#REF!</v>
      </c>
      <c r="AJ166" s="4" t="str">
        <f>INDEX(Employee!C:C,MATCH(AK166,Employee!B:B,0))</f>
        <v>Nguyễn Thành Trung</v>
      </c>
      <c r="AK166" s="4" t="s">
        <v>503</v>
      </c>
      <c r="AL166" s="4" t="str">
        <f>INDEX(Employee!D:D,MATCH(AK166,Employee!B:B,0))</f>
        <v>IT Service Management Specialist II</v>
      </c>
      <c r="AM166" s="4" t="str">
        <f>INDEX(Employee!F:F,MATCH(AK166,Employee!B:B,0))</f>
        <v>OP</v>
      </c>
      <c r="AN166" s="4" t="str">
        <f>INDEX(Employee!H:H,MATCH(AK166,Employee!B:B,0))</f>
        <v>Chu Văn Toàn (ToanCV)</v>
      </c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  <c r="BR166"/>
      <c r="BS166"/>
      <c r="BT166"/>
      <c r="BU166"/>
      <c r="BV166"/>
      <c r="BW166"/>
      <c r="BX166"/>
      <c r="BY166"/>
      <c r="BZ166"/>
      <c r="CA166"/>
      <c r="CB166"/>
      <c r="CC166"/>
      <c r="CD166"/>
      <c r="CE166"/>
      <c r="CF166"/>
      <c r="CG166"/>
      <c r="CH166" s="6"/>
      <c r="CI166"/>
      <c r="CJ166"/>
      <c r="CK166"/>
      <c r="CL166"/>
      <c r="CM166"/>
      <c r="CN166"/>
      <c r="CO166"/>
      <c r="CP166"/>
      <c r="CQ166"/>
      <c r="CR166"/>
      <c r="CS166"/>
      <c r="CT166"/>
      <c r="CU166"/>
      <c r="CV166"/>
      <c r="CW166"/>
      <c r="CX166" s="6"/>
    </row>
    <row r="167" spans="1:102" s="4" customFormat="1" hidden="1">
      <c r="A167" s="3">
        <f t="shared" si="9"/>
        <v>166</v>
      </c>
      <c r="B167" s="4" t="s">
        <v>16</v>
      </c>
      <c r="C167" s="4" t="s">
        <v>3</v>
      </c>
      <c r="D167" s="4" t="str">
        <f>INDEX(Employee!E:E,MATCH(AK167,Employee!B:B,0))</f>
        <v>CTD</v>
      </c>
      <c r="E167" s="4" t="str">
        <f>INDEX(Employee!F:F,MATCH(AK167,Employee!B:B,0))</f>
        <v>CTD</v>
      </c>
      <c r="F167" s="4" t="str">
        <f>INDEX(Employee!G:G,MATCH(AK167,Employee!B:B,0))</f>
        <v>CTD</v>
      </c>
      <c r="G167" s="4" t="s">
        <v>15</v>
      </c>
      <c r="H167" s="4" t="s">
        <v>504</v>
      </c>
      <c r="I167" s="4" t="str">
        <f t="shared" si="11"/>
        <v>MON0061</v>
      </c>
      <c r="J167" s="4" t="s">
        <v>107</v>
      </c>
      <c r="K167" s="4" t="s">
        <v>367</v>
      </c>
      <c r="L167" s="7"/>
      <c r="M167" s="7"/>
      <c r="N167" s="13" t="b">
        <v>0</v>
      </c>
      <c r="O167" s="13" t="b">
        <v>0</v>
      </c>
      <c r="P167" s="15" t="s">
        <v>505</v>
      </c>
      <c r="Q167" s="14">
        <v>44840</v>
      </c>
      <c r="R167" s="4" t="s">
        <v>102</v>
      </c>
      <c r="S167" s="10">
        <v>659092</v>
      </c>
      <c r="T167" s="4" t="e">
        <f>INDEX(Employee!#REF!,MATCH(U167,Employee!#REF!,0))</f>
        <v>#REF!</v>
      </c>
      <c r="U167" s="4" t="s">
        <v>195</v>
      </c>
      <c r="V167" s="4" t="e">
        <f>INDEX(Employee!#REF!,MATCH(U167,Employee!#REF!,0))</f>
        <v>#REF!</v>
      </c>
      <c r="W167" s="4" t="e">
        <f>INDEX(Employee!#REF!,MATCH(U167,Employee!#REF!,0))</f>
        <v>#REF!</v>
      </c>
      <c r="X167" s="4" t="e">
        <f>INDEX(Employee!#REF!,MATCH(U167,Employee!#REF!,0))</f>
        <v>#REF!</v>
      </c>
      <c r="AJ167" s="4" t="str">
        <f>INDEX(Employee!C:C,MATCH(AK167,Employee!B:B,0))</f>
        <v>Nguyễn Nhã Minh</v>
      </c>
      <c r="AK167" s="4" t="s">
        <v>262</v>
      </c>
      <c r="AL167" s="4" t="str">
        <f>INDEX(Employee!D:D,MATCH(AK167,Employee!B:B,0))</f>
        <v>Intern IT</v>
      </c>
      <c r="AM167" s="4" t="str">
        <f>INDEX(Employee!F:F,MATCH(AK167,Employee!B:B,0))</f>
        <v>CTD</v>
      </c>
      <c r="AN167" s="4">
        <f>INDEX(Employee!H:H,MATCH(AK167,Employee!B:B,0))</f>
        <v>0</v>
      </c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  <c r="BR167"/>
      <c r="BS167"/>
      <c r="BT167"/>
      <c r="BU167"/>
      <c r="BV167"/>
      <c r="BW167"/>
      <c r="BX167"/>
      <c r="BY167"/>
      <c r="BZ167"/>
      <c r="CA167"/>
      <c r="CB167"/>
      <c r="CC167"/>
      <c r="CD167"/>
      <c r="CE167"/>
      <c r="CF167"/>
      <c r="CG167"/>
      <c r="CH167" s="6"/>
      <c r="CI167"/>
      <c r="CJ167"/>
      <c r="CK167"/>
      <c r="CL167"/>
      <c r="CM167"/>
      <c r="CN167"/>
      <c r="CO167"/>
      <c r="CP167"/>
      <c r="CQ167"/>
      <c r="CR167"/>
      <c r="CS167"/>
      <c r="CT167"/>
      <c r="CU167"/>
      <c r="CV167"/>
      <c r="CW167"/>
      <c r="CX167" s="6"/>
    </row>
    <row r="168" spans="1:102" s="4" customFormat="1" hidden="1">
      <c r="A168" s="3">
        <f t="shared" si="9"/>
        <v>167</v>
      </c>
      <c r="B168" s="4" t="s">
        <v>16</v>
      </c>
      <c r="C168" s="4" t="s">
        <v>3</v>
      </c>
      <c r="D168" s="4" t="str">
        <f>INDEX(Employee!E:E,MATCH(AK168,Employee!B:B,0))</f>
        <v>BO</v>
      </c>
      <c r="E168" s="4" t="str">
        <f>INDEX(Employee!F:F,MATCH(AK168,Employee!B:B,0))</f>
        <v>Business Support</v>
      </c>
      <c r="F168" s="4" t="str">
        <f>INDEX(Employee!G:G,MATCH(AK168,Employee!B:B,0))</f>
        <v>Operation Team</v>
      </c>
      <c r="G168" s="4" t="s">
        <v>15</v>
      </c>
      <c r="H168" s="4" t="s">
        <v>506</v>
      </c>
      <c r="I168" s="4" t="str">
        <f t="shared" si="11"/>
        <v>MON0062</v>
      </c>
      <c r="J168" s="4" t="s">
        <v>107</v>
      </c>
      <c r="K168" s="7" t="s">
        <v>507</v>
      </c>
      <c r="L168" s="7"/>
      <c r="M168" s="7"/>
      <c r="N168" s="13" t="b">
        <v>0</v>
      </c>
      <c r="O168" s="13" t="b">
        <v>0</v>
      </c>
      <c r="P168" s="15" t="s">
        <v>508</v>
      </c>
      <c r="Q168" s="14">
        <v>44826</v>
      </c>
      <c r="R168" s="4" t="s">
        <v>102</v>
      </c>
      <c r="S168" s="10">
        <v>270000</v>
      </c>
      <c r="T168" s="4" t="e">
        <f>INDEX(Employee!#REF!,MATCH(U168,Employee!#REF!,0))</f>
        <v>#REF!</v>
      </c>
      <c r="U168" s="4" t="s">
        <v>195</v>
      </c>
      <c r="V168" s="4" t="e">
        <f>INDEX(Employee!#REF!,MATCH(U168,Employee!#REF!,0))</f>
        <v>#REF!</v>
      </c>
      <c r="W168" s="4" t="e">
        <f>INDEX(Employee!#REF!,MATCH(U168,Employee!#REF!,0))</f>
        <v>#REF!</v>
      </c>
      <c r="X168" s="4" t="e">
        <f>INDEX(Employee!#REF!,MATCH(U168,Employee!#REF!,0))</f>
        <v>#REF!</v>
      </c>
      <c r="AJ168" s="4" t="str">
        <f>INDEX(Employee!C:C,MATCH(AK168,Employee!B:B,0))</f>
        <v>Trương Nữ Ngọc Mai</v>
      </c>
      <c r="AK168" s="4" t="s">
        <v>219</v>
      </c>
      <c r="AL168" s="4" t="str">
        <f>INDEX(Employee!D:D,MATCH(AK168,Employee!B:B,0))</f>
        <v>Admin Executive</v>
      </c>
      <c r="AM168" s="4" t="str">
        <f>INDEX(Employee!F:F,MATCH(AK168,Employee!B:B,0))</f>
        <v>Business Support</v>
      </c>
      <c r="AN168" s="4" t="str">
        <f>INDEX(Employee!H:H,MATCH(AK168,Employee!B:B,0))</f>
        <v>Đoàn Hà Mi</v>
      </c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  <c r="BR168"/>
      <c r="BS168"/>
      <c r="BT168"/>
      <c r="BU168"/>
      <c r="BV168"/>
      <c r="BW168"/>
      <c r="BX168"/>
      <c r="BY168"/>
      <c r="BZ168"/>
      <c r="CA168"/>
      <c r="CB168"/>
      <c r="CC168"/>
      <c r="CD168"/>
      <c r="CE168"/>
      <c r="CF168"/>
      <c r="CG168"/>
      <c r="CH168" s="6"/>
      <c r="CI168"/>
      <c r="CJ168"/>
      <c r="CK168"/>
      <c r="CL168"/>
      <c r="CM168"/>
      <c r="CN168"/>
      <c r="CO168"/>
      <c r="CP168"/>
      <c r="CQ168"/>
      <c r="CR168"/>
      <c r="CS168"/>
      <c r="CT168"/>
      <c r="CU168"/>
      <c r="CV168"/>
      <c r="CW168"/>
      <c r="CX168" s="6"/>
    </row>
    <row r="169" spans="1:102" s="4" customFormat="1" hidden="1">
      <c r="A169" s="3">
        <f t="shared" si="9"/>
        <v>168</v>
      </c>
      <c r="B169" s="4" t="s">
        <v>16</v>
      </c>
      <c r="C169" s="4" t="s">
        <v>3</v>
      </c>
      <c r="D169" s="4">
        <f>INDEX(Employee!E:E,MATCH(AK169,Employee!B:B,0))</f>
        <v>0</v>
      </c>
      <c r="E169" s="4" t="str">
        <f>INDEX(Employee!F:F,MATCH(AK169,Employee!B:B,0))</f>
        <v>Tech</v>
      </c>
      <c r="F169" s="4">
        <f>INDEX(Employee!G:G,MATCH(AK169,Employee!B:B,0))</f>
        <v>0</v>
      </c>
      <c r="G169" s="4" t="s">
        <v>119</v>
      </c>
      <c r="H169" s="4" t="s">
        <v>509</v>
      </c>
      <c r="I169" s="4" t="str">
        <f t="shared" si="11"/>
        <v>MON0063</v>
      </c>
      <c r="J169" s="4" t="s">
        <v>107</v>
      </c>
      <c r="K169" s="7" t="s">
        <v>485</v>
      </c>
      <c r="L169" s="7"/>
      <c r="M169" s="7"/>
      <c r="N169" s="13" t="b">
        <v>1</v>
      </c>
      <c r="O169" s="13" t="b">
        <v>0</v>
      </c>
      <c r="P169" s="15" t="s">
        <v>510</v>
      </c>
      <c r="Q169" s="14">
        <v>43260</v>
      </c>
      <c r="R169" s="4" t="s">
        <v>102</v>
      </c>
      <c r="S169" s="10">
        <v>295000</v>
      </c>
      <c r="T169" s="4" t="e">
        <f>INDEX(Employee!#REF!,MATCH(U169,Employee!#REF!,0))</f>
        <v>#REF!</v>
      </c>
      <c r="U169" s="4" t="s">
        <v>195</v>
      </c>
      <c r="V169" s="4" t="e">
        <f>INDEX(Employee!#REF!,MATCH(U169,Employee!#REF!,0))</f>
        <v>#REF!</v>
      </c>
      <c r="W169" s="4" t="e">
        <f>INDEX(Employee!#REF!,MATCH(U169,Employee!#REF!,0))</f>
        <v>#REF!</v>
      </c>
      <c r="X169" s="4" t="e">
        <f>INDEX(Employee!#REF!,MATCH(U169,Employee!#REF!,0))</f>
        <v>#REF!</v>
      </c>
      <c r="AJ169" s="4" t="str">
        <f>INDEX(Employee!C:C,MATCH(AK169,Employee!B:B,0))</f>
        <v>Đinh Hiểu Văn</v>
      </c>
      <c r="AK169" s="4" t="s">
        <v>329</v>
      </c>
      <c r="AL169" s="4" t="str">
        <f>INDEX(Employee!D:D,MATCH(AK169,Employee!B:B,0))</f>
        <v>Software Engineer</v>
      </c>
      <c r="AM169" s="4" t="str">
        <f>INDEX(Employee!F:F,MATCH(AK169,Employee!B:B,0))</f>
        <v>Tech</v>
      </c>
      <c r="AN169" s="4" t="str">
        <f>INDEX(Employee!H:H,MATCH(AK169,Employee!B:B,0))</f>
        <v>Trần Triệu Dương (duongtt5)</v>
      </c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  <c r="BR169"/>
      <c r="BS169"/>
      <c r="BT169"/>
      <c r="BU169"/>
      <c r="BV169"/>
      <c r="BW169"/>
      <c r="BX169"/>
      <c r="BY169"/>
      <c r="BZ169"/>
      <c r="CA169"/>
      <c r="CB169"/>
      <c r="CC169"/>
      <c r="CD169"/>
      <c r="CE169"/>
      <c r="CF169"/>
      <c r="CG169"/>
      <c r="CH169" s="6"/>
      <c r="CI169"/>
      <c r="CJ169"/>
      <c r="CK169"/>
      <c r="CL169"/>
      <c r="CM169"/>
      <c r="CN169"/>
      <c r="CO169"/>
      <c r="CP169"/>
      <c r="CQ169"/>
      <c r="CR169"/>
      <c r="CS169"/>
      <c r="CT169"/>
      <c r="CU169"/>
      <c r="CV169"/>
      <c r="CW169"/>
      <c r="CX169" s="6"/>
    </row>
    <row r="170" spans="1:102" s="4" customFormat="1" hidden="1">
      <c r="A170" s="3">
        <f t="shared" si="9"/>
        <v>169</v>
      </c>
      <c r="B170" s="4" t="s">
        <v>16</v>
      </c>
      <c r="C170" s="4" t="s">
        <v>3</v>
      </c>
      <c r="D170" s="4">
        <f>INDEX(Employee!E:E,MATCH(AK170,Employee!B:B,0))</f>
        <v>0</v>
      </c>
      <c r="E170" s="4" t="str">
        <f>INDEX(Employee!F:F,MATCH(AK170,Employee!B:B,0))</f>
        <v>Tech</v>
      </c>
      <c r="F170" s="4">
        <f>INDEX(Employee!G:G,MATCH(AK170,Employee!B:B,0))</f>
        <v>0</v>
      </c>
      <c r="G170" s="4" t="s">
        <v>119</v>
      </c>
      <c r="H170" s="4" t="s">
        <v>511</v>
      </c>
      <c r="I170" s="4" t="str">
        <f t="shared" si="11"/>
        <v>MON0064</v>
      </c>
      <c r="J170" s="4" t="s">
        <v>107</v>
      </c>
      <c r="K170" s="7" t="s">
        <v>507</v>
      </c>
      <c r="L170" s="7"/>
      <c r="M170" s="7"/>
      <c r="N170" s="13" t="b">
        <v>1</v>
      </c>
      <c r="O170" s="13" t="b">
        <v>0</v>
      </c>
      <c r="P170" s="15" t="s">
        <v>512</v>
      </c>
      <c r="Q170" s="14">
        <v>43628</v>
      </c>
      <c r="R170" s="4" t="s">
        <v>102</v>
      </c>
      <c r="S170" s="10">
        <v>293500</v>
      </c>
      <c r="T170" s="4" t="e">
        <f>INDEX(Employee!#REF!,MATCH(U170,Employee!#REF!,0))</f>
        <v>#REF!</v>
      </c>
      <c r="U170" s="4" t="s">
        <v>195</v>
      </c>
      <c r="V170" s="4" t="e">
        <f>INDEX(Employee!#REF!,MATCH(U170,Employee!#REF!,0))</f>
        <v>#REF!</v>
      </c>
      <c r="W170" s="4" t="e">
        <f>INDEX(Employee!#REF!,MATCH(U170,Employee!#REF!,0))</f>
        <v>#REF!</v>
      </c>
      <c r="X170" s="4" t="e">
        <f>INDEX(Employee!#REF!,MATCH(U170,Employee!#REF!,0))</f>
        <v>#REF!</v>
      </c>
      <c r="AJ170" s="4" t="str">
        <f>INDEX(Employee!C:C,MATCH(AK170,Employee!B:B,0))</f>
        <v>Phạm Hồng Quốc Anh</v>
      </c>
      <c r="AK170" s="4" t="s">
        <v>513</v>
      </c>
      <c r="AL170" s="4" t="str">
        <f>INDEX(Employee!D:D,MATCH(AK170,Employee!B:B,0))</f>
        <v>Lead Software Engineer</v>
      </c>
      <c r="AM170" s="4" t="str">
        <f>INDEX(Employee!F:F,MATCH(AK170,Employee!B:B,0))</f>
        <v>Tech</v>
      </c>
      <c r="AN170" s="4" t="str">
        <f>INDEX(Employee!H:H,MATCH(AK170,Employee!B:B,0))</f>
        <v>Trần Triệu Dương (duongtt5)</v>
      </c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  <c r="BR170"/>
      <c r="BS170"/>
      <c r="BT170"/>
      <c r="BU170"/>
      <c r="BV170"/>
      <c r="BW170"/>
      <c r="BX170"/>
      <c r="BY170"/>
      <c r="BZ170"/>
      <c r="CA170"/>
      <c r="CB170"/>
      <c r="CC170"/>
      <c r="CD170"/>
      <c r="CE170"/>
      <c r="CF170"/>
      <c r="CG170"/>
      <c r="CH170" s="6"/>
      <c r="CI170"/>
      <c r="CJ170"/>
      <c r="CK170"/>
      <c r="CL170"/>
      <c r="CM170"/>
      <c r="CN170"/>
      <c r="CO170"/>
      <c r="CP170"/>
      <c r="CQ170"/>
      <c r="CR170"/>
      <c r="CS170"/>
      <c r="CT170"/>
      <c r="CU170"/>
      <c r="CV170"/>
      <c r="CW170"/>
      <c r="CX170" s="6"/>
    </row>
    <row r="171" spans="1:102" s="4" customFormat="1" hidden="1">
      <c r="A171" s="3">
        <f t="shared" si="9"/>
        <v>170</v>
      </c>
      <c r="B171" s="4" t="s">
        <v>16</v>
      </c>
      <c r="C171" s="4" t="s">
        <v>3</v>
      </c>
      <c r="D171" s="4">
        <f>INDEX(Employee!E:E,MATCH(AK171,Employee!B:B,0))</f>
        <v>0</v>
      </c>
      <c r="E171" s="4" t="str">
        <f>INDEX(Employee!F:F,MATCH(AK171,Employee!B:B,0))</f>
        <v>Tech</v>
      </c>
      <c r="F171" s="4">
        <f>INDEX(Employee!G:G,MATCH(AK171,Employee!B:B,0))</f>
        <v>0</v>
      </c>
      <c r="G171" s="4" t="s">
        <v>119</v>
      </c>
      <c r="I171" s="4" t="str">
        <f t="shared" si="11"/>
        <v>MON0065</v>
      </c>
      <c r="J171" s="4" t="s">
        <v>107</v>
      </c>
      <c r="K171" s="7" t="s">
        <v>367</v>
      </c>
      <c r="L171" s="7"/>
      <c r="M171" s="7"/>
      <c r="N171" s="13" t="b">
        <v>1</v>
      </c>
      <c r="O171" s="13" t="b">
        <v>0</v>
      </c>
      <c r="P171" s="15" t="s">
        <v>514</v>
      </c>
      <c r="Q171" s="14">
        <v>44727</v>
      </c>
      <c r="R171" s="4" t="s">
        <v>102</v>
      </c>
      <c r="S171" s="10">
        <v>790910</v>
      </c>
      <c r="T171" s="4" t="e">
        <f>INDEX(Employee!#REF!,MATCH(U171,Employee!#REF!,0))</f>
        <v>#REF!</v>
      </c>
      <c r="U171" s="4" t="s">
        <v>195</v>
      </c>
      <c r="V171" s="4" t="e">
        <f>INDEX(Employee!#REF!,MATCH(U171,Employee!#REF!,0))</f>
        <v>#REF!</v>
      </c>
      <c r="W171" s="4" t="e">
        <f>INDEX(Employee!#REF!,MATCH(U171,Employee!#REF!,0))</f>
        <v>#REF!</v>
      </c>
      <c r="X171" s="4" t="e">
        <f>INDEX(Employee!#REF!,MATCH(U171,Employee!#REF!,0))</f>
        <v>#REF!</v>
      </c>
      <c r="AJ171" s="4" t="str">
        <f>INDEX(Employee!C:C,MATCH(AK171,Employee!B:B,0))</f>
        <v>Khổng Gia Bình</v>
      </c>
      <c r="AK171" s="4" t="s">
        <v>515</v>
      </c>
      <c r="AL171" s="4" t="str">
        <f>INDEX(Employee!D:D,MATCH(AK171,Employee!B:B,0))</f>
        <v>Software Engineer</v>
      </c>
      <c r="AM171" s="4" t="str">
        <f>INDEX(Employee!F:F,MATCH(AK171,Employee!B:B,0))</f>
        <v>Tech</v>
      </c>
      <c r="AN171" s="4" t="str">
        <f>INDEX(Employee!H:H,MATCH(AK171,Employee!B:B,0))</f>
        <v>Trần Triệu Dương (duongtt5)</v>
      </c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  <c r="BR171"/>
      <c r="BS171"/>
      <c r="BT171"/>
      <c r="BU171"/>
      <c r="BV171"/>
      <c r="BW171"/>
      <c r="BX171"/>
      <c r="BY171"/>
      <c r="BZ171"/>
      <c r="CA171"/>
      <c r="CB171"/>
      <c r="CC171"/>
      <c r="CD171"/>
      <c r="CE171"/>
      <c r="CF171"/>
      <c r="CG171"/>
      <c r="CH171" s="6"/>
      <c r="CI171"/>
      <c r="CJ171"/>
      <c r="CK171"/>
      <c r="CL171"/>
      <c r="CM171"/>
      <c r="CN171"/>
      <c r="CO171"/>
      <c r="CP171"/>
      <c r="CQ171"/>
      <c r="CR171"/>
      <c r="CS171"/>
      <c r="CT171"/>
      <c r="CU171"/>
      <c r="CV171"/>
      <c r="CW171"/>
      <c r="CX171" s="6"/>
    </row>
    <row r="172" spans="1:102" s="4" customFormat="1" hidden="1">
      <c r="A172" s="3">
        <f t="shared" ref="A172:A235" si="12">IF(B172&lt;&gt;"",ROW()-1,"")</f>
        <v>171</v>
      </c>
      <c r="B172" s="4" t="s">
        <v>16</v>
      </c>
      <c r="C172" s="4" t="s">
        <v>3</v>
      </c>
      <c r="D172" s="4" t="str">
        <f>INDEX(Employee!E:E,MATCH(AK172,Employee!B:B,0))</f>
        <v>Project</v>
      </c>
      <c r="E172" s="4" t="str">
        <f>INDEX(Employee!F:F,MATCH(AK172,Employee!B:B,0))</f>
        <v>Tech</v>
      </c>
      <c r="F172" s="4" t="str">
        <f>INDEX(Employee!G:G,MATCH(AK172,Employee!B:B,0))</f>
        <v>Venture</v>
      </c>
      <c r="G172" s="4" t="s">
        <v>15</v>
      </c>
      <c r="I172" s="4" t="str">
        <f t="shared" si="11"/>
        <v>MON0066</v>
      </c>
      <c r="J172" s="4" t="s">
        <v>107</v>
      </c>
      <c r="K172" s="7" t="s">
        <v>367</v>
      </c>
      <c r="L172" s="7"/>
      <c r="M172" s="7"/>
      <c r="N172" s="13" t="b">
        <v>0</v>
      </c>
      <c r="O172" s="13" t="b">
        <v>0</v>
      </c>
      <c r="P172" s="15" t="s">
        <v>516</v>
      </c>
      <c r="Q172" s="14">
        <v>44854</v>
      </c>
      <c r="R172" s="4" t="s">
        <v>102</v>
      </c>
      <c r="S172" s="10">
        <v>1057500</v>
      </c>
      <c r="T172" s="4" t="e">
        <f>INDEX(Employee!#REF!,MATCH(U172,Employee!#REF!,0))</f>
        <v>#REF!</v>
      </c>
      <c r="U172" s="4" t="s">
        <v>195</v>
      </c>
      <c r="V172" s="4" t="e">
        <f>INDEX(Employee!#REF!,MATCH(U172,Employee!#REF!,0))</f>
        <v>#REF!</v>
      </c>
      <c r="W172" s="4" t="e">
        <f>INDEX(Employee!#REF!,MATCH(U172,Employee!#REF!,0))</f>
        <v>#REF!</v>
      </c>
      <c r="X172" s="4" t="e">
        <f>INDEX(Employee!#REF!,MATCH(U172,Employee!#REF!,0))</f>
        <v>#REF!</v>
      </c>
      <c r="AJ172" s="4" t="str">
        <f>INDEX(Employee!C:C,MATCH(AK172,Employee!B:B,0))</f>
        <v>Phùng Thanh Huy</v>
      </c>
      <c r="AK172" s="4" t="s">
        <v>422</v>
      </c>
      <c r="AL172" s="4" t="str">
        <f>INDEX(Employee!D:D,MATCH(AK172,Employee!B:B,0))</f>
        <v>Senior Software Engineer</v>
      </c>
      <c r="AM172" s="4" t="str">
        <f>INDEX(Employee!F:F,MATCH(AK172,Employee!B:B,0))</f>
        <v>Tech</v>
      </c>
      <c r="AN172" s="4" t="str">
        <f>INDEX(Employee!H:H,MATCH(AK172,Employee!B:B,0))</f>
        <v>Đoàn Nhật Duẩn (duandn)</v>
      </c>
      <c r="AS172" s="4" t="s">
        <v>517</v>
      </c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  <c r="BR172"/>
      <c r="BS172"/>
      <c r="BT172"/>
      <c r="BU172"/>
      <c r="BV172"/>
      <c r="BW172"/>
      <c r="BX172"/>
      <c r="BY172"/>
      <c r="BZ172"/>
      <c r="CA172"/>
      <c r="CB172"/>
      <c r="CC172"/>
      <c r="CD172"/>
      <c r="CE172"/>
      <c r="CF172"/>
      <c r="CG172"/>
      <c r="CH172" s="6"/>
      <c r="CI172"/>
      <c r="CJ172"/>
      <c r="CK172"/>
      <c r="CL172"/>
      <c r="CM172"/>
      <c r="CN172"/>
      <c r="CO172"/>
      <c r="CP172"/>
      <c r="CQ172"/>
      <c r="CR172"/>
      <c r="CS172"/>
      <c r="CT172"/>
      <c r="CU172"/>
      <c r="CV172"/>
      <c r="CW172"/>
      <c r="CX172" s="6"/>
    </row>
    <row r="173" spans="1:102" s="4" customFormat="1" hidden="1">
      <c r="A173" s="3">
        <f t="shared" si="12"/>
        <v>172</v>
      </c>
      <c r="B173" s="4" t="s">
        <v>16</v>
      </c>
      <c r="C173" s="4" t="s">
        <v>3</v>
      </c>
      <c r="D173" s="4">
        <f>INDEX(Employee!E:E,MATCH(AK173,Employee!B:B,0))</f>
        <v>0</v>
      </c>
      <c r="E173" s="4" t="str">
        <f>INDEX(Employee!F:F,MATCH(AK173,Employee!B:B,0))</f>
        <v>IPL</v>
      </c>
      <c r="F173" s="4">
        <f>INDEX(Employee!G:G,MATCH(AK173,Employee!B:B,0))</f>
        <v>0</v>
      </c>
      <c r="G173" s="4" t="s">
        <v>119</v>
      </c>
      <c r="H173" s="4" t="s">
        <v>518</v>
      </c>
      <c r="I173" s="4" t="str">
        <f t="shared" si="11"/>
        <v>MON0067</v>
      </c>
      <c r="J173" s="4" t="s">
        <v>107</v>
      </c>
      <c r="K173" s="7" t="s">
        <v>367</v>
      </c>
      <c r="L173" s="7"/>
      <c r="M173" s="7"/>
      <c r="N173" s="13" t="b">
        <v>0</v>
      </c>
      <c r="O173" s="13" t="b">
        <v>0</v>
      </c>
      <c r="P173" s="15" t="s">
        <v>519</v>
      </c>
      <c r="Q173" s="14">
        <v>44824</v>
      </c>
      <c r="R173" s="4" t="s">
        <v>102</v>
      </c>
      <c r="S173" s="10">
        <v>940000</v>
      </c>
      <c r="T173" s="4" t="e">
        <f>INDEX(Employee!#REF!,MATCH(U173,Employee!#REF!,0))</f>
        <v>#REF!</v>
      </c>
      <c r="U173" s="4" t="s">
        <v>520</v>
      </c>
      <c r="V173" s="4" t="e">
        <f>INDEX(Employee!#REF!,MATCH(U173,Employee!#REF!,0))</f>
        <v>#REF!</v>
      </c>
      <c r="W173" s="4" t="e">
        <f>INDEX(Employee!#REF!,MATCH(U173,Employee!#REF!,0))</f>
        <v>#REF!</v>
      </c>
      <c r="X173" s="4" t="e">
        <f>INDEX(Employee!#REF!,MATCH(U173,Employee!#REF!,0))</f>
        <v>#REF!</v>
      </c>
      <c r="AJ173" s="4" t="str">
        <f>INDEX(Employee!C:C,MATCH(AK173,Employee!B:B,0))</f>
        <v>Reception</v>
      </c>
      <c r="AK173" s="4" t="s">
        <v>501</v>
      </c>
      <c r="AL173" s="4" t="str">
        <f>INDEX(Employee!D:D,MATCH(AK173,Employee!B:B,0))</f>
        <v>IPL</v>
      </c>
      <c r="AM173" s="4" t="str">
        <f>INDEX(Employee!F:F,MATCH(AK173,Employee!B:B,0))</f>
        <v>IPL</v>
      </c>
      <c r="AN173" s="4" t="str">
        <f>INDEX(Employee!H:H,MATCH(AK173,Employee!B:B,0))</f>
        <v>IPL</v>
      </c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  <c r="BR173" s="6"/>
      <c r="BS173"/>
      <c r="BT173"/>
      <c r="BU173"/>
      <c r="BV173"/>
      <c r="BW173"/>
      <c r="BX173"/>
      <c r="BY173"/>
      <c r="BZ173"/>
      <c r="CA173"/>
      <c r="CB173"/>
      <c r="CC173"/>
      <c r="CD173"/>
      <c r="CE173"/>
      <c r="CF173"/>
      <c r="CG173"/>
      <c r="CH173" s="6"/>
      <c r="CI173"/>
      <c r="CJ173"/>
      <c r="CK173"/>
      <c r="CL173"/>
      <c r="CM173"/>
      <c r="CN173"/>
      <c r="CO173"/>
      <c r="CP173"/>
      <c r="CQ173"/>
      <c r="CR173"/>
      <c r="CS173"/>
      <c r="CT173"/>
      <c r="CU173"/>
      <c r="CV173"/>
      <c r="CW173"/>
      <c r="CX173" s="6"/>
    </row>
    <row r="174" spans="1:102" s="4" customFormat="1" hidden="1">
      <c r="A174" s="3">
        <f t="shared" si="12"/>
        <v>173</v>
      </c>
      <c r="B174" s="4" t="s">
        <v>16</v>
      </c>
      <c r="C174" s="4" t="s">
        <v>3</v>
      </c>
      <c r="D174" s="4" t="str">
        <f>INDEX(Employee!E:E,MATCH(AK174,Employee!B:B,0))</f>
        <v>Project</v>
      </c>
      <c r="E174" s="4" t="str">
        <f>INDEX(Employee!F:F,MATCH(AK174,Employee!B:B,0))</f>
        <v>Tech</v>
      </c>
      <c r="F174" s="4" t="str">
        <f>INDEX(Employee!G:G,MATCH(AK174,Employee!B:B,0))</f>
        <v>Venture</v>
      </c>
      <c r="G174" s="4" t="s">
        <v>15</v>
      </c>
      <c r="H174" s="4" t="s">
        <v>521</v>
      </c>
      <c r="I174" s="4" t="str">
        <f t="shared" si="11"/>
        <v>MON0068</v>
      </c>
      <c r="J174" s="4" t="s">
        <v>107</v>
      </c>
      <c r="K174" s="7" t="s">
        <v>367</v>
      </c>
      <c r="L174" s="7"/>
      <c r="M174" s="7"/>
      <c r="N174" s="13" t="b">
        <v>0</v>
      </c>
      <c r="O174" s="13" t="b">
        <v>0</v>
      </c>
      <c r="P174" s="15" t="s">
        <v>522</v>
      </c>
      <c r="Q174" s="14">
        <v>44809</v>
      </c>
      <c r="R174" s="4" t="s">
        <v>102</v>
      </c>
      <c r="S174" s="10">
        <v>934890</v>
      </c>
      <c r="T174" s="4" t="e">
        <f>INDEX(Employee!#REF!,MATCH(U174,Employee!#REF!,0))</f>
        <v>#REF!</v>
      </c>
      <c r="U174" s="4" t="s">
        <v>520</v>
      </c>
      <c r="V174" s="4" t="e">
        <f>INDEX(Employee!#REF!,MATCH(U174,Employee!#REF!,0))</f>
        <v>#REF!</v>
      </c>
      <c r="W174" s="4" t="e">
        <f>INDEX(Employee!#REF!,MATCH(U174,Employee!#REF!,0))</f>
        <v>#REF!</v>
      </c>
      <c r="X174" s="4" t="e">
        <f>INDEX(Employee!#REF!,MATCH(U174,Employee!#REF!,0))</f>
        <v>#REF!</v>
      </c>
      <c r="AJ174" s="4" t="str">
        <f>INDEX(Employee!C:C,MATCH(AK174,Employee!B:B,0))</f>
        <v>Nguyễn Hoàng Tâm</v>
      </c>
      <c r="AK174" s="4" t="s">
        <v>523</v>
      </c>
      <c r="AL174" s="4" t="str">
        <f>INDEX(Employee!D:D,MATCH(AK174,Employee!B:B,0))</f>
        <v>Senior Software Engineer</v>
      </c>
      <c r="AM174" s="4" t="str">
        <f>INDEX(Employee!F:F,MATCH(AK174,Employee!B:B,0))</f>
        <v>Tech</v>
      </c>
      <c r="AN174" s="4" t="str">
        <f>INDEX(Employee!H:H,MATCH(AK174,Employee!B:B,0))</f>
        <v>Phùng Thanh Huy (huypt3)</v>
      </c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  <c r="BR174" s="6"/>
      <c r="BS174"/>
      <c r="BT174"/>
      <c r="BU174"/>
      <c r="BV174"/>
      <c r="BW174"/>
      <c r="BX174"/>
      <c r="BY174"/>
      <c r="BZ174"/>
      <c r="CA174"/>
      <c r="CB174"/>
      <c r="CC174"/>
      <c r="CD174"/>
      <c r="CE174"/>
      <c r="CF174"/>
      <c r="CG174"/>
      <c r="CH174" s="6"/>
      <c r="CI174"/>
      <c r="CJ174"/>
      <c r="CK174"/>
      <c r="CL174"/>
      <c r="CM174"/>
      <c r="CN174"/>
      <c r="CO174"/>
      <c r="CP174"/>
      <c r="CQ174"/>
      <c r="CR174"/>
      <c r="CS174"/>
      <c r="CT174"/>
      <c r="CU174"/>
      <c r="CV174"/>
      <c r="CW174"/>
      <c r="CX174" s="6"/>
    </row>
    <row r="175" spans="1:102" s="4" customFormat="1" hidden="1">
      <c r="A175" s="3">
        <f t="shared" si="12"/>
        <v>174</v>
      </c>
      <c r="B175" s="4" t="s">
        <v>16</v>
      </c>
      <c r="C175" s="4" t="s">
        <v>3</v>
      </c>
      <c r="D175" s="4" t="str">
        <f>INDEX(Employee!E:E,MATCH(AK175,Employee!B:B,0))</f>
        <v>BO</v>
      </c>
      <c r="E175" s="4" t="str">
        <f>INDEX(Employee!F:F,MATCH(AK175,Employee!B:B,0))</f>
        <v>Business Support</v>
      </c>
      <c r="F175" s="4" t="str">
        <f>INDEX(Employee!G:G,MATCH(AK175,Employee!B:B,0))</f>
        <v>Operation Team</v>
      </c>
      <c r="G175" s="4" t="s">
        <v>15</v>
      </c>
      <c r="H175" s="4" t="s">
        <v>524</v>
      </c>
      <c r="I175" s="4" t="str">
        <f t="shared" si="11"/>
        <v>MON0069</v>
      </c>
      <c r="J175" s="4" t="s">
        <v>107</v>
      </c>
      <c r="K175" s="7" t="s">
        <v>367</v>
      </c>
      <c r="L175" s="7"/>
      <c r="M175" s="7"/>
      <c r="N175" s="13" t="b">
        <v>0</v>
      </c>
      <c r="O175" s="13" t="b">
        <v>0</v>
      </c>
      <c r="P175" s="15" t="s">
        <v>525</v>
      </c>
      <c r="Q175" s="14">
        <v>44672</v>
      </c>
      <c r="R175" s="4" t="s">
        <v>102</v>
      </c>
      <c r="S175" s="10">
        <v>474546</v>
      </c>
      <c r="T175" s="4" t="e">
        <f>INDEX(Employee!#REF!,MATCH(U175,Employee!#REF!,0))</f>
        <v>#REF!</v>
      </c>
      <c r="U175" s="4" t="s">
        <v>520</v>
      </c>
      <c r="V175" s="4" t="e">
        <f>INDEX(Employee!#REF!,MATCH(U175,Employee!#REF!,0))</f>
        <v>#REF!</v>
      </c>
      <c r="W175" s="4" t="e">
        <f>INDEX(Employee!#REF!,MATCH(U175,Employee!#REF!,0))</f>
        <v>#REF!</v>
      </c>
      <c r="X175" s="4" t="e">
        <f>INDEX(Employee!#REF!,MATCH(U175,Employee!#REF!,0))</f>
        <v>#REF!</v>
      </c>
      <c r="AJ175" s="4" t="str">
        <f>INDEX(Employee!C:C,MATCH(AK175,Employee!B:B,0))</f>
        <v>Hoàng Thị Trang</v>
      </c>
      <c r="AK175" s="4" t="s">
        <v>348</v>
      </c>
      <c r="AL175" s="4" t="str">
        <f>INDEX(Employee!D:D,MATCH(AK175,Employee!B:B,0))</f>
        <v>Accounting Manager</v>
      </c>
      <c r="AM175" s="4" t="str">
        <f>INDEX(Employee!F:F,MATCH(AK175,Employee!B:B,0))</f>
        <v>Business Support</v>
      </c>
      <c r="AN175" s="4" t="str">
        <f>INDEX(Employee!H:H,MATCH(AK175,Employee!B:B,0))</f>
        <v>Nguyễn Thị Thủy</v>
      </c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  <c r="BR175" s="6"/>
      <c r="BS175"/>
      <c r="BT175"/>
      <c r="BU175"/>
      <c r="BV175"/>
      <c r="BW175"/>
      <c r="BX175"/>
      <c r="BY175"/>
      <c r="BZ175"/>
      <c r="CA175"/>
      <c r="CB175"/>
      <c r="CC175"/>
      <c r="CD175"/>
      <c r="CE175"/>
      <c r="CF175"/>
      <c r="CG175"/>
      <c r="CH175" s="6"/>
      <c r="CI175"/>
      <c r="CJ175"/>
      <c r="CK175"/>
      <c r="CL175"/>
      <c r="CM175"/>
      <c r="CN175"/>
      <c r="CO175"/>
      <c r="CP175"/>
      <c r="CQ175"/>
      <c r="CR175"/>
      <c r="CS175"/>
      <c r="CT175"/>
      <c r="CU175"/>
      <c r="CV175"/>
      <c r="CW175"/>
      <c r="CX175" s="6"/>
    </row>
    <row r="176" spans="1:102" s="4" customFormat="1" hidden="1">
      <c r="A176" s="3">
        <f t="shared" si="12"/>
        <v>175</v>
      </c>
      <c r="B176" s="4" t="s">
        <v>16</v>
      </c>
      <c r="C176" s="4" t="s">
        <v>4</v>
      </c>
      <c r="D176" s="4" t="e">
        <f>INDEX(Employee!E:E,MATCH(AK176,Employee!B:B,0))</f>
        <v>#N/A</v>
      </c>
      <c r="E176" s="4" t="e">
        <f>INDEX(Employee!F:F,MATCH(AK176,Employee!B:B,0))</f>
        <v>#N/A</v>
      </c>
      <c r="F176" s="4" t="e">
        <f>INDEX(Employee!G:G,MATCH(AK176,Employee!B:B,0))</f>
        <v>#N/A</v>
      </c>
      <c r="G176" s="4" t="s">
        <v>15</v>
      </c>
      <c r="H176" s="4" t="s">
        <v>526</v>
      </c>
      <c r="I176" s="4" t="str">
        <f t="shared" si="11"/>
        <v>MON0070</v>
      </c>
      <c r="J176" s="4" t="s">
        <v>107</v>
      </c>
      <c r="K176" s="7" t="s">
        <v>485</v>
      </c>
      <c r="L176" s="7"/>
      <c r="M176" s="7"/>
      <c r="N176" s="13" t="b">
        <v>0</v>
      </c>
      <c r="O176" s="13" t="b">
        <v>0</v>
      </c>
      <c r="P176" s="15" t="s">
        <v>527</v>
      </c>
      <c r="Q176" s="14">
        <v>43063</v>
      </c>
      <c r="R176" s="4" t="s">
        <v>102</v>
      </c>
      <c r="S176" s="10">
        <v>293000</v>
      </c>
      <c r="T176" s="4" t="e">
        <f>INDEX(Employee!#REF!,MATCH(U176,Employee!#REF!,0))</f>
        <v>#REF!</v>
      </c>
      <c r="V176" s="4" t="e">
        <f>INDEX(Employee!#REF!,MATCH(U176,Employee!#REF!,0))</f>
        <v>#REF!</v>
      </c>
      <c r="W176" s="4" t="e">
        <f>INDEX(Employee!#REF!,MATCH(U176,Employee!#REF!,0))</f>
        <v>#REF!</v>
      </c>
      <c r="X176" s="4" t="e">
        <f>INDEX(Employee!#REF!,MATCH(U176,Employee!#REF!,0))</f>
        <v>#REF!</v>
      </c>
      <c r="AJ176" s="4" t="e">
        <f>INDEX(Employee!C:C,MATCH(AK176,Employee!B:B,0))</f>
        <v>#N/A</v>
      </c>
      <c r="AL176" s="4" t="e">
        <f>INDEX(Employee!D:D,MATCH(AK176,Employee!B:B,0))</f>
        <v>#N/A</v>
      </c>
      <c r="AM176" s="4" t="e">
        <f>INDEX(Employee!F:F,MATCH(AK176,Employee!B:B,0))</f>
        <v>#N/A</v>
      </c>
      <c r="AN176" s="4" t="e">
        <f>INDEX(Employee!H:H,MATCH(AK176,Employee!B:B,0))</f>
        <v>#N/A</v>
      </c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  <c r="BR176" s="6"/>
      <c r="BS176"/>
      <c r="BT176"/>
      <c r="BU176"/>
      <c r="BV176"/>
      <c r="BW176"/>
      <c r="BX176"/>
      <c r="BY176"/>
      <c r="BZ176"/>
      <c r="CA176"/>
      <c r="CB176"/>
      <c r="CC176"/>
      <c r="CD176"/>
      <c r="CE176"/>
      <c r="CF176"/>
      <c r="CG176"/>
      <c r="CH176" s="6"/>
      <c r="CI176"/>
      <c r="CJ176"/>
      <c r="CK176"/>
      <c r="CL176"/>
      <c r="CM176"/>
      <c r="CN176"/>
      <c r="CO176"/>
      <c r="CP176"/>
      <c r="CQ176"/>
      <c r="CR176"/>
      <c r="CS176"/>
      <c r="CT176"/>
      <c r="CU176"/>
      <c r="CV176"/>
      <c r="CW176"/>
      <c r="CX176" s="6"/>
    </row>
    <row r="177" spans="1:102" s="4" customFormat="1" hidden="1">
      <c r="A177" s="3">
        <f t="shared" si="12"/>
        <v>176</v>
      </c>
      <c r="B177" s="4" t="s">
        <v>16</v>
      </c>
      <c r="C177" s="4" t="s">
        <v>3</v>
      </c>
      <c r="D177" s="4" t="str">
        <f>INDEX(Employee!E:E,MATCH(AK177,Employee!B:B,0))</f>
        <v>Project</v>
      </c>
      <c r="E177" s="4" t="str">
        <f>INDEX(Employee!F:F,MATCH(AK177,Employee!B:B,0))</f>
        <v>Tech</v>
      </c>
      <c r="F177" s="4" t="str">
        <f>INDEX(Employee!G:G,MATCH(AK177,Employee!B:B,0))</f>
        <v>Venture</v>
      </c>
      <c r="G177" s="4" t="s">
        <v>15</v>
      </c>
      <c r="H177" s="4" t="s">
        <v>528</v>
      </c>
      <c r="I177" s="4" t="str">
        <f t="shared" si="11"/>
        <v>MON0071</v>
      </c>
      <c r="J177" s="4" t="s">
        <v>107</v>
      </c>
      <c r="K177" s="7" t="s">
        <v>367</v>
      </c>
      <c r="L177" s="7"/>
      <c r="M177" s="7"/>
      <c r="N177" s="13" t="b">
        <v>0</v>
      </c>
      <c r="O177" s="13" t="b">
        <v>0</v>
      </c>
      <c r="P177" s="15" t="s">
        <v>529</v>
      </c>
      <c r="Q177" s="14">
        <v>44621</v>
      </c>
      <c r="R177" s="4" t="s">
        <v>102</v>
      </c>
      <c r="S177" s="10">
        <v>480000</v>
      </c>
      <c r="T177" s="4" t="e">
        <f>INDEX(Employee!#REF!,MATCH(U177,Employee!#REF!,0))</f>
        <v>#REF!</v>
      </c>
      <c r="U177" s="4" t="s">
        <v>520</v>
      </c>
      <c r="V177" s="4" t="e">
        <f>INDEX(Employee!#REF!,MATCH(U177,Employee!#REF!,0))</f>
        <v>#REF!</v>
      </c>
      <c r="W177" s="4" t="e">
        <f>INDEX(Employee!#REF!,MATCH(U177,Employee!#REF!,0))</f>
        <v>#REF!</v>
      </c>
      <c r="X177" s="4" t="e">
        <f>INDEX(Employee!#REF!,MATCH(U177,Employee!#REF!,0))</f>
        <v>#REF!</v>
      </c>
      <c r="AJ177" s="4" t="str">
        <f>INDEX(Employee!C:C,MATCH(AK177,Employee!B:B,0))</f>
        <v>Ngô Khánh Vy</v>
      </c>
      <c r="AK177" s="4" t="s">
        <v>530</v>
      </c>
      <c r="AL177" s="4" t="str">
        <f>INDEX(Employee!D:D,MATCH(AK177,Employee!B:B,0))</f>
        <v>Lead Business Analyst</v>
      </c>
      <c r="AM177" s="4" t="str">
        <f>INDEX(Employee!F:F,MATCH(AK177,Employee!B:B,0))</f>
        <v>Tech</v>
      </c>
      <c r="AN177" s="4" t="str">
        <f>INDEX(Employee!H:H,MATCH(AK177,Employee!B:B,0))</f>
        <v>Đoàn Nhật Duẩn (duandn)</v>
      </c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  <c r="BR177" s="6"/>
      <c r="BS177"/>
      <c r="BT177"/>
      <c r="BU177"/>
      <c r="BV177"/>
      <c r="BW177"/>
      <c r="BX177"/>
      <c r="BY177"/>
      <c r="BZ177"/>
      <c r="CA177"/>
      <c r="CB177"/>
      <c r="CC177"/>
      <c r="CD177"/>
      <c r="CE177"/>
      <c r="CF177"/>
      <c r="CG177"/>
      <c r="CH177" s="6"/>
      <c r="CI177"/>
      <c r="CJ177"/>
      <c r="CK177"/>
      <c r="CL177"/>
      <c r="CM177"/>
      <c r="CN177"/>
      <c r="CO177"/>
      <c r="CP177"/>
      <c r="CQ177"/>
      <c r="CR177"/>
      <c r="CS177"/>
      <c r="CT177"/>
      <c r="CU177"/>
      <c r="CV177"/>
      <c r="CW177"/>
      <c r="CX177" s="6"/>
    </row>
    <row r="178" spans="1:102" s="4" customFormat="1" hidden="1">
      <c r="A178" s="3">
        <f t="shared" si="12"/>
        <v>177</v>
      </c>
      <c r="B178" s="4" t="s">
        <v>16</v>
      </c>
      <c r="C178" s="4" t="s">
        <v>3</v>
      </c>
      <c r="D178" s="4" t="str">
        <f>INDEX(Employee!E:E,MATCH(AK178,Employee!B:B,0))</f>
        <v>Undirect IT Staff</v>
      </c>
      <c r="E178" s="4" t="str">
        <f>INDEX(Employee!F:F,MATCH(AK178,Employee!B:B,0))</f>
        <v>Tech</v>
      </c>
      <c r="F178" s="4" t="str">
        <f>INDEX(Employee!G:G,MATCH(AK178,Employee!B:B,0))</f>
        <v>Odoo</v>
      </c>
      <c r="G178" s="4" t="s">
        <v>15</v>
      </c>
      <c r="H178" s="4" t="s">
        <v>531</v>
      </c>
      <c r="I178" s="4" t="str">
        <f t="shared" si="11"/>
        <v>MON0072</v>
      </c>
      <c r="J178" s="4" t="s">
        <v>107</v>
      </c>
      <c r="K178" s="7" t="s">
        <v>507</v>
      </c>
      <c r="L178" s="7"/>
      <c r="M178" s="7"/>
      <c r="N178" s="13" t="b">
        <v>0</v>
      </c>
      <c r="O178" s="13" t="b">
        <v>0</v>
      </c>
      <c r="P178" s="15" t="s">
        <v>532</v>
      </c>
      <c r="Q178" s="14">
        <v>43665</v>
      </c>
      <c r="R178" s="4" t="s">
        <v>102</v>
      </c>
      <c r="S178" s="10">
        <v>296000</v>
      </c>
      <c r="T178" s="4" t="e">
        <f>INDEX(Employee!#REF!,MATCH(U178,Employee!#REF!,0))</f>
        <v>#REF!</v>
      </c>
      <c r="V178" s="4" t="e">
        <f>INDEX(Employee!#REF!,MATCH(U178,Employee!#REF!,0))</f>
        <v>#REF!</v>
      </c>
      <c r="W178" s="4" t="e">
        <f>INDEX(Employee!#REF!,MATCH(U178,Employee!#REF!,0))</f>
        <v>#REF!</v>
      </c>
      <c r="X178" s="4" t="e">
        <f>INDEX(Employee!#REF!,MATCH(U178,Employee!#REF!,0))</f>
        <v>#REF!</v>
      </c>
      <c r="AJ178" s="4" t="str">
        <f>INDEX(Employee!C:C,MATCH(AK178,Employee!B:B,0))</f>
        <v>Dương Phạm Thành Công</v>
      </c>
      <c r="AK178" s="4" t="s">
        <v>533</v>
      </c>
      <c r="AL178" s="4" t="str">
        <f>INDEX(Employee!D:D,MATCH(AK178,Employee!B:B,0))</f>
        <v>ERP Lead</v>
      </c>
      <c r="AM178" s="4" t="str">
        <f>INDEX(Employee!F:F,MATCH(AK178,Employee!B:B,0))</f>
        <v>Tech</v>
      </c>
      <c r="AN178" s="4" t="str">
        <f>INDEX(Employee!H:H,MATCH(AK178,Employee!B:B,0))</f>
        <v>Đoàn Hải Nam</v>
      </c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  <c r="BR178" s="6"/>
      <c r="BS178"/>
      <c r="BT178"/>
      <c r="BU178"/>
      <c r="BV178"/>
      <c r="BW178"/>
      <c r="BX178"/>
      <c r="BY178"/>
      <c r="BZ178"/>
      <c r="CA178"/>
      <c r="CB178"/>
      <c r="CC178"/>
      <c r="CD178"/>
      <c r="CE178"/>
      <c r="CF178"/>
      <c r="CG178"/>
      <c r="CH178" s="6"/>
      <c r="CI178"/>
      <c r="CJ178"/>
      <c r="CK178"/>
      <c r="CL178"/>
      <c r="CM178"/>
      <c r="CN178"/>
      <c r="CO178"/>
      <c r="CP178"/>
      <c r="CQ178"/>
      <c r="CR178"/>
      <c r="CS178"/>
      <c r="CT178"/>
      <c r="CU178"/>
      <c r="CV178"/>
      <c r="CW178"/>
      <c r="CX178" s="6"/>
    </row>
    <row r="179" spans="1:102" s="4" customFormat="1" hidden="1">
      <c r="A179" s="3">
        <f t="shared" si="12"/>
        <v>178</v>
      </c>
      <c r="B179" s="4" t="s">
        <v>16</v>
      </c>
      <c r="C179" s="4" t="s">
        <v>3</v>
      </c>
      <c r="D179" s="4">
        <f>INDEX(Employee!E:E,MATCH(AK179,Employee!B:B,0))</f>
        <v>0</v>
      </c>
      <c r="E179" s="4" t="str">
        <f>INDEX(Employee!F:F,MATCH(AK179,Employee!B:B,0))</f>
        <v>Tech</v>
      </c>
      <c r="F179" s="4">
        <f>INDEX(Employee!G:G,MATCH(AK179,Employee!B:B,0))</f>
        <v>0</v>
      </c>
      <c r="G179" s="4" t="s">
        <v>119</v>
      </c>
      <c r="H179" s="4" t="s">
        <v>534</v>
      </c>
      <c r="I179" s="4" t="str">
        <f t="shared" si="11"/>
        <v>MON0073</v>
      </c>
      <c r="J179" s="4" t="s">
        <v>107</v>
      </c>
      <c r="K179" s="7" t="s">
        <v>367</v>
      </c>
      <c r="L179" s="7"/>
      <c r="M179" s="7"/>
      <c r="N179" s="13" t="b">
        <v>1</v>
      </c>
      <c r="O179" s="13" t="b">
        <v>0</v>
      </c>
      <c r="P179" s="15" t="s">
        <v>535</v>
      </c>
      <c r="Q179" s="14">
        <v>45314</v>
      </c>
      <c r="R179" s="4" t="s">
        <v>102</v>
      </c>
      <c r="S179" s="10">
        <v>3040973</v>
      </c>
      <c r="T179" s="4" t="e">
        <f>INDEX(Employee!#REF!,MATCH(U179,Employee!#REF!,0))</f>
        <v>#REF!</v>
      </c>
      <c r="U179" s="4" t="s">
        <v>520</v>
      </c>
      <c r="V179" s="4" t="e">
        <f>INDEX(Employee!#REF!,MATCH(U179,Employee!#REF!,0))</f>
        <v>#REF!</v>
      </c>
      <c r="W179" s="4" t="e">
        <f>INDEX(Employee!#REF!,MATCH(U179,Employee!#REF!,0))</f>
        <v>#REF!</v>
      </c>
      <c r="X179" s="4" t="e">
        <f>INDEX(Employee!#REF!,MATCH(U179,Employee!#REF!,0))</f>
        <v>#REF!</v>
      </c>
      <c r="AJ179" s="4" t="str">
        <f>INDEX(Employee!C:C,MATCH(AK179,Employee!B:B,0))</f>
        <v>Nguyễn Văn Lân</v>
      </c>
      <c r="AK179" s="4" t="s">
        <v>536</v>
      </c>
      <c r="AL179" s="4" t="str">
        <f>INDEX(Employee!D:D,MATCH(AK179,Employee!B:B,0))</f>
        <v>Software Engineer</v>
      </c>
      <c r="AM179" s="4" t="str">
        <f>INDEX(Employee!F:F,MATCH(AK179,Employee!B:B,0))</f>
        <v>Tech</v>
      </c>
      <c r="AN179" s="4" t="str">
        <f>INDEX(Employee!H:H,MATCH(AK179,Employee!B:B,0))</f>
        <v>Trần Triệu Dương (duongtt5)</v>
      </c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  <c r="BR179" s="6"/>
      <c r="BS179"/>
      <c r="BT179"/>
      <c r="BU179"/>
      <c r="BV179"/>
      <c r="BW179"/>
      <c r="BX179"/>
      <c r="BY179"/>
      <c r="BZ179"/>
      <c r="CA179"/>
      <c r="CB179"/>
      <c r="CC179"/>
      <c r="CD179"/>
      <c r="CE179"/>
      <c r="CF179"/>
      <c r="CG179"/>
      <c r="CH179" s="6"/>
      <c r="CI179"/>
      <c r="CJ179"/>
      <c r="CK179"/>
      <c r="CL179"/>
      <c r="CM179"/>
      <c r="CN179"/>
      <c r="CO179"/>
      <c r="CP179"/>
      <c r="CQ179"/>
      <c r="CR179"/>
      <c r="CS179"/>
      <c r="CT179"/>
      <c r="CU179"/>
      <c r="CV179"/>
      <c r="CW179"/>
      <c r="CX179" s="6"/>
    </row>
    <row r="180" spans="1:102" s="4" customFormat="1" hidden="1">
      <c r="A180" s="3">
        <f t="shared" si="12"/>
        <v>179</v>
      </c>
      <c r="B180" s="4" t="s">
        <v>16</v>
      </c>
      <c r="C180" s="4" t="s">
        <v>3</v>
      </c>
      <c r="D180" s="4" t="str">
        <f>INDEX(Employee!E:E,MATCH(AK180,Employee!B:B,0))</f>
        <v>Project</v>
      </c>
      <c r="E180" s="4" t="str">
        <f>INDEX(Employee!F:F,MATCH(AK180,Employee!B:B,0))</f>
        <v>Tech</v>
      </c>
      <c r="F180" s="4" t="str">
        <f>INDEX(Employee!G:G,MATCH(AK180,Employee!B:B,0))</f>
        <v>Venture</v>
      </c>
      <c r="G180" s="4" t="s">
        <v>15</v>
      </c>
      <c r="H180" s="4" t="s">
        <v>537</v>
      </c>
      <c r="I180" s="4" t="str">
        <f t="shared" si="11"/>
        <v>MON0074</v>
      </c>
      <c r="J180" s="4" t="s">
        <v>107</v>
      </c>
      <c r="K180" s="7" t="s">
        <v>378</v>
      </c>
      <c r="L180" s="7"/>
      <c r="M180" s="7"/>
      <c r="N180" s="13" t="b">
        <v>0</v>
      </c>
      <c r="O180" s="13" t="b">
        <v>0</v>
      </c>
      <c r="P180" s="15" t="s">
        <v>538</v>
      </c>
      <c r="Q180" s="14">
        <v>44159</v>
      </c>
      <c r="R180" s="4" t="s">
        <v>102</v>
      </c>
      <c r="S180" s="10">
        <v>728000</v>
      </c>
      <c r="T180" s="4" t="e">
        <f>INDEX(Employee!#REF!,MATCH(U180,Employee!#REF!,0))</f>
        <v>#REF!</v>
      </c>
      <c r="U180" s="4" t="s">
        <v>520</v>
      </c>
      <c r="V180" s="4" t="e">
        <f>INDEX(Employee!#REF!,MATCH(U180,Employee!#REF!,0))</f>
        <v>#REF!</v>
      </c>
      <c r="W180" s="4" t="e">
        <f>INDEX(Employee!#REF!,MATCH(U180,Employee!#REF!,0))</f>
        <v>#REF!</v>
      </c>
      <c r="X180" s="4" t="e">
        <f>INDEX(Employee!#REF!,MATCH(U180,Employee!#REF!,0))</f>
        <v>#REF!</v>
      </c>
      <c r="AJ180" s="4" t="str">
        <f>INDEX(Employee!C:C,MATCH(AK180,Employee!B:B,0))</f>
        <v>Lại Thế Cường</v>
      </c>
      <c r="AK180" s="4" t="s">
        <v>539</v>
      </c>
      <c r="AL180" s="4" t="str">
        <f>INDEX(Employee!D:D,MATCH(AK180,Employee!B:B,0))</f>
        <v>Senior Software Engineer</v>
      </c>
      <c r="AM180" s="4" t="str">
        <f>INDEX(Employee!F:F,MATCH(AK180,Employee!B:B,0))</f>
        <v>Tech</v>
      </c>
      <c r="AN180" s="4" t="str">
        <f>INDEX(Employee!H:H,MATCH(AK180,Employee!B:B,0))</f>
        <v>Nguyễn Văn Bình (binhnv5)</v>
      </c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  <c r="BR180" s="6"/>
      <c r="BS180"/>
      <c r="BT180"/>
      <c r="BU180"/>
      <c r="BV180"/>
      <c r="BW180"/>
      <c r="BX180"/>
      <c r="BY180"/>
      <c r="BZ180"/>
      <c r="CA180"/>
      <c r="CB180"/>
      <c r="CC180"/>
      <c r="CD180"/>
      <c r="CE180"/>
      <c r="CF180"/>
      <c r="CG180"/>
      <c r="CH180" s="6"/>
      <c r="CI180"/>
      <c r="CJ180"/>
      <c r="CK180"/>
      <c r="CL180"/>
      <c r="CM180"/>
      <c r="CN180"/>
      <c r="CO180"/>
      <c r="CP180"/>
      <c r="CQ180"/>
      <c r="CR180"/>
      <c r="CS180"/>
      <c r="CT180"/>
      <c r="CU180"/>
      <c r="CV180"/>
      <c r="CW180"/>
      <c r="CX180" s="6"/>
    </row>
    <row r="181" spans="1:102" s="4" customFormat="1" hidden="1">
      <c r="A181" s="3">
        <f t="shared" si="12"/>
        <v>180</v>
      </c>
      <c r="B181" s="4" t="s">
        <v>16</v>
      </c>
      <c r="C181" s="4" t="s">
        <v>4</v>
      </c>
      <c r="D181" s="4" t="e">
        <f>INDEX(Employee!E:E,MATCH(AK181,Employee!B:B,0))</f>
        <v>#N/A</v>
      </c>
      <c r="E181" s="4" t="e">
        <f>INDEX(Employee!F:F,MATCH(AK181,Employee!B:B,0))</f>
        <v>#N/A</v>
      </c>
      <c r="F181" s="4" t="e">
        <f>INDEX(Employee!G:G,MATCH(AK181,Employee!B:B,0))</f>
        <v>#N/A</v>
      </c>
      <c r="G181" s="4" t="s">
        <v>15</v>
      </c>
      <c r="I181" s="4" t="str">
        <f t="shared" si="11"/>
        <v>MON0075</v>
      </c>
      <c r="J181" s="4" t="s">
        <v>107</v>
      </c>
      <c r="K181" s="7" t="s">
        <v>540</v>
      </c>
      <c r="L181" s="7"/>
      <c r="M181" s="7"/>
      <c r="N181" s="13" t="b">
        <v>0</v>
      </c>
      <c r="O181" s="13" t="b">
        <v>0</v>
      </c>
      <c r="P181" s="15" t="s">
        <v>541</v>
      </c>
      <c r="Q181" s="14">
        <v>44155</v>
      </c>
      <c r="R181" s="4" t="s">
        <v>102</v>
      </c>
      <c r="S181" s="10">
        <v>344546</v>
      </c>
      <c r="T181" s="4" t="e">
        <f>INDEX(Employee!#REF!,MATCH(U181,Employee!#REF!,0))</f>
        <v>#REF!</v>
      </c>
      <c r="V181" s="4" t="e">
        <f>INDEX(Employee!#REF!,MATCH(U181,Employee!#REF!,0))</f>
        <v>#REF!</v>
      </c>
      <c r="W181" s="4" t="e">
        <f>INDEX(Employee!#REF!,MATCH(U181,Employee!#REF!,0))</f>
        <v>#REF!</v>
      </c>
      <c r="X181" s="4" t="e">
        <f>INDEX(Employee!#REF!,MATCH(U181,Employee!#REF!,0))</f>
        <v>#REF!</v>
      </c>
      <c r="AJ181" s="4" t="e">
        <f>INDEX(Employee!C:C,MATCH(AK181,Employee!B:B,0))</f>
        <v>#N/A</v>
      </c>
      <c r="AL181" s="4" t="e">
        <f>INDEX(Employee!D:D,MATCH(AK181,Employee!B:B,0))</f>
        <v>#N/A</v>
      </c>
      <c r="AM181" s="4" t="e">
        <f>INDEX(Employee!F:F,MATCH(AK181,Employee!B:B,0))</f>
        <v>#N/A</v>
      </c>
      <c r="AN181" s="4" t="e">
        <f>INDEX(Employee!H:H,MATCH(AK181,Employee!B:B,0))</f>
        <v>#N/A</v>
      </c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  <c r="BR181" s="6"/>
      <c r="BS181"/>
      <c r="BT181"/>
      <c r="BU181"/>
      <c r="BV181"/>
      <c r="BW181"/>
      <c r="BX181"/>
      <c r="BY181"/>
      <c r="BZ181"/>
      <c r="CA181"/>
      <c r="CB181"/>
      <c r="CC181"/>
      <c r="CD181"/>
      <c r="CE181"/>
      <c r="CF181"/>
      <c r="CG181"/>
      <c r="CH181" s="6"/>
      <c r="CI181"/>
      <c r="CJ181"/>
      <c r="CK181"/>
      <c r="CL181"/>
      <c r="CM181"/>
      <c r="CN181"/>
      <c r="CO181"/>
      <c r="CP181"/>
      <c r="CQ181"/>
      <c r="CR181"/>
      <c r="CS181"/>
      <c r="CT181"/>
      <c r="CU181"/>
      <c r="CV181"/>
      <c r="CW181"/>
      <c r="CX181" s="6"/>
    </row>
    <row r="182" spans="1:102" s="4" customFormat="1" hidden="1">
      <c r="A182" s="3">
        <f t="shared" si="12"/>
        <v>181</v>
      </c>
      <c r="B182" s="4" t="s">
        <v>16</v>
      </c>
      <c r="C182" s="4" t="s">
        <v>3</v>
      </c>
      <c r="D182" s="4" t="str">
        <f>INDEX(Employee!E:E,MATCH(AK182,Employee!B:B,0))</f>
        <v>BO</v>
      </c>
      <c r="E182" s="4" t="str">
        <f>INDEX(Employee!F:F,MATCH(AK182,Employee!B:B,0))</f>
        <v>Business Support</v>
      </c>
      <c r="F182" s="4" t="str">
        <f>INDEX(Employee!G:G,MATCH(AK182,Employee!B:B,0))</f>
        <v>Operation Team</v>
      </c>
      <c r="G182" s="4" t="s">
        <v>15</v>
      </c>
      <c r="I182" s="4" t="str">
        <f t="shared" si="11"/>
        <v>MON0076</v>
      </c>
      <c r="J182" s="4" t="s">
        <v>107</v>
      </c>
      <c r="K182" s="7" t="s">
        <v>485</v>
      </c>
      <c r="L182" s="15"/>
      <c r="M182" s="15"/>
      <c r="N182" s="13" t="b">
        <v>0</v>
      </c>
      <c r="O182" s="13" t="b">
        <v>0</v>
      </c>
      <c r="P182" s="15" t="s">
        <v>542</v>
      </c>
      <c r="Q182" s="14">
        <v>43349</v>
      </c>
      <c r="R182" s="4" t="s">
        <v>102</v>
      </c>
      <c r="S182" s="10">
        <v>295000</v>
      </c>
      <c r="T182" s="4" t="e">
        <f>INDEX(Employee!#REF!,MATCH(U182,Employee!#REF!,0))</f>
        <v>#REF!</v>
      </c>
      <c r="V182" s="4" t="e">
        <f>INDEX(Employee!#REF!,MATCH(U182,Employee!#REF!,0))</f>
        <v>#REF!</v>
      </c>
      <c r="W182" s="4" t="e">
        <f>INDEX(Employee!#REF!,MATCH(U182,Employee!#REF!,0))</f>
        <v>#REF!</v>
      </c>
      <c r="X182" s="4" t="e">
        <f>INDEX(Employee!#REF!,MATCH(U182,Employee!#REF!,0))</f>
        <v>#REF!</v>
      </c>
      <c r="AJ182" s="4" t="str">
        <f>INDEX(Employee!C:C,MATCH(AK182,Employee!B:B,0))</f>
        <v>Nguyễn Ngọc Nhiên</v>
      </c>
      <c r="AK182" s="4" t="s">
        <v>283</v>
      </c>
      <c r="AL182" s="4" t="str">
        <f>INDEX(Employee!D:D,MATCH(AK182,Employee!B:B,0))</f>
        <v>Accounting Intern</v>
      </c>
      <c r="AM182" s="4" t="str">
        <f>INDEX(Employee!F:F,MATCH(AK182,Employee!B:B,0))</f>
        <v>Business Support</v>
      </c>
      <c r="AN182" s="4" t="str">
        <f>INDEX(Employee!H:H,MATCH(AK182,Employee!B:B,0))</f>
        <v>Hoàng Thị Trang</v>
      </c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  <c r="BR182" s="6"/>
      <c r="BS182"/>
      <c r="BT182"/>
      <c r="BU182"/>
      <c r="BV182"/>
      <c r="BW182"/>
      <c r="BX182"/>
      <c r="BY182"/>
      <c r="BZ182"/>
      <c r="CA182"/>
      <c r="CB182"/>
      <c r="CC182"/>
      <c r="CD182"/>
      <c r="CE182"/>
      <c r="CF182"/>
      <c r="CG182"/>
      <c r="CH182" s="6"/>
      <c r="CI182"/>
      <c r="CJ182"/>
      <c r="CK182"/>
      <c r="CL182"/>
      <c r="CM182"/>
      <c r="CN182"/>
      <c r="CO182"/>
      <c r="CP182"/>
      <c r="CQ182"/>
      <c r="CR182"/>
      <c r="CS182"/>
      <c r="CT182"/>
      <c r="CU182"/>
      <c r="CV182"/>
      <c r="CW182"/>
      <c r="CX182" s="6"/>
    </row>
    <row r="183" spans="1:102" s="4" customFormat="1" hidden="1">
      <c r="A183" s="3">
        <f t="shared" si="12"/>
        <v>182</v>
      </c>
      <c r="B183" s="4" t="s">
        <v>16</v>
      </c>
      <c r="C183" s="4" t="s">
        <v>3</v>
      </c>
      <c r="D183" s="4" t="str">
        <f>INDEX(Employee!E:E,MATCH(AK183,Employee!B:B,0))</f>
        <v>Project</v>
      </c>
      <c r="E183" s="4" t="str">
        <f>INDEX(Employee!F:F,MATCH(AK183,Employee!B:B,0))</f>
        <v>Tech</v>
      </c>
      <c r="F183" s="4" t="str">
        <f>INDEX(Employee!G:G,MATCH(AK183,Employee!B:B,0))</f>
        <v>Venture</v>
      </c>
      <c r="G183" s="4" t="s">
        <v>15</v>
      </c>
      <c r="I183" s="4" t="str">
        <f t="shared" si="11"/>
        <v>MON0077</v>
      </c>
      <c r="J183" s="4" t="s">
        <v>107</v>
      </c>
      <c r="K183" s="7" t="s">
        <v>378</v>
      </c>
      <c r="L183" s="7"/>
      <c r="M183" s="7"/>
      <c r="N183" s="13" t="b">
        <v>0</v>
      </c>
      <c r="O183" s="13" t="b">
        <v>0</v>
      </c>
      <c r="P183" s="15" t="s">
        <v>543</v>
      </c>
      <c r="Q183" s="14">
        <v>44145</v>
      </c>
      <c r="R183" s="4" t="s">
        <v>102</v>
      </c>
      <c r="S183" s="10">
        <v>727273</v>
      </c>
      <c r="T183" s="4" t="e">
        <f>INDEX(Employee!#REF!,MATCH(U183,Employee!#REF!,0))</f>
        <v>#REF!</v>
      </c>
      <c r="U183" s="4" t="s">
        <v>520</v>
      </c>
      <c r="V183" s="4" t="e">
        <f>INDEX(Employee!#REF!,MATCH(U183,Employee!#REF!,0))</f>
        <v>#REF!</v>
      </c>
      <c r="W183" s="4" t="e">
        <f>INDEX(Employee!#REF!,MATCH(U183,Employee!#REF!,0))</f>
        <v>#REF!</v>
      </c>
      <c r="X183" s="4" t="e">
        <f>INDEX(Employee!#REF!,MATCH(U183,Employee!#REF!,0))</f>
        <v>#REF!</v>
      </c>
      <c r="AJ183" s="4" t="str">
        <f>INDEX(Employee!C:C,MATCH(AK183,Employee!B:B,0))</f>
        <v>Võ Thành Nhơn</v>
      </c>
      <c r="AK183" s="4" t="s">
        <v>544</v>
      </c>
      <c r="AL183" s="4" t="str">
        <f>INDEX(Employee!D:D,MATCH(AK183,Employee!B:B,0))</f>
        <v>Senior DevOps Engineer</v>
      </c>
      <c r="AM183" s="4" t="str">
        <f>INDEX(Employee!F:F,MATCH(AK183,Employee!B:B,0))</f>
        <v>Tech</v>
      </c>
      <c r="AN183" s="4" t="str">
        <f>INDEX(Employee!H:H,MATCH(AK183,Employee!B:B,0))</f>
        <v>Đoàn Nhật Duẩn (duandn)</v>
      </c>
      <c r="AS183" s="4" t="s">
        <v>545</v>
      </c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  <c r="BR183" s="6"/>
      <c r="BS183"/>
      <c r="BT183"/>
      <c r="BU183"/>
      <c r="BV183"/>
      <c r="BW183"/>
      <c r="BX183"/>
      <c r="BY183"/>
      <c r="BZ183"/>
      <c r="CA183"/>
      <c r="CB183"/>
      <c r="CC183"/>
      <c r="CD183"/>
      <c r="CE183"/>
      <c r="CF183"/>
      <c r="CG183"/>
      <c r="CH183" s="6"/>
      <c r="CI183"/>
      <c r="CJ183"/>
      <c r="CK183"/>
      <c r="CL183"/>
      <c r="CM183"/>
      <c r="CN183"/>
      <c r="CO183"/>
      <c r="CP183"/>
      <c r="CQ183"/>
      <c r="CR183"/>
      <c r="CS183"/>
      <c r="CT183"/>
      <c r="CU183"/>
      <c r="CV183"/>
      <c r="CW183"/>
      <c r="CX183" s="6"/>
    </row>
    <row r="184" spans="1:102" s="4" customFormat="1" hidden="1">
      <c r="A184" s="3">
        <f t="shared" si="12"/>
        <v>183</v>
      </c>
      <c r="B184" s="4" t="s">
        <v>16</v>
      </c>
      <c r="C184" s="4" t="s">
        <v>3</v>
      </c>
      <c r="D184" s="4" t="str">
        <f>INDEX(Employee!E:E,MATCH(AK184,Employee!B:B,0))</f>
        <v>Project</v>
      </c>
      <c r="E184" s="4" t="str">
        <f>INDEX(Employee!F:F,MATCH(AK184,Employee!B:B,0))</f>
        <v>Tech</v>
      </c>
      <c r="F184" s="4" t="str">
        <f>INDEX(Employee!G:G,MATCH(AK184,Employee!B:B,0))</f>
        <v>Venture</v>
      </c>
      <c r="G184" s="4" t="s">
        <v>15</v>
      </c>
      <c r="H184" s="4" t="s">
        <v>546</v>
      </c>
      <c r="I184" s="4" t="str">
        <f t="shared" si="11"/>
        <v>MON0078</v>
      </c>
      <c r="J184" s="4" t="s">
        <v>107</v>
      </c>
      <c r="K184" s="7" t="s">
        <v>485</v>
      </c>
      <c r="L184" s="7"/>
      <c r="M184" s="7"/>
      <c r="N184" s="13" t="b">
        <v>0</v>
      </c>
      <c r="O184" s="13" t="b">
        <v>0</v>
      </c>
      <c r="P184" s="15" t="s">
        <v>547</v>
      </c>
      <c r="Q184" s="14">
        <v>43173</v>
      </c>
      <c r="R184" s="4" t="s">
        <v>102</v>
      </c>
      <c r="S184" s="10">
        <v>283400</v>
      </c>
      <c r="T184" s="4" t="e">
        <f>INDEX(Employee!#REF!,MATCH(U184,Employee!#REF!,0))</f>
        <v>#REF!</v>
      </c>
      <c r="V184" s="4" t="e">
        <f>INDEX(Employee!#REF!,MATCH(U184,Employee!#REF!,0))</f>
        <v>#REF!</v>
      </c>
      <c r="W184" s="4" t="e">
        <f>INDEX(Employee!#REF!,MATCH(U184,Employee!#REF!,0))</f>
        <v>#REF!</v>
      </c>
      <c r="X184" s="4" t="e">
        <f>INDEX(Employee!#REF!,MATCH(U184,Employee!#REF!,0))</f>
        <v>#REF!</v>
      </c>
      <c r="AJ184" s="4" t="str">
        <f>INDEX(Employee!C:C,MATCH(AK184,Employee!B:B,0))</f>
        <v>Nguyễn Quý</v>
      </c>
      <c r="AK184" s="4" t="s">
        <v>181</v>
      </c>
      <c r="AL184" s="4" t="str">
        <f>INDEX(Employee!D:D,MATCH(AK184,Employee!B:B,0))</f>
        <v>Senior Software Engineer</v>
      </c>
      <c r="AM184" s="4" t="str">
        <f>INDEX(Employee!F:F,MATCH(AK184,Employee!B:B,0))</f>
        <v>Tech</v>
      </c>
      <c r="AN184" s="4" t="str">
        <f>INDEX(Employee!H:H,MATCH(AK184,Employee!B:B,0))</f>
        <v>Đoàn Nhật Duẩn (duandn)</v>
      </c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  <c r="BR184" s="6"/>
      <c r="BS184"/>
      <c r="BT184"/>
      <c r="BU184"/>
      <c r="BV184"/>
      <c r="BW184"/>
      <c r="BX184"/>
      <c r="BY184"/>
      <c r="BZ184"/>
      <c r="CA184"/>
      <c r="CB184"/>
      <c r="CC184"/>
      <c r="CD184"/>
      <c r="CE184"/>
      <c r="CF184"/>
      <c r="CG184"/>
      <c r="CH184" s="6"/>
      <c r="CI184"/>
      <c r="CJ184"/>
      <c r="CK184"/>
      <c r="CL184"/>
      <c r="CM184"/>
      <c r="CN184"/>
      <c r="CO184"/>
      <c r="CP184"/>
      <c r="CQ184"/>
      <c r="CR184"/>
      <c r="CS184"/>
      <c r="CT184"/>
      <c r="CU184"/>
      <c r="CV184"/>
      <c r="CW184"/>
      <c r="CX184" s="6"/>
    </row>
    <row r="185" spans="1:102" s="4" customFormat="1" hidden="1">
      <c r="A185" s="3">
        <f t="shared" si="12"/>
        <v>184</v>
      </c>
      <c r="B185" s="4" t="s">
        <v>16</v>
      </c>
      <c r="C185" s="4" t="s">
        <v>4</v>
      </c>
      <c r="D185" s="4" t="e">
        <f>INDEX(Employee!E:E,MATCH(AK185,Employee!B:B,0))</f>
        <v>#N/A</v>
      </c>
      <c r="E185" s="4" t="e">
        <f>INDEX(Employee!F:F,MATCH(AK185,Employee!B:B,0))</f>
        <v>#N/A</v>
      </c>
      <c r="F185" s="4" t="e">
        <f>INDEX(Employee!G:G,MATCH(AK185,Employee!B:B,0))</f>
        <v>#N/A</v>
      </c>
      <c r="G185" s="4" t="s">
        <v>15</v>
      </c>
      <c r="H185" s="4" t="s">
        <v>548</v>
      </c>
      <c r="I185" s="4" t="str">
        <f t="shared" si="11"/>
        <v>MON0079</v>
      </c>
      <c r="J185" s="4" t="s">
        <v>107</v>
      </c>
      <c r="K185" s="7" t="s">
        <v>485</v>
      </c>
      <c r="L185" s="7"/>
      <c r="M185" s="7"/>
      <c r="N185" s="13" t="b">
        <v>0</v>
      </c>
      <c r="O185" s="13" t="b">
        <v>0</v>
      </c>
      <c r="P185" s="15" t="s">
        <v>549</v>
      </c>
      <c r="Q185" s="14">
        <v>43179</v>
      </c>
      <c r="R185" s="4" t="s">
        <v>102</v>
      </c>
      <c r="S185" s="10">
        <v>283400</v>
      </c>
      <c r="T185" s="4" t="e">
        <f>INDEX(Employee!#REF!,MATCH(U185,Employee!#REF!,0))</f>
        <v>#REF!</v>
      </c>
      <c r="V185" s="4" t="e">
        <f>INDEX(Employee!#REF!,MATCH(U185,Employee!#REF!,0))</f>
        <v>#REF!</v>
      </c>
      <c r="W185" s="4" t="e">
        <f>INDEX(Employee!#REF!,MATCH(U185,Employee!#REF!,0))</f>
        <v>#REF!</v>
      </c>
      <c r="X185" s="4" t="e">
        <f>INDEX(Employee!#REF!,MATCH(U185,Employee!#REF!,0))</f>
        <v>#REF!</v>
      </c>
      <c r="AJ185" s="4" t="e">
        <f>INDEX(Employee!C:C,MATCH(AK185,Employee!B:B,0))</f>
        <v>#N/A</v>
      </c>
      <c r="AL185" s="4" t="e">
        <f>INDEX(Employee!D:D,MATCH(AK185,Employee!B:B,0))</f>
        <v>#N/A</v>
      </c>
      <c r="AM185" s="4" t="e">
        <f>INDEX(Employee!F:F,MATCH(AK185,Employee!B:B,0))</f>
        <v>#N/A</v>
      </c>
      <c r="AN185" s="4" t="e">
        <f>INDEX(Employee!H:H,MATCH(AK185,Employee!B:B,0))</f>
        <v>#N/A</v>
      </c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  <c r="BR185" s="6"/>
      <c r="BS185"/>
      <c r="BT185"/>
      <c r="BU185"/>
      <c r="BV185"/>
      <c r="BW185"/>
      <c r="BX185"/>
      <c r="BY185"/>
      <c r="BZ185"/>
      <c r="CA185"/>
      <c r="CB185"/>
      <c r="CC185"/>
      <c r="CD185"/>
      <c r="CE185"/>
      <c r="CF185"/>
      <c r="CG185"/>
      <c r="CH185" s="6"/>
      <c r="CI185"/>
      <c r="CJ185"/>
      <c r="CK185"/>
      <c r="CL185"/>
      <c r="CM185"/>
      <c r="CN185"/>
      <c r="CO185"/>
      <c r="CP185"/>
      <c r="CQ185"/>
      <c r="CR185"/>
      <c r="CS185"/>
      <c r="CT185"/>
      <c r="CU185"/>
      <c r="CV185"/>
      <c r="CW185"/>
      <c r="CX185" s="6"/>
    </row>
    <row r="186" spans="1:102" s="4" customFormat="1" hidden="1">
      <c r="A186" s="3">
        <f t="shared" si="12"/>
        <v>185</v>
      </c>
      <c r="B186" s="4" t="s">
        <v>16</v>
      </c>
      <c r="C186" s="4" t="s">
        <v>4</v>
      </c>
      <c r="D186" s="4" t="e">
        <f>INDEX(Employee!E:E,MATCH(AK186,Employee!B:B,0))</f>
        <v>#N/A</v>
      </c>
      <c r="E186" s="4" t="e">
        <f>INDEX(Employee!F:F,MATCH(AK186,Employee!B:B,0))</f>
        <v>#N/A</v>
      </c>
      <c r="F186" s="4" t="e">
        <f>INDEX(Employee!G:G,MATCH(AK186,Employee!B:B,0))</f>
        <v>#N/A</v>
      </c>
      <c r="G186" s="4" t="s">
        <v>15</v>
      </c>
      <c r="H186" s="4" t="s">
        <v>550</v>
      </c>
      <c r="I186" s="4" t="str">
        <f t="shared" si="11"/>
        <v>MON0080</v>
      </c>
      <c r="J186" s="4" t="s">
        <v>107</v>
      </c>
      <c r="K186" s="7" t="s">
        <v>485</v>
      </c>
      <c r="L186" s="7"/>
      <c r="M186" s="7"/>
      <c r="N186" s="13" t="b">
        <v>0</v>
      </c>
      <c r="O186" s="13" t="b">
        <v>0</v>
      </c>
      <c r="P186" s="15" t="s">
        <v>551</v>
      </c>
      <c r="Q186" s="14">
        <v>43179</v>
      </c>
      <c r="R186" s="4" t="s">
        <v>102</v>
      </c>
      <c r="S186" s="10">
        <v>283400</v>
      </c>
      <c r="T186" s="4" t="e">
        <f>INDEX(Employee!#REF!,MATCH(U186,Employee!#REF!,0))</f>
        <v>#REF!</v>
      </c>
      <c r="V186" s="4" t="e">
        <f>INDEX(Employee!#REF!,MATCH(U186,Employee!#REF!,0))</f>
        <v>#REF!</v>
      </c>
      <c r="W186" s="4" t="e">
        <f>INDEX(Employee!#REF!,MATCH(U186,Employee!#REF!,0))</f>
        <v>#REF!</v>
      </c>
      <c r="X186" s="4" t="e">
        <f>INDEX(Employee!#REF!,MATCH(U186,Employee!#REF!,0))</f>
        <v>#REF!</v>
      </c>
      <c r="AJ186" s="4" t="e">
        <f>INDEX(Employee!C:C,MATCH(AK186,Employee!B:B,0))</f>
        <v>#N/A</v>
      </c>
      <c r="AL186" s="4" t="e">
        <f>INDEX(Employee!D:D,MATCH(AK186,Employee!B:B,0))</f>
        <v>#N/A</v>
      </c>
      <c r="AM186" s="4" t="e">
        <f>INDEX(Employee!F:F,MATCH(AK186,Employee!B:B,0))</f>
        <v>#N/A</v>
      </c>
      <c r="AN186" s="4" t="e">
        <f>INDEX(Employee!H:H,MATCH(AK186,Employee!B:B,0))</f>
        <v>#N/A</v>
      </c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  <c r="BR186" s="6"/>
      <c r="BS186"/>
      <c r="BT186"/>
      <c r="BU186"/>
      <c r="BV186"/>
      <c r="BW186"/>
      <c r="BX186"/>
      <c r="BY186"/>
      <c r="BZ186"/>
      <c r="CA186"/>
      <c r="CB186"/>
      <c r="CC186"/>
      <c r="CD186"/>
      <c r="CE186"/>
      <c r="CF186"/>
      <c r="CG186"/>
      <c r="CH186" s="6"/>
      <c r="CI186"/>
      <c r="CJ186"/>
      <c r="CK186"/>
      <c r="CL186"/>
      <c r="CM186"/>
      <c r="CN186"/>
      <c r="CO186"/>
      <c r="CP186"/>
      <c r="CQ186"/>
      <c r="CR186"/>
      <c r="CS186"/>
      <c r="CT186"/>
      <c r="CU186"/>
      <c r="CV186"/>
      <c r="CW186"/>
      <c r="CX186" s="6"/>
    </row>
    <row r="187" spans="1:102" s="4" customFormat="1" hidden="1">
      <c r="A187" s="3">
        <f t="shared" si="12"/>
        <v>186</v>
      </c>
      <c r="B187" s="4" t="s">
        <v>16</v>
      </c>
      <c r="C187" s="4" t="s">
        <v>3</v>
      </c>
      <c r="D187" s="4" t="str">
        <f>INDEX(Employee!E:E,MATCH(AK187,Employee!B:B,0))</f>
        <v>Project</v>
      </c>
      <c r="E187" s="4" t="str">
        <f>INDEX(Employee!F:F,MATCH(AK187,Employee!B:B,0))</f>
        <v>Tech</v>
      </c>
      <c r="F187" s="4" t="str">
        <f>INDEX(Employee!G:G,MATCH(AK187,Employee!B:B,0))</f>
        <v>Venture</v>
      </c>
      <c r="G187" s="4" t="s">
        <v>15</v>
      </c>
      <c r="I187" s="4" t="str">
        <f t="shared" si="11"/>
        <v>MON0081</v>
      </c>
      <c r="J187" s="4" t="s">
        <v>107</v>
      </c>
      <c r="K187" s="7" t="s">
        <v>108</v>
      </c>
      <c r="L187" s="7"/>
      <c r="M187" s="7"/>
      <c r="N187" s="13" t="b">
        <v>0</v>
      </c>
      <c r="O187" s="13" t="b">
        <v>0</v>
      </c>
      <c r="P187" s="15" t="s">
        <v>552</v>
      </c>
      <c r="Q187" s="14">
        <v>44757</v>
      </c>
      <c r="R187" s="4" t="s">
        <v>102</v>
      </c>
      <c r="S187" s="10">
        <v>695168</v>
      </c>
      <c r="T187" s="4" t="e">
        <f>INDEX(Employee!#REF!,MATCH(U187,Employee!#REF!,0))</f>
        <v>#REF!</v>
      </c>
      <c r="U187" s="4" t="s">
        <v>553</v>
      </c>
      <c r="V187" s="4" t="e">
        <f>INDEX(Employee!#REF!,MATCH(U187,Employee!#REF!,0))</f>
        <v>#REF!</v>
      </c>
      <c r="W187" s="4" t="e">
        <f>INDEX(Employee!#REF!,MATCH(U187,Employee!#REF!,0))</f>
        <v>#REF!</v>
      </c>
      <c r="X187" s="4" t="e">
        <f>INDEX(Employee!#REF!,MATCH(U187,Employee!#REF!,0))</f>
        <v>#REF!</v>
      </c>
      <c r="AJ187" s="4" t="str">
        <f>INDEX(Employee!C:C,MATCH(AK187,Employee!B:B,0))</f>
        <v>Nguyễn Ngọc Lân</v>
      </c>
      <c r="AK187" s="4" t="s">
        <v>554</v>
      </c>
      <c r="AL187" s="4" t="str">
        <f>INDEX(Employee!D:D,MATCH(AK187,Employee!B:B,0))</f>
        <v xml:space="preserve">Business Analyst Intern </v>
      </c>
      <c r="AM187" s="4" t="str">
        <f>INDEX(Employee!F:F,MATCH(AK187,Employee!B:B,0))</f>
        <v>Tech</v>
      </c>
      <c r="AN187" s="4" t="str">
        <f>INDEX(Employee!H:H,MATCH(AK187,Employee!B:B,0))</f>
        <v>Ngô Khánh Vu</v>
      </c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  <c r="BR187" s="6"/>
      <c r="BS187"/>
      <c r="BT187"/>
      <c r="BU187"/>
      <c r="BV187"/>
      <c r="BW187"/>
      <c r="BX187"/>
      <c r="BY187"/>
      <c r="BZ187"/>
      <c r="CA187"/>
      <c r="CB187"/>
      <c r="CC187"/>
      <c r="CD187"/>
      <c r="CE187"/>
      <c r="CF187"/>
      <c r="CG187"/>
      <c r="CH187" s="6"/>
      <c r="CI187"/>
      <c r="CJ187"/>
      <c r="CK187"/>
      <c r="CL187"/>
      <c r="CM187"/>
      <c r="CN187"/>
      <c r="CO187"/>
      <c r="CP187"/>
      <c r="CQ187"/>
      <c r="CR187"/>
      <c r="CS187"/>
      <c r="CT187"/>
      <c r="CU187"/>
      <c r="CV187"/>
      <c r="CW187"/>
      <c r="CX187" s="6"/>
    </row>
    <row r="188" spans="1:102" s="4" customFormat="1" hidden="1">
      <c r="A188" s="3">
        <f t="shared" si="12"/>
        <v>187</v>
      </c>
      <c r="B188" s="4" t="s">
        <v>16</v>
      </c>
      <c r="C188" s="4" t="s">
        <v>3</v>
      </c>
      <c r="D188" s="4" t="str">
        <f>INDEX(Employee!E:E,MATCH(AK188,Employee!B:B,0))</f>
        <v>Project</v>
      </c>
      <c r="E188" s="4" t="str">
        <f>INDEX(Employee!F:F,MATCH(AK188,Employee!B:B,0))</f>
        <v>Tech</v>
      </c>
      <c r="F188" s="4" t="str">
        <f>INDEX(Employee!G:G,MATCH(AK188,Employee!B:B,0))</f>
        <v>Venture</v>
      </c>
      <c r="G188" s="4" t="s">
        <v>15</v>
      </c>
      <c r="H188" s="4" t="s">
        <v>555</v>
      </c>
      <c r="I188" s="4" t="str">
        <f t="shared" si="11"/>
        <v>MON0082</v>
      </c>
      <c r="J188" s="4" t="s">
        <v>107</v>
      </c>
      <c r="K188" s="7" t="s">
        <v>507</v>
      </c>
      <c r="L188" s="7"/>
      <c r="M188" s="7"/>
      <c r="N188" s="13" t="b">
        <v>0</v>
      </c>
      <c r="O188" s="13" t="b">
        <v>0</v>
      </c>
      <c r="P188" s="15" t="s">
        <v>556</v>
      </c>
      <c r="Q188" s="14">
        <v>43434</v>
      </c>
      <c r="R188" s="4" t="s">
        <v>102</v>
      </c>
      <c r="S188" s="10">
        <v>305000</v>
      </c>
      <c r="T188" s="4" t="e">
        <f>INDEX(Employee!#REF!,MATCH(U188,Employee!#REF!,0))</f>
        <v>#REF!</v>
      </c>
      <c r="V188" s="4" t="e">
        <f>INDEX(Employee!#REF!,MATCH(U188,Employee!#REF!,0))</f>
        <v>#REF!</v>
      </c>
      <c r="W188" s="4" t="e">
        <f>INDEX(Employee!#REF!,MATCH(U188,Employee!#REF!,0))</f>
        <v>#REF!</v>
      </c>
      <c r="X188" s="4" t="e">
        <f>INDEX(Employee!#REF!,MATCH(U188,Employee!#REF!,0))</f>
        <v>#REF!</v>
      </c>
      <c r="AJ188" s="4" t="str">
        <f>INDEX(Employee!C:C,MATCH(AK188,Employee!B:B,0))</f>
        <v>Trịnh Minh Toàn</v>
      </c>
      <c r="AK188" s="4" t="s">
        <v>215</v>
      </c>
      <c r="AL188" s="4" t="str">
        <f>INDEX(Employee!D:D,MATCH(AK188,Employee!B:B,0))</f>
        <v>Senior Software Engineer</v>
      </c>
      <c r="AM188" s="4" t="str">
        <f>INDEX(Employee!F:F,MATCH(AK188,Employee!B:B,0))</f>
        <v>Tech</v>
      </c>
      <c r="AN188" s="4" t="str">
        <f>INDEX(Employee!H:H,MATCH(AK188,Employee!B:B,0))</f>
        <v>Đoàn Nhật Duẩn (duandn)</v>
      </c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  <c r="BR188" s="6"/>
      <c r="BS188"/>
      <c r="BT188"/>
      <c r="BU188"/>
      <c r="BV188"/>
      <c r="BW188"/>
      <c r="BX188"/>
      <c r="BY188"/>
      <c r="BZ188"/>
      <c r="CA188"/>
      <c r="CB188"/>
      <c r="CC188"/>
      <c r="CD188"/>
      <c r="CE188"/>
      <c r="CF188"/>
      <c r="CG188"/>
      <c r="CH188" s="6"/>
      <c r="CI188"/>
      <c r="CJ188"/>
      <c r="CK188"/>
      <c r="CL188"/>
      <c r="CM188"/>
      <c r="CN188"/>
      <c r="CO188"/>
      <c r="CP188"/>
      <c r="CQ188"/>
      <c r="CR188"/>
      <c r="CS188"/>
      <c r="CT188"/>
      <c r="CU188"/>
      <c r="CV188"/>
      <c r="CW188"/>
      <c r="CX188" s="6"/>
    </row>
    <row r="189" spans="1:102" s="4" customFormat="1" hidden="1">
      <c r="A189" s="3">
        <f t="shared" si="12"/>
        <v>188</v>
      </c>
      <c r="B189" s="4" t="s">
        <v>16</v>
      </c>
      <c r="C189" s="4" t="s">
        <v>3</v>
      </c>
      <c r="D189" s="4" t="str">
        <f>INDEX(Employee!E:E,MATCH(AK189,Employee!B:B,0))</f>
        <v>AM</v>
      </c>
      <c r="E189" s="4" t="str">
        <f>INDEX(Employee!F:F,MATCH(AK189,Employee!B:B,0))</f>
        <v>Sales</v>
      </c>
      <c r="F189" s="4" t="str">
        <f>INDEX(Employee!G:G,MATCH(AK189,Employee!B:B,0))</f>
        <v>Resource Pool</v>
      </c>
      <c r="G189" s="4" t="s">
        <v>15</v>
      </c>
      <c r="I189" s="4" t="str">
        <f t="shared" si="11"/>
        <v>MON0083</v>
      </c>
      <c r="J189" s="4" t="s">
        <v>107</v>
      </c>
      <c r="K189" s="7" t="s">
        <v>557</v>
      </c>
      <c r="L189" s="7"/>
      <c r="M189" s="7"/>
      <c r="N189" s="13" t="b">
        <v>0</v>
      </c>
      <c r="O189" s="13" t="b">
        <v>0</v>
      </c>
      <c r="P189" s="15" t="s">
        <v>558</v>
      </c>
      <c r="Q189" s="14">
        <v>44207</v>
      </c>
      <c r="R189" s="4" t="s">
        <v>102</v>
      </c>
      <c r="S189" s="10">
        <v>650000</v>
      </c>
      <c r="T189" s="4" t="e">
        <f>INDEX(Employee!#REF!,MATCH(U189,Employee!#REF!,0))</f>
        <v>#REF!</v>
      </c>
      <c r="V189" s="4" t="e">
        <f>INDEX(Employee!#REF!,MATCH(U189,Employee!#REF!,0))</f>
        <v>#REF!</v>
      </c>
      <c r="W189" s="4" t="e">
        <f>INDEX(Employee!#REF!,MATCH(U189,Employee!#REF!,0))</f>
        <v>#REF!</v>
      </c>
      <c r="X189" s="4" t="e">
        <f>INDEX(Employee!#REF!,MATCH(U189,Employee!#REF!,0))</f>
        <v>#REF!</v>
      </c>
      <c r="AJ189" s="4" t="str">
        <f>INDEX(Employee!C:C,MATCH(AK189,Employee!B:B,0))</f>
        <v>Bùi Tuấn Huy</v>
      </c>
      <c r="AK189" s="4" t="s">
        <v>238</v>
      </c>
      <c r="AL189" s="4" t="str">
        <f>INDEX(Employee!D:D,MATCH(AK189,Employee!B:B,0))</f>
        <v>Regional Business Manager</v>
      </c>
      <c r="AM189" s="4" t="str">
        <f>INDEX(Employee!F:F,MATCH(AK189,Employee!B:B,0))</f>
        <v>Sales</v>
      </c>
      <c r="AN189" s="4" t="str">
        <f>INDEX(Employee!H:H,MATCH(AK189,Employee!B:B,0))</f>
        <v>Đoàn Hải Nam</v>
      </c>
      <c r="AS189" s="4" t="s">
        <v>559</v>
      </c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  <c r="BR189" s="6"/>
      <c r="BS189"/>
      <c r="BT189"/>
      <c r="BU189"/>
      <c r="BV189"/>
      <c r="BW189"/>
      <c r="BX189"/>
      <c r="BY189"/>
      <c r="BZ189"/>
      <c r="CA189"/>
      <c r="CB189"/>
      <c r="CC189"/>
      <c r="CD189"/>
      <c r="CE189"/>
      <c r="CF189"/>
      <c r="CG189"/>
      <c r="CH189" s="6"/>
      <c r="CI189"/>
      <c r="CJ189"/>
      <c r="CK189"/>
      <c r="CL189"/>
      <c r="CM189"/>
      <c r="CN189"/>
      <c r="CO189"/>
      <c r="CP189"/>
      <c r="CQ189"/>
      <c r="CR189"/>
      <c r="CS189"/>
      <c r="CT189"/>
      <c r="CU189"/>
      <c r="CV189"/>
      <c r="CW189"/>
      <c r="CX189" s="6"/>
    </row>
    <row r="190" spans="1:102" s="4" customFormat="1" hidden="1">
      <c r="A190" s="3">
        <f t="shared" si="12"/>
        <v>189</v>
      </c>
      <c r="B190" s="4" t="s">
        <v>16</v>
      </c>
      <c r="C190" s="4" t="s">
        <v>3</v>
      </c>
      <c r="D190" s="4">
        <f>INDEX(Employee!E:E,MATCH(AK190,Employee!B:B,0))</f>
        <v>0</v>
      </c>
      <c r="E190" s="4" t="str">
        <f>INDEX(Employee!F:F,MATCH(AK190,Employee!B:B,0))</f>
        <v>Tech</v>
      </c>
      <c r="F190" s="4">
        <f>INDEX(Employee!G:G,MATCH(AK190,Employee!B:B,0))</f>
        <v>0</v>
      </c>
      <c r="G190" s="4" t="s">
        <v>119</v>
      </c>
      <c r="H190" s="4" t="s">
        <v>560</v>
      </c>
      <c r="I190" s="4" t="str">
        <f t="shared" si="11"/>
        <v>MON0084</v>
      </c>
      <c r="J190" s="4" t="s">
        <v>107</v>
      </c>
      <c r="K190" s="7" t="s">
        <v>378</v>
      </c>
      <c r="L190" s="7"/>
      <c r="M190" s="7"/>
      <c r="N190" s="13" t="b">
        <v>1</v>
      </c>
      <c r="O190" s="13" t="b">
        <v>0</v>
      </c>
      <c r="P190" s="15" t="s">
        <v>561</v>
      </c>
      <c r="Q190" s="14">
        <v>44757</v>
      </c>
      <c r="R190" s="4" t="s">
        <v>102</v>
      </c>
      <c r="S190" s="10">
        <v>6605834</v>
      </c>
      <c r="T190" s="4" t="e">
        <f>INDEX(Employee!#REF!,MATCH(U190,Employee!#REF!,0))</f>
        <v>#REF!</v>
      </c>
      <c r="V190" s="4" t="e">
        <f>INDEX(Employee!#REF!,MATCH(U190,Employee!#REF!,0))</f>
        <v>#REF!</v>
      </c>
      <c r="W190" s="4" t="e">
        <f>INDEX(Employee!#REF!,MATCH(U190,Employee!#REF!,0))</f>
        <v>#REF!</v>
      </c>
      <c r="X190" s="4" t="e">
        <f>INDEX(Employee!#REF!,MATCH(U190,Employee!#REF!,0))</f>
        <v>#REF!</v>
      </c>
      <c r="AJ190" s="4" t="str">
        <f>INDEX(Employee!C:C,MATCH(AK190,Employee!B:B,0))</f>
        <v>Đào Xuân Tùng</v>
      </c>
      <c r="AK190" s="4" t="s">
        <v>155</v>
      </c>
      <c r="AL190" s="4" t="str">
        <f>INDEX(Employee!D:D,MATCH(AK190,Employee!B:B,0))</f>
        <v>Software Engineer</v>
      </c>
      <c r="AM190" s="4" t="str">
        <f>INDEX(Employee!F:F,MATCH(AK190,Employee!B:B,0))</f>
        <v>Tech</v>
      </c>
      <c r="AN190" s="4" t="str">
        <f>INDEX(Employee!H:H,MATCH(AK190,Employee!B:B,0))</f>
        <v>Trần Triệu Dương (duongtt5)</v>
      </c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  <c r="BR190" s="6"/>
      <c r="BS190"/>
      <c r="BT190"/>
      <c r="BU190"/>
      <c r="BV190"/>
      <c r="BW190"/>
      <c r="BX190"/>
      <c r="BY190"/>
      <c r="BZ190"/>
      <c r="CA190"/>
      <c r="CB190"/>
      <c r="CC190"/>
      <c r="CD190"/>
      <c r="CE190"/>
      <c r="CF190"/>
      <c r="CG190"/>
      <c r="CH190" s="6"/>
      <c r="CI190"/>
      <c r="CJ190"/>
      <c r="CK190"/>
      <c r="CL190"/>
      <c r="CM190"/>
      <c r="CN190"/>
      <c r="CO190"/>
      <c r="CP190"/>
      <c r="CQ190"/>
      <c r="CR190"/>
      <c r="CS190"/>
      <c r="CT190"/>
      <c r="CU190"/>
      <c r="CV190"/>
      <c r="CW190"/>
      <c r="CX190" s="6"/>
    </row>
    <row r="191" spans="1:102" s="4" customFormat="1" hidden="1">
      <c r="A191" s="3">
        <f t="shared" si="12"/>
        <v>190</v>
      </c>
      <c r="B191" s="4" t="s">
        <v>14</v>
      </c>
      <c r="C191" s="4" t="s">
        <v>4</v>
      </c>
      <c r="D191" s="4" t="e">
        <f>INDEX(Employee!E:E,MATCH(AK191,Employee!B:B,0))</f>
        <v>#N/A</v>
      </c>
      <c r="E191" s="4" t="e">
        <f>INDEX(Employee!F:F,MATCH(AK191,Employee!B:B,0))</f>
        <v>#N/A</v>
      </c>
      <c r="F191" s="4" t="e">
        <f>INDEX(Employee!G:G,MATCH(AK191,Employee!B:B,0))</f>
        <v>#N/A</v>
      </c>
      <c r="G191" s="4" t="s">
        <v>119</v>
      </c>
      <c r="I191" s="4" t="s">
        <v>562</v>
      </c>
      <c r="J191" s="4" t="s">
        <v>99</v>
      </c>
      <c r="K191" s="4" t="s">
        <v>100</v>
      </c>
      <c r="L191" s="4" t="s">
        <v>49</v>
      </c>
      <c r="M191" s="4" t="str">
        <f t="shared" ref="M191:M198" si="13">RIGHT(K191,5)</f>
        <v>256GB</v>
      </c>
      <c r="N191" s="13" t="b">
        <v>0</v>
      </c>
      <c r="O191" s="13" t="b">
        <v>0</v>
      </c>
      <c r="P191" s="4" t="s">
        <v>563</v>
      </c>
      <c r="Q191" s="14">
        <v>45252</v>
      </c>
      <c r="R191" s="4" t="s">
        <v>102</v>
      </c>
      <c r="S191" s="10">
        <v>23886334</v>
      </c>
      <c r="T191" s="4" t="e">
        <f>INDEX(Employee!#REF!,MATCH(U191,Employee!#REF!,0))</f>
        <v>#REF!</v>
      </c>
      <c r="U191" s="4" t="s">
        <v>564</v>
      </c>
      <c r="V191" s="4" t="e">
        <f>INDEX(Employee!#REF!,MATCH(U191,Employee!#REF!,0))</f>
        <v>#REF!</v>
      </c>
      <c r="W191" s="4" t="e">
        <f>INDEX(Employee!#REF!,MATCH(U191,Employee!#REF!,0))</f>
        <v>#REF!</v>
      </c>
      <c r="X191" s="4" t="e">
        <f>INDEX(Employee!#REF!,MATCH(U191,Employee!#REF!,0))</f>
        <v>#REF!</v>
      </c>
      <c r="AJ191" s="4" t="e">
        <f>INDEX(Employee!C:C,MATCH(AK191,Employee!B:B,0))</f>
        <v>#N/A</v>
      </c>
      <c r="AL191" s="4" t="e">
        <f>INDEX(Employee!D:D,MATCH(AK191,Employee!B:B,0))</f>
        <v>#N/A</v>
      </c>
      <c r="AM191" s="4" t="e">
        <f>INDEX(Employee!F:F,MATCH(AK191,Employee!B:B,0))</f>
        <v>#N/A</v>
      </c>
      <c r="AN191" s="4" t="e">
        <f>INDEX(Employee!H:H,MATCH(AK191,Employee!B:B,0))</f>
        <v>#N/A</v>
      </c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  <c r="BR191"/>
      <c r="BS191"/>
      <c r="BT191"/>
      <c r="BU191"/>
      <c r="BV191"/>
      <c r="BW191"/>
      <c r="BX191"/>
      <c r="BY191"/>
      <c r="BZ191"/>
      <c r="CA191"/>
      <c r="CB191"/>
      <c r="CC191"/>
      <c r="CD191"/>
      <c r="CE191"/>
      <c r="CF191"/>
      <c r="CG191"/>
      <c r="CH191" s="6"/>
      <c r="CI191"/>
      <c r="CJ191"/>
      <c r="CK191"/>
      <c r="CL191"/>
      <c r="CM191"/>
      <c r="CN191"/>
      <c r="CO191"/>
      <c r="CP191"/>
      <c r="CQ191"/>
      <c r="CR191"/>
      <c r="CS191"/>
      <c r="CT191"/>
      <c r="CU191"/>
      <c r="CV191"/>
      <c r="CW191"/>
      <c r="CX191" s="6"/>
    </row>
    <row r="192" spans="1:102" s="4" customFormat="1" hidden="1">
      <c r="A192" s="3">
        <f t="shared" si="12"/>
        <v>191</v>
      </c>
      <c r="B192" s="4" t="s">
        <v>14</v>
      </c>
      <c r="C192" s="4" t="s">
        <v>3</v>
      </c>
      <c r="D192" s="4" t="str">
        <f>INDEX(Employee!E:E,MATCH(AK192,Employee!B:B,0))</f>
        <v>Undirect IT Staff</v>
      </c>
      <c r="E192" s="4" t="str">
        <f>INDEX(Employee!F:F,MATCH(AK192,Employee!B:B,0))</f>
        <v>Tech</v>
      </c>
      <c r="F192" s="4" t="str">
        <f>INDEX(Employee!G:G,MATCH(AK192,Employee!B:B,0))</f>
        <v>Odoo</v>
      </c>
      <c r="G192" s="4" t="s">
        <v>15</v>
      </c>
      <c r="I192" s="4" t="str">
        <f t="shared" ref="I192:I198" si="14">IF(I191="","", "LAP"&amp;TEXT(VALUE(RIGHT(I191,4))+1,"0000"))</f>
        <v>LAP0078</v>
      </c>
      <c r="J192" s="4" t="s">
        <v>99</v>
      </c>
      <c r="K192" s="7" t="s">
        <v>121</v>
      </c>
      <c r="L192" s="7" t="s">
        <v>48</v>
      </c>
      <c r="M192" s="4" t="str">
        <f t="shared" si="13"/>
        <v>256GB</v>
      </c>
      <c r="N192" s="13" t="b">
        <v>1</v>
      </c>
      <c r="O192" s="13" t="b">
        <v>0</v>
      </c>
      <c r="P192" s="4" t="s">
        <v>565</v>
      </c>
      <c r="Q192" s="14">
        <v>44211</v>
      </c>
      <c r="R192" s="4" t="s">
        <v>102</v>
      </c>
      <c r="S192" s="10">
        <v>3300000</v>
      </c>
      <c r="T192" s="4" t="e">
        <f>INDEX(Employee!#REF!,MATCH(U192,Employee!#REF!,0))</f>
        <v>#REF!</v>
      </c>
      <c r="U192" s="4" t="s">
        <v>268</v>
      </c>
      <c r="V192" s="4" t="e">
        <f>INDEX(Employee!#REF!,MATCH(U192,Employee!#REF!,0))</f>
        <v>#REF!</v>
      </c>
      <c r="W192" s="4" t="e">
        <f>INDEX(Employee!#REF!,MATCH(U192,Employee!#REF!,0))</f>
        <v>#REF!</v>
      </c>
      <c r="X192" s="4" t="e">
        <f>INDEX(Employee!#REF!,MATCH(U192,Employee!#REF!,0))</f>
        <v>#REF!</v>
      </c>
      <c r="AJ192" s="4" t="str">
        <f>INDEX(Employee!C:C,MATCH(AK192,Employee!B:B,0))</f>
        <v>Nguyễn Quốc Trung</v>
      </c>
      <c r="AK192" s="4" t="s">
        <v>496</v>
      </c>
      <c r="AL192" s="4" t="str">
        <f>INDEX(Employee!D:D,MATCH(AK192,Employee!B:B,0))</f>
        <v>Fresher Software Engineer</v>
      </c>
      <c r="AM192" s="4" t="str">
        <f>INDEX(Employee!F:F,MATCH(AK192,Employee!B:B,0))</f>
        <v>Tech</v>
      </c>
      <c r="AN192" s="4" t="str">
        <f>INDEX(Employee!H:H,MATCH(AK192,Employee!B:B,0))</f>
        <v>Dương Phạm Thành Công (congdpt)</v>
      </c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  <c r="BR192"/>
      <c r="BS192"/>
      <c r="BT192"/>
      <c r="BU192"/>
      <c r="BV192"/>
      <c r="BW192"/>
      <c r="BX192"/>
      <c r="BY192"/>
      <c r="BZ192"/>
      <c r="CA192"/>
      <c r="CB192"/>
      <c r="CC192"/>
      <c r="CD192"/>
      <c r="CE192"/>
      <c r="CF192"/>
      <c r="CG192"/>
      <c r="CH192" s="6"/>
      <c r="CI192"/>
      <c r="CJ192"/>
      <c r="CK192"/>
      <c r="CL192"/>
      <c r="CM192"/>
      <c r="CN192"/>
      <c r="CO192"/>
      <c r="CP192"/>
      <c r="CQ192"/>
      <c r="CR192"/>
      <c r="CS192"/>
      <c r="CT192"/>
      <c r="CU192"/>
      <c r="CV192"/>
      <c r="CW192"/>
      <c r="CX192" s="6"/>
    </row>
    <row r="193" spans="1:102" s="4" customFormat="1" hidden="1">
      <c r="A193" s="3">
        <f t="shared" si="12"/>
        <v>192</v>
      </c>
      <c r="B193" s="4" t="s">
        <v>14</v>
      </c>
      <c r="C193" s="4" t="s">
        <v>5</v>
      </c>
      <c r="D193" s="4" t="e">
        <f>INDEX(Employee!E:E,MATCH(AK193,Employee!B:B,0))</f>
        <v>#N/A</v>
      </c>
      <c r="E193" s="4" t="e">
        <f>INDEX(Employee!F:F,MATCH(AK193,Employee!B:B,0))</f>
        <v>#N/A</v>
      </c>
      <c r="F193" s="4" t="e">
        <f>INDEX(Employee!G:G,MATCH(AK193,Employee!B:B,0))</f>
        <v>#N/A</v>
      </c>
      <c r="G193" s="4" t="s">
        <v>15</v>
      </c>
      <c r="I193" s="4" t="str">
        <f t="shared" si="14"/>
        <v>LAP0079</v>
      </c>
      <c r="J193" s="4" t="s">
        <v>99</v>
      </c>
      <c r="K193" s="7" t="s">
        <v>121</v>
      </c>
      <c r="L193" s="7" t="s">
        <v>48</v>
      </c>
      <c r="M193" s="4" t="str">
        <f t="shared" si="13"/>
        <v>256GB</v>
      </c>
      <c r="N193" s="13" t="b">
        <v>1</v>
      </c>
      <c r="O193" s="13" t="b">
        <v>0</v>
      </c>
      <c r="P193" s="4" t="s">
        <v>566</v>
      </c>
      <c r="Q193" s="14">
        <v>44650</v>
      </c>
      <c r="R193" s="4" t="s">
        <v>102</v>
      </c>
      <c r="S193" s="10">
        <v>4623663</v>
      </c>
      <c r="T193" s="4" t="e">
        <f>INDEX(Employee!#REF!,MATCH(U193,Employee!#REF!,0))</f>
        <v>#REF!</v>
      </c>
      <c r="U193" s="4" t="s">
        <v>268</v>
      </c>
      <c r="V193" s="4" t="e">
        <f>INDEX(Employee!#REF!,MATCH(U193,Employee!#REF!,0))</f>
        <v>#REF!</v>
      </c>
      <c r="W193" s="4" t="e">
        <f>INDEX(Employee!#REF!,MATCH(U193,Employee!#REF!,0))</f>
        <v>#REF!</v>
      </c>
      <c r="X193" s="4" t="e">
        <f>INDEX(Employee!#REF!,MATCH(U193,Employee!#REF!,0))</f>
        <v>#REF!</v>
      </c>
      <c r="AJ193" s="4" t="e">
        <f>INDEX(Employee!C:C,MATCH(AK193,Employee!B:B,0))</f>
        <v>#N/A</v>
      </c>
      <c r="AL193" s="4" t="e">
        <f>INDEX(Employee!D:D,MATCH(AK193,Employee!B:B,0))</f>
        <v>#N/A</v>
      </c>
      <c r="AM193" s="4" t="e">
        <f>INDEX(Employee!F:F,MATCH(AK193,Employee!B:B,0))</f>
        <v>#N/A</v>
      </c>
      <c r="AN193" s="4" t="e">
        <f>INDEX(Employee!H:H,MATCH(AK193,Employee!B:B,0))</f>
        <v>#N/A</v>
      </c>
      <c r="AQ193" s="4" t="s">
        <v>567</v>
      </c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  <c r="BR193"/>
      <c r="BS193"/>
      <c r="BT193"/>
      <c r="BU193"/>
      <c r="BV193"/>
      <c r="BW193"/>
      <c r="BX193"/>
      <c r="BY193"/>
      <c r="BZ193"/>
      <c r="CA193"/>
      <c r="CB193"/>
      <c r="CC193"/>
      <c r="CD193"/>
      <c r="CE193"/>
      <c r="CF193"/>
      <c r="CG193"/>
      <c r="CH193" s="6"/>
      <c r="CI193"/>
      <c r="CJ193"/>
      <c r="CK193"/>
      <c r="CL193"/>
      <c r="CM193"/>
      <c r="CN193"/>
      <c r="CO193"/>
      <c r="CP193"/>
      <c r="CQ193"/>
      <c r="CR193"/>
      <c r="CS193"/>
      <c r="CT193"/>
      <c r="CU193"/>
      <c r="CV193"/>
      <c r="CW193"/>
      <c r="CX193" s="6"/>
    </row>
    <row r="194" spans="1:102" s="4" customFormat="1" hidden="1">
      <c r="A194" s="3">
        <f t="shared" si="12"/>
        <v>193</v>
      </c>
      <c r="B194" s="4" t="s">
        <v>14</v>
      </c>
      <c r="C194" s="4" t="s">
        <v>4</v>
      </c>
      <c r="D194" s="4" t="str">
        <f>INDEX(Employee!E:E,MATCH(AK194,Employee!B:B,0))</f>
        <v>Undirect IT Staff</v>
      </c>
      <c r="E194" s="4" t="str">
        <f>INDEX(Employee!F:F,MATCH(AK194,Employee!B:B,0))</f>
        <v>Tech</v>
      </c>
      <c r="F194" s="4" t="str">
        <f>INDEX(Employee!G:G,MATCH(AK194,Employee!B:B,0))</f>
        <v>Odoo</v>
      </c>
      <c r="G194" s="4" t="s">
        <v>15</v>
      </c>
      <c r="I194" s="4" t="str">
        <f t="shared" si="14"/>
        <v>LAP0080</v>
      </c>
      <c r="J194" s="4" t="s">
        <v>99</v>
      </c>
      <c r="K194" s="7" t="s">
        <v>121</v>
      </c>
      <c r="L194" s="7" t="s">
        <v>48</v>
      </c>
      <c r="M194" s="4" t="str">
        <f t="shared" si="13"/>
        <v>256GB</v>
      </c>
      <c r="N194" s="13" t="b">
        <v>1</v>
      </c>
      <c r="O194" s="13" t="b">
        <v>0</v>
      </c>
      <c r="P194" s="4" t="s">
        <v>568</v>
      </c>
      <c r="Q194" s="14">
        <v>44655</v>
      </c>
      <c r="R194" s="4" t="s">
        <v>102</v>
      </c>
      <c r="S194" s="10">
        <v>3497387</v>
      </c>
      <c r="T194" s="4" t="e">
        <f>INDEX(Employee!#REF!,MATCH(U194,Employee!#REF!,0))</f>
        <v>#REF!</v>
      </c>
      <c r="U194" s="4" t="s">
        <v>268</v>
      </c>
      <c r="V194" s="4" t="e">
        <f>INDEX(Employee!#REF!,MATCH(U194,Employee!#REF!,0))</f>
        <v>#REF!</v>
      </c>
      <c r="W194" s="4" t="e">
        <f>INDEX(Employee!#REF!,MATCH(U194,Employee!#REF!,0))</f>
        <v>#REF!</v>
      </c>
      <c r="X194" s="4" t="e">
        <f>INDEX(Employee!#REF!,MATCH(U194,Employee!#REF!,0))</f>
        <v>#REF!</v>
      </c>
      <c r="AJ194" s="4" t="str">
        <f>INDEX(Employee!C:C,MATCH(AK194,Employee!B:B,0))</f>
        <v>Nguyễn Ngọc Trinh</v>
      </c>
      <c r="AK194" s="4" t="s">
        <v>457</v>
      </c>
      <c r="AL194" s="4" t="str">
        <f>INDEX(Employee!D:D,MATCH(AK194,Employee!B:B,0))</f>
        <v>Fresher QC Engineer</v>
      </c>
      <c r="AM194" s="4" t="str">
        <f>INDEX(Employee!F:F,MATCH(AK194,Employee!B:B,0))</f>
        <v>Tech</v>
      </c>
      <c r="AN194" s="4" t="str">
        <f>INDEX(Employee!H:H,MATCH(AK194,Employee!B:B,0))</f>
        <v>Dương Phạm Thành Công (congdpt)</v>
      </c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  <c r="BR194"/>
      <c r="BS194"/>
      <c r="BT194"/>
      <c r="BU194"/>
      <c r="BV194"/>
      <c r="BW194"/>
      <c r="BX194"/>
      <c r="BY194"/>
      <c r="BZ194"/>
      <c r="CA194"/>
      <c r="CB194"/>
      <c r="CC194"/>
      <c r="CD194"/>
      <c r="CE194"/>
      <c r="CF194"/>
      <c r="CG194"/>
      <c r="CH194" s="6"/>
      <c r="CI194"/>
      <c r="CJ194"/>
      <c r="CK194"/>
      <c r="CL194"/>
      <c r="CM194"/>
      <c r="CN194"/>
      <c r="CO194"/>
      <c r="CP194"/>
      <c r="CQ194"/>
      <c r="CR194"/>
      <c r="CS194"/>
      <c r="CT194"/>
      <c r="CU194"/>
      <c r="CV194"/>
      <c r="CW194"/>
      <c r="CX194" s="6"/>
    </row>
    <row r="195" spans="1:102" s="4" customFormat="1" hidden="1">
      <c r="A195" s="3">
        <f t="shared" si="12"/>
        <v>194</v>
      </c>
      <c r="B195" s="4" t="s">
        <v>14</v>
      </c>
      <c r="C195" s="4" t="s">
        <v>3</v>
      </c>
      <c r="D195" s="4" t="str">
        <f>INDEX(Employee!E:E,MATCH(AK195,Employee!B:B,0))</f>
        <v>Project</v>
      </c>
      <c r="E195" s="4" t="str">
        <f>INDEX(Employee!F:F,MATCH(AK195,Employee!B:B,0))</f>
        <v>Tech</v>
      </c>
      <c r="F195" s="4" t="str">
        <f>INDEX(Employee!G:G,MATCH(AK195,Employee!B:B,0))</f>
        <v>Resource Pool</v>
      </c>
      <c r="G195" s="4" t="s">
        <v>15</v>
      </c>
      <c r="I195" s="4" t="str">
        <f t="shared" si="14"/>
        <v>LAP0081</v>
      </c>
      <c r="J195" s="4" t="s">
        <v>99</v>
      </c>
      <c r="K195" s="7" t="s">
        <v>121</v>
      </c>
      <c r="L195" s="7" t="s">
        <v>48</v>
      </c>
      <c r="M195" s="4" t="str">
        <f t="shared" si="13"/>
        <v>256GB</v>
      </c>
      <c r="N195" s="13" t="b">
        <v>1</v>
      </c>
      <c r="O195" s="13" t="b">
        <v>0</v>
      </c>
      <c r="P195" s="4" t="s">
        <v>569</v>
      </c>
      <c r="Q195" s="14">
        <v>44629</v>
      </c>
      <c r="R195" s="4" t="s">
        <v>102</v>
      </c>
      <c r="S195" s="10">
        <v>3245455</v>
      </c>
      <c r="T195" s="4" t="e">
        <f>INDEX(Employee!#REF!,MATCH(U195,Employee!#REF!,0))</f>
        <v>#REF!</v>
      </c>
      <c r="U195" s="4" t="s">
        <v>268</v>
      </c>
      <c r="V195" s="4" t="e">
        <f>INDEX(Employee!#REF!,MATCH(U195,Employee!#REF!,0))</f>
        <v>#REF!</v>
      </c>
      <c r="W195" s="4" t="e">
        <f>INDEX(Employee!#REF!,MATCH(U195,Employee!#REF!,0))</f>
        <v>#REF!</v>
      </c>
      <c r="X195" s="4" t="e">
        <f>INDEX(Employee!#REF!,MATCH(U195,Employee!#REF!,0))</f>
        <v>#REF!</v>
      </c>
      <c r="AJ195" s="4" t="str">
        <f>INDEX(Employee!C:C,MATCH(AK195,Employee!B:B,0))</f>
        <v>Nguyễn Lê Thanh Trúc</v>
      </c>
      <c r="AK195" s="4" t="s">
        <v>317</v>
      </c>
      <c r="AL195" s="4" t="str">
        <f>INDEX(Employee!D:D,MATCH(AK195,Employee!B:B,0))</f>
        <v>Fresher QC Engineer</v>
      </c>
      <c r="AM195" s="4" t="str">
        <f>INDEX(Employee!F:F,MATCH(AK195,Employee!B:B,0))</f>
        <v>Tech</v>
      </c>
      <c r="AN195" s="4" t="str">
        <f>INDEX(Employee!H:H,MATCH(AK195,Employee!B:B,0))</f>
        <v>Đoàn Hải Nam</v>
      </c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  <c r="BR195"/>
      <c r="BS195"/>
      <c r="BT195"/>
      <c r="BU195"/>
      <c r="BV195"/>
      <c r="BW195"/>
      <c r="BX195"/>
      <c r="BY195"/>
      <c r="BZ195"/>
      <c r="CA195"/>
      <c r="CB195"/>
      <c r="CC195"/>
      <c r="CD195"/>
      <c r="CE195"/>
      <c r="CF195"/>
      <c r="CG195"/>
      <c r="CH195" s="6"/>
      <c r="CI195"/>
      <c r="CJ195"/>
      <c r="CK195"/>
      <c r="CL195"/>
      <c r="CM195"/>
      <c r="CN195"/>
      <c r="CO195"/>
      <c r="CP195"/>
      <c r="CQ195"/>
      <c r="CR195"/>
      <c r="CS195"/>
      <c r="CT195"/>
      <c r="CU195"/>
      <c r="CV195"/>
      <c r="CW195"/>
      <c r="CX195" s="6"/>
    </row>
    <row r="196" spans="1:102" s="4" customFormat="1" hidden="1">
      <c r="A196" s="3">
        <f t="shared" si="12"/>
        <v>195</v>
      </c>
      <c r="B196" s="4" t="s">
        <v>14</v>
      </c>
      <c r="C196" s="4" t="s">
        <v>4</v>
      </c>
      <c r="D196" s="4" t="e">
        <f>INDEX(Employee!E:E,MATCH(AK196,Employee!B:B,0))</f>
        <v>#N/A</v>
      </c>
      <c r="E196" s="4" t="e">
        <f>INDEX(Employee!F:F,MATCH(AK196,Employee!B:B,0))</f>
        <v>#N/A</v>
      </c>
      <c r="F196" s="4" t="e">
        <f>INDEX(Employee!G:G,MATCH(AK196,Employee!B:B,0))</f>
        <v>#N/A</v>
      </c>
      <c r="G196" s="4" t="s">
        <v>15</v>
      </c>
      <c r="I196" s="4" t="str">
        <f t="shared" si="14"/>
        <v>LAP0082</v>
      </c>
      <c r="J196" s="4" t="s">
        <v>99</v>
      </c>
      <c r="K196" s="7" t="s">
        <v>570</v>
      </c>
      <c r="L196" s="7" t="s">
        <v>52</v>
      </c>
      <c r="M196" s="4" t="str">
        <f t="shared" si="13"/>
        <v>256GB</v>
      </c>
      <c r="N196" s="13" t="b">
        <v>1</v>
      </c>
      <c r="O196" s="13" t="b">
        <v>0</v>
      </c>
      <c r="P196" s="4" t="s">
        <v>571</v>
      </c>
      <c r="Q196" s="14">
        <v>43942</v>
      </c>
      <c r="R196" s="4" t="s">
        <v>102</v>
      </c>
      <c r="S196" s="10">
        <v>3727273</v>
      </c>
      <c r="T196" s="4" t="e">
        <f>INDEX(Employee!#REF!,MATCH(U196,Employee!#REF!,0))</f>
        <v>#REF!</v>
      </c>
      <c r="U196" s="4" t="s">
        <v>268</v>
      </c>
      <c r="V196" s="4" t="e">
        <f>INDEX(Employee!#REF!,MATCH(U196,Employee!#REF!,0))</f>
        <v>#REF!</v>
      </c>
      <c r="W196" s="4" t="e">
        <f>INDEX(Employee!#REF!,MATCH(U196,Employee!#REF!,0))</f>
        <v>#REF!</v>
      </c>
      <c r="X196" s="4" t="e">
        <f>INDEX(Employee!#REF!,MATCH(U196,Employee!#REF!,0))</f>
        <v>#REF!</v>
      </c>
      <c r="AJ196" s="4" t="e">
        <f>INDEX(Employee!C:C,MATCH(AK196,Employee!B:B,0))</f>
        <v>#N/A</v>
      </c>
      <c r="AL196" s="4" t="e">
        <f>INDEX(Employee!D:D,MATCH(AK196,Employee!B:B,0))</f>
        <v>#N/A</v>
      </c>
      <c r="AM196" s="4" t="e">
        <f>INDEX(Employee!F:F,MATCH(AK196,Employee!B:B,0))</f>
        <v>#N/A</v>
      </c>
      <c r="AN196" s="4" t="e">
        <f>INDEX(Employee!H:H,MATCH(AK196,Employee!B:B,0))</f>
        <v>#N/A</v>
      </c>
      <c r="AS196" s="4" t="s">
        <v>292</v>
      </c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  <c r="BR196"/>
      <c r="BS196"/>
      <c r="BT196"/>
      <c r="BU196"/>
      <c r="BV196"/>
      <c r="BW196"/>
      <c r="BX196"/>
      <c r="BY196"/>
      <c r="BZ196"/>
      <c r="CA196"/>
      <c r="CB196"/>
      <c r="CC196"/>
      <c r="CD196"/>
      <c r="CE196"/>
      <c r="CF196"/>
      <c r="CG196"/>
      <c r="CH196" s="6"/>
      <c r="CI196"/>
      <c r="CJ196"/>
      <c r="CK196"/>
      <c r="CL196"/>
      <c r="CM196"/>
      <c r="CN196"/>
      <c r="CO196"/>
      <c r="CP196"/>
      <c r="CQ196"/>
      <c r="CR196"/>
      <c r="CS196"/>
      <c r="CT196"/>
      <c r="CU196"/>
      <c r="CV196"/>
      <c r="CW196"/>
      <c r="CX196" s="6"/>
    </row>
    <row r="197" spans="1:102" s="4" customFormat="1" hidden="1">
      <c r="A197" s="3">
        <f t="shared" si="12"/>
        <v>196</v>
      </c>
      <c r="B197" s="4" t="s">
        <v>14</v>
      </c>
      <c r="C197" s="4" t="s">
        <v>3</v>
      </c>
      <c r="D197" s="4">
        <f>INDEX(Employee!E:E,MATCH(AK197,Employee!B:B,0))</f>
        <v>0</v>
      </c>
      <c r="E197" s="4" t="str">
        <f>INDEX(Employee!F:F,MATCH(AK197,Employee!B:B,0))</f>
        <v>Tech</v>
      </c>
      <c r="F197" s="4">
        <f>INDEX(Employee!G:G,MATCH(AK197,Employee!B:B,0))</f>
        <v>0</v>
      </c>
      <c r="G197" s="4" t="s">
        <v>119</v>
      </c>
      <c r="I197" s="4" t="str">
        <f t="shared" si="14"/>
        <v>LAP0083</v>
      </c>
      <c r="J197" s="4" t="s">
        <v>99</v>
      </c>
      <c r="K197" s="7" t="s">
        <v>100</v>
      </c>
      <c r="L197" s="7" t="s">
        <v>49</v>
      </c>
      <c r="M197" s="4" t="str">
        <f t="shared" si="13"/>
        <v>256GB</v>
      </c>
      <c r="N197" s="13" t="b">
        <v>0</v>
      </c>
      <c r="O197" s="13" t="b">
        <v>0</v>
      </c>
      <c r="P197" s="4" t="s">
        <v>572</v>
      </c>
      <c r="Q197" s="14">
        <v>45252</v>
      </c>
      <c r="R197" s="4" t="s">
        <v>102</v>
      </c>
      <c r="S197" s="10">
        <v>23886334</v>
      </c>
      <c r="T197" s="4" t="e">
        <f>INDEX(Employee!#REF!,MATCH(U197,Employee!#REF!,0))</f>
        <v>#REF!</v>
      </c>
      <c r="U197" s="4" t="s">
        <v>268</v>
      </c>
      <c r="V197" s="4" t="e">
        <f>INDEX(Employee!#REF!,MATCH(U197,Employee!#REF!,0))</f>
        <v>#REF!</v>
      </c>
      <c r="W197" s="4" t="e">
        <f>INDEX(Employee!#REF!,MATCH(U197,Employee!#REF!,0))</f>
        <v>#REF!</v>
      </c>
      <c r="X197" s="4" t="e">
        <f>INDEX(Employee!#REF!,MATCH(U197,Employee!#REF!,0))</f>
        <v>#REF!</v>
      </c>
      <c r="AJ197" s="4" t="str">
        <f>INDEX(Employee!C:C,MATCH(AK197,Employee!B:B,0))</f>
        <v>Đinh Hiểu Văn</v>
      </c>
      <c r="AK197" s="4" t="s">
        <v>329</v>
      </c>
      <c r="AL197" s="4" t="str">
        <f>INDEX(Employee!D:D,MATCH(AK197,Employee!B:B,0))</f>
        <v>Software Engineer</v>
      </c>
      <c r="AM197" s="4" t="str">
        <f>INDEX(Employee!F:F,MATCH(AK197,Employee!B:B,0))</f>
        <v>Tech</v>
      </c>
      <c r="AN197" s="4" t="str">
        <f>INDEX(Employee!H:H,MATCH(AK197,Employee!B:B,0))</f>
        <v>Trần Triệu Dương (duongtt5)</v>
      </c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  <c r="BR197"/>
      <c r="BS197"/>
      <c r="BT197"/>
      <c r="BU197"/>
      <c r="BV197"/>
      <c r="BW197"/>
      <c r="BX197"/>
      <c r="BY197"/>
      <c r="BZ197"/>
      <c r="CA197"/>
      <c r="CB197"/>
      <c r="CC197"/>
      <c r="CD197"/>
      <c r="CE197"/>
      <c r="CF197"/>
      <c r="CG197"/>
      <c r="CH197" s="6"/>
      <c r="CI197"/>
      <c r="CJ197"/>
      <c r="CK197"/>
      <c r="CL197"/>
      <c r="CM197"/>
      <c r="CN197"/>
      <c r="CO197"/>
      <c r="CP197"/>
      <c r="CQ197"/>
      <c r="CR197"/>
      <c r="CS197"/>
      <c r="CT197"/>
      <c r="CU197"/>
      <c r="CV197"/>
      <c r="CW197"/>
      <c r="CX197" s="6"/>
    </row>
    <row r="198" spans="1:102" s="4" customFormat="1" hidden="1">
      <c r="A198" s="3">
        <f t="shared" si="12"/>
        <v>197</v>
      </c>
      <c r="B198" s="4" t="s">
        <v>14</v>
      </c>
      <c r="C198" s="4" t="s">
        <v>4</v>
      </c>
      <c r="D198" s="4" t="e">
        <f>INDEX(Employee!E:E,MATCH(AK198,Employee!B:B,0))</f>
        <v>#N/A</v>
      </c>
      <c r="E198" s="4" t="e">
        <f>INDEX(Employee!F:F,MATCH(AK198,Employee!B:B,0))</f>
        <v>#N/A</v>
      </c>
      <c r="F198" s="4" t="e">
        <f>INDEX(Employee!G:G,MATCH(AK198,Employee!B:B,0))</f>
        <v>#N/A</v>
      </c>
      <c r="G198" s="4" t="s">
        <v>15</v>
      </c>
      <c r="I198" s="4" t="str">
        <f t="shared" si="14"/>
        <v>LAP0084</v>
      </c>
      <c r="J198" s="4" t="s">
        <v>99</v>
      </c>
      <c r="K198" s="7" t="s">
        <v>121</v>
      </c>
      <c r="L198" s="7" t="s">
        <v>48</v>
      </c>
      <c r="M198" s="4" t="str">
        <f t="shared" si="13"/>
        <v>256GB</v>
      </c>
      <c r="N198" s="13" t="b">
        <v>1</v>
      </c>
      <c r="O198" s="13" t="b">
        <v>0</v>
      </c>
      <c r="P198" s="4" t="s">
        <v>573</v>
      </c>
      <c r="Q198" s="14">
        <v>44743</v>
      </c>
      <c r="R198" s="4" t="s">
        <v>102</v>
      </c>
      <c r="S198" s="10">
        <v>5661023</v>
      </c>
      <c r="T198" s="4" t="e">
        <f>INDEX(Employee!#REF!,MATCH(U198,Employee!#REF!,0))</f>
        <v>#REF!</v>
      </c>
      <c r="U198" s="4" t="s">
        <v>268</v>
      </c>
      <c r="V198" s="4" t="e">
        <f>INDEX(Employee!#REF!,MATCH(U198,Employee!#REF!,0))</f>
        <v>#REF!</v>
      </c>
      <c r="W198" s="4" t="e">
        <f>INDEX(Employee!#REF!,MATCH(U198,Employee!#REF!,0))</f>
        <v>#REF!</v>
      </c>
      <c r="X198" s="4" t="e">
        <f>INDEX(Employee!#REF!,MATCH(U198,Employee!#REF!,0))</f>
        <v>#REF!</v>
      </c>
      <c r="AJ198" s="4" t="e">
        <f>INDEX(Employee!C:C,MATCH(AK198,Employee!B:B,0))</f>
        <v>#N/A</v>
      </c>
      <c r="AL198" s="4" t="e">
        <f>INDEX(Employee!D:D,MATCH(AK198,Employee!B:B,0))</f>
        <v>#N/A</v>
      </c>
      <c r="AM198" s="4" t="e">
        <f>INDEX(Employee!F:F,MATCH(AK198,Employee!B:B,0))</f>
        <v>#N/A</v>
      </c>
      <c r="AN198" s="4" t="e">
        <f>INDEX(Employee!H:H,MATCH(AK198,Employee!B:B,0))</f>
        <v>#N/A</v>
      </c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  <c r="BR198"/>
      <c r="BS198"/>
      <c r="BT198"/>
      <c r="BU198"/>
      <c r="BV198"/>
      <c r="BW198"/>
      <c r="BX198"/>
      <c r="BY198"/>
      <c r="BZ198"/>
      <c r="CA198"/>
      <c r="CB198"/>
      <c r="CC198"/>
      <c r="CD198"/>
      <c r="CE198"/>
      <c r="CF198"/>
      <c r="CG198"/>
      <c r="CH198" s="6"/>
      <c r="CI198"/>
      <c r="CJ198"/>
      <c r="CK198"/>
      <c r="CL198"/>
      <c r="CM198"/>
      <c r="CN198"/>
      <c r="CO198"/>
      <c r="CP198"/>
      <c r="CQ198"/>
      <c r="CR198"/>
      <c r="CS198"/>
      <c r="CT198"/>
      <c r="CU198"/>
      <c r="CV198"/>
      <c r="CW198"/>
      <c r="CX198" s="6"/>
    </row>
    <row r="199" spans="1:102" s="4" customFormat="1" hidden="1">
      <c r="A199" s="3">
        <f t="shared" si="12"/>
        <v>198</v>
      </c>
      <c r="B199" s="4" t="s">
        <v>16</v>
      </c>
      <c r="C199" s="4" t="s">
        <v>5</v>
      </c>
      <c r="D199" s="4" t="e">
        <f>INDEX(Employee!E:E,MATCH(AK199,Employee!B:B,0))</f>
        <v>#N/A</v>
      </c>
      <c r="E199" s="4" t="e">
        <f>INDEX(Employee!F:F,MATCH(AK199,Employee!B:B,0))</f>
        <v>#N/A</v>
      </c>
      <c r="F199" s="4" t="e">
        <f>INDEX(Employee!G:G,MATCH(AK199,Employee!B:B,0))</f>
        <v>#N/A</v>
      </c>
      <c r="G199" s="4" t="s">
        <v>15</v>
      </c>
      <c r="I199" s="4" t="s">
        <v>574</v>
      </c>
      <c r="J199" s="4" t="s">
        <v>107</v>
      </c>
      <c r="K199" s="7" t="s">
        <v>378</v>
      </c>
      <c r="L199" s="7"/>
      <c r="M199" s="7"/>
      <c r="N199" s="13" t="b">
        <v>0</v>
      </c>
      <c r="O199" s="13" t="b">
        <v>0</v>
      </c>
      <c r="P199" s="15" t="s">
        <v>575</v>
      </c>
      <c r="Q199" s="14">
        <v>44557</v>
      </c>
      <c r="R199" s="4" t="s">
        <v>102</v>
      </c>
      <c r="S199" s="10">
        <v>831818</v>
      </c>
      <c r="T199" s="4" t="e">
        <f>INDEX(Employee!#REF!,MATCH(U199,Employee!#REF!,0))</f>
        <v>#REF!</v>
      </c>
      <c r="U199" s="4" t="s">
        <v>195</v>
      </c>
      <c r="V199" s="4" t="e">
        <f>INDEX(Employee!#REF!,MATCH(U199,Employee!#REF!,0))</f>
        <v>#REF!</v>
      </c>
      <c r="W199" s="4" t="e">
        <f>INDEX(Employee!#REF!,MATCH(U199,Employee!#REF!,0))</f>
        <v>#REF!</v>
      </c>
      <c r="X199" s="4" t="e">
        <f>INDEX(Employee!#REF!,MATCH(U199,Employee!#REF!,0))</f>
        <v>#REF!</v>
      </c>
      <c r="AJ199" s="4" t="e">
        <f>INDEX(Employee!C:C,MATCH(AK199,Employee!B:B,0))</f>
        <v>#N/A</v>
      </c>
      <c r="AL199" s="4" t="e">
        <f>INDEX(Employee!D:D,MATCH(AK199,Employee!B:B,0))</f>
        <v>#N/A</v>
      </c>
      <c r="AM199" s="4" t="e">
        <f>INDEX(Employee!F:F,MATCH(AK199,Employee!B:B,0))</f>
        <v>#N/A</v>
      </c>
      <c r="AN199" s="4" t="e">
        <f>INDEX(Employee!H:H,MATCH(AK199,Employee!B:B,0))</f>
        <v>#N/A</v>
      </c>
      <c r="AS199" s="4" t="s">
        <v>576</v>
      </c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  <c r="BR199"/>
      <c r="BS199"/>
      <c r="BT199"/>
      <c r="BU199"/>
      <c r="BV199"/>
      <c r="BW199"/>
      <c r="BX199"/>
      <c r="BY199"/>
      <c r="BZ199"/>
      <c r="CA199"/>
      <c r="CB199"/>
      <c r="CC199"/>
      <c r="CD199"/>
      <c r="CE199"/>
      <c r="CF199"/>
      <c r="CG199"/>
      <c r="CH199" s="6"/>
      <c r="CI199"/>
      <c r="CJ199"/>
      <c r="CK199"/>
      <c r="CL199"/>
      <c r="CM199"/>
      <c r="CN199"/>
      <c r="CO199"/>
      <c r="CP199"/>
      <c r="CQ199"/>
      <c r="CR199"/>
      <c r="CS199"/>
      <c r="CT199"/>
      <c r="CU199"/>
      <c r="CV199"/>
      <c r="CW199"/>
      <c r="CX199" s="6"/>
    </row>
    <row r="200" spans="1:102" s="4" customFormat="1" hidden="1">
      <c r="A200" s="3">
        <f t="shared" si="12"/>
        <v>199</v>
      </c>
      <c r="B200" s="4" t="s">
        <v>16</v>
      </c>
      <c r="C200" s="4" t="s">
        <v>3</v>
      </c>
      <c r="D200" s="4">
        <f>INDEX(Employee!E:E,MATCH(AK200,Employee!B:B,0))</f>
        <v>0</v>
      </c>
      <c r="E200" s="4" t="str">
        <f>INDEX(Employee!F:F,MATCH(AK200,Employee!B:B,0))</f>
        <v>Tech</v>
      </c>
      <c r="F200" s="4">
        <f>INDEX(Employee!G:G,MATCH(AK200,Employee!B:B,0))</f>
        <v>0</v>
      </c>
      <c r="G200" s="4" t="s">
        <v>119</v>
      </c>
      <c r="H200" s="4" t="s">
        <v>577</v>
      </c>
      <c r="I200" s="4" t="s">
        <v>578</v>
      </c>
      <c r="J200" s="4" t="s">
        <v>107</v>
      </c>
      <c r="K200" s="7" t="s">
        <v>108</v>
      </c>
      <c r="L200" s="7"/>
      <c r="M200" s="7"/>
      <c r="N200" s="13" t="b">
        <v>1</v>
      </c>
      <c r="O200" s="13" t="b">
        <v>0</v>
      </c>
      <c r="P200" s="15" t="s">
        <v>579</v>
      </c>
      <c r="Q200" s="14">
        <v>43037</v>
      </c>
      <c r="R200" s="4" t="s">
        <v>102</v>
      </c>
      <c r="S200" s="10">
        <v>458000</v>
      </c>
      <c r="T200" s="4" t="e">
        <f>INDEX(Employee!#REF!,MATCH(U200,Employee!#REF!,0))</f>
        <v>#REF!</v>
      </c>
      <c r="U200" s="4" t="s">
        <v>195</v>
      </c>
      <c r="V200" s="4" t="e">
        <f>INDEX(Employee!#REF!,MATCH(U200,Employee!#REF!,0))</f>
        <v>#REF!</v>
      </c>
      <c r="W200" s="4" t="e">
        <f>INDEX(Employee!#REF!,MATCH(U200,Employee!#REF!,0))</f>
        <v>#REF!</v>
      </c>
      <c r="X200" s="4" t="e">
        <f>INDEX(Employee!#REF!,MATCH(U200,Employee!#REF!,0))</f>
        <v>#REF!</v>
      </c>
      <c r="AJ200" s="4" t="str">
        <f>INDEX(Employee!C:C,MATCH(AK200,Employee!B:B,0))</f>
        <v>Nguyễn Duy Mạnh</v>
      </c>
      <c r="AK200" s="4" t="s">
        <v>277</v>
      </c>
      <c r="AL200" s="4" t="str">
        <f>INDEX(Employee!D:D,MATCH(AK200,Employee!B:B,0))</f>
        <v>Software Engineer</v>
      </c>
      <c r="AM200" s="4" t="str">
        <f>INDEX(Employee!F:F,MATCH(AK200,Employee!B:B,0))</f>
        <v>Tech</v>
      </c>
      <c r="AN200" s="4" t="str">
        <f>INDEX(Employee!H:H,MATCH(AK200,Employee!B:B,0))</f>
        <v>Nguyễn Ngọc Châu Sang</v>
      </c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  <c r="BR200"/>
      <c r="BS200"/>
      <c r="BT200"/>
      <c r="BU200"/>
      <c r="BV200"/>
      <c r="BW200"/>
      <c r="BX200"/>
      <c r="BY200"/>
      <c r="BZ200"/>
      <c r="CA200"/>
      <c r="CB200"/>
      <c r="CC200"/>
      <c r="CD200"/>
      <c r="CE200"/>
      <c r="CF200"/>
      <c r="CG200"/>
      <c r="CH200" s="6"/>
      <c r="CI200"/>
      <c r="CJ200"/>
      <c r="CK200"/>
      <c r="CL200"/>
      <c r="CM200"/>
      <c r="CN200"/>
      <c r="CO200"/>
      <c r="CP200"/>
      <c r="CQ200"/>
      <c r="CR200"/>
      <c r="CS200"/>
      <c r="CT200"/>
      <c r="CU200"/>
      <c r="CV200"/>
      <c r="CW200"/>
      <c r="CX200" s="6"/>
    </row>
    <row r="201" spans="1:102" s="4" customFormat="1" hidden="1">
      <c r="A201" s="3">
        <f t="shared" si="12"/>
        <v>200</v>
      </c>
      <c r="B201" s="4" t="s">
        <v>16</v>
      </c>
      <c r="C201" s="4" t="s">
        <v>4</v>
      </c>
      <c r="D201" s="4" t="e">
        <f>INDEX(Employee!E:E,MATCH(AK201,Employee!B:B,0))</f>
        <v>#N/A</v>
      </c>
      <c r="E201" s="4" t="e">
        <f>INDEX(Employee!F:F,MATCH(AK201,Employee!B:B,0))</f>
        <v>#N/A</v>
      </c>
      <c r="F201" s="4" t="e">
        <f>INDEX(Employee!G:G,MATCH(AK201,Employee!B:B,0))</f>
        <v>#N/A</v>
      </c>
      <c r="G201" s="4" t="s">
        <v>17</v>
      </c>
      <c r="I201" s="4" t="s">
        <v>580</v>
      </c>
      <c r="J201" s="4" t="s">
        <v>107</v>
      </c>
      <c r="K201" s="7" t="s">
        <v>581</v>
      </c>
      <c r="L201" s="7"/>
      <c r="M201" s="7"/>
      <c r="N201" s="13" t="b">
        <v>0</v>
      </c>
      <c r="O201" s="13" t="b">
        <v>0</v>
      </c>
      <c r="P201" s="15" t="s">
        <v>582</v>
      </c>
      <c r="Q201" s="14">
        <v>42640</v>
      </c>
      <c r="R201" s="4" t="s">
        <v>102</v>
      </c>
      <c r="S201" s="10">
        <v>458000</v>
      </c>
      <c r="T201" s="4" t="e">
        <f>INDEX(Employee!#REF!,MATCH(U201,Employee!#REF!,0))</f>
        <v>#REF!</v>
      </c>
      <c r="U201" s="4" t="s">
        <v>195</v>
      </c>
      <c r="V201" s="4" t="e">
        <f>INDEX(Employee!#REF!,MATCH(U201,Employee!#REF!,0))</f>
        <v>#REF!</v>
      </c>
      <c r="W201" s="4" t="e">
        <f>INDEX(Employee!#REF!,MATCH(U201,Employee!#REF!,0))</f>
        <v>#REF!</v>
      </c>
      <c r="X201" s="4" t="e">
        <f>INDEX(Employee!#REF!,MATCH(U201,Employee!#REF!,0))</f>
        <v>#REF!</v>
      </c>
      <c r="AJ201" s="4" t="e">
        <f>INDEX(Employee!C:C,MATCH(AK201,Employee!B:B,0))</f>
        <v>#N/A</v>
      </c>
      <c r="AL201" s="4" t="e">
        <f>INDEX(Employee!D:D,MATCH(AK201,Employee!B:B,0))</f>
        <v>#N/A</v>
      </c>
      <c r="AM201" s="4" t="e">
        <f>INDEX(Employee!F:F,MATCH(AK201,Employee!B:B,0))</f>
        <v>#N/A</v>
      </c>
      <c r="AN201" s="4" t="e">
        <f>INDEX(Employee!H:H,MATCH(AK201,Employee!B:B,0))</f>
        <v>#N/A</v>
      </c>
      <c r="AS201" s="4" t="s">
        <v>268</v>
      </c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  <c r="BR201"/>
      <c r="BS201"/>
      <c r="BT201"/>
      <c r="BU201"/>
      <c r="BV201"/>
      <c r="BW201"/>
      <c r="BX201"/>
      <c r="BY201"/>
      <c r="BZ201"/>
      <c r="CA201"/>
      <c r="CB201"/>
      <c r="CC201"/>
      <c r="CD201"/>
      <c r="CE201"/>
      <c r="CF201"/>
      <c r="CG201"/>
      <c r="CH201" s="6"/>
      <c r="CI201"/>
      <c r="CJ201"/>
      <c r="CK201"/>
      <c r="CL201"/>
      <c r="CM201"/>
      <c r="CN201"/>
      <c r="CO201"/>
      <c r="CP201"/>
      <c r="CQ201"/>
      <c r="CR201"/>
      <c r="CS201"/>
      <c r="CT201"/>
      <c r="CU201"/>
      <c r="CV201"/>
      <c r="CW201"/>
      <c r="CX201" s="6"/>
    </row>
    <row r="202" spans="1:102" s="4" customFormat="1" hidden="1">
      <c r="A202" s="3">
        <f t="shared" si="12"/>
        <v>201</v>
      </c>
      <c r="B202" s="4" t="s">
        <v>16</v>
      </c>
      <c r="C202" s="4" t="s">
        <v>4</v>
      </c>
      <c r="D202" s="4" t="e">
        <f>INDEX(Employee!E:E,MATCH(AK202,Employee!B:B,0))</f>
        <v>#N/A</v>
      </c>
      <c r="E202" s="4" t="e">
        <f>INDEX(Employee!F:F,MATCH(AK202,Employee!B:B,0))</f>
        <v>#N/A</v>
      </c>
      <c r="F202" s="4" t="e">
        <f>INDEX(Employee!G:G,MATCH(AK202,Employee!B:B,0))</f>
        <v>#N/A</v>
      </c>
      <c r="G202" s="4" t="s">
        <v>17</v>
      </c>
      <c r="I202" s="4" t="s">
        <v>583</v>
      </c>
      <c r="J202" s="4" t="s">
        <v>107</v>
      </c>
      <c r="K202" s="7" t="s">
        <v>485</v>
      </c>
      <c r="L202" s="7"/>
      <c r="M202" s="7"/>
      <c r="N202" s="13" t="b">
        <v>0</v>
      </c>
      <c r="O202" s="13" t="b">
        <v>0</v>
      </c>
      <c r="P202" s="15" t="s">
        <v>584</v>
      </c>
      <c r="Q202" s="14">
        <v>43172</v>
      </c>
      <c r="R202" s="4" t="s">
        <v>102</v>
      </c>
      <c r="S202" s="10">
        <v>283400</v>
      </c>
      <c r="T202" s="4" t="e">
        <f>INDEX(Employee!#REF!,MATCH(U202,Employee!#REF!,0))</f>
        <v>#REF!</v>
      </c>
      <c r="U202" s="4" t="s">
        <v>195</v>
      </c>
      <c r="V202" s="4" t="e">
        <f>INDEX(Employee!#REF!,MATCH(U202,Employee!#REF!,0))</f>
        <v>#REF!</v>
      </c>
      <c r="W202" s="4" t="e">
        <f>INDEX(Employee!#REF!,MATCH(U202,Employee!#REF!,0))</f>
        <v>#REF!</v>
      </c>
      <c r="X202" s="4" t="e">
        <f>INDEX(Employee!#REF!,MATCH(U202,Employee!#REF!,0))</f>
        <v>#REF!</v>
      </c>
      <c r="AJ202" s="4" t="e">
        <f>INDEX(Employee!C:C,MATCH(AK202,Employee!B:B,0))</f>
        <v>#N/A</v>
      </c>
      <c r="AL202" s="4" t="e">
        <f>INDEX(Employee!D:D,MATCH(AK202,Employee!B:B,0))</f>
        <v>#N/A</v>
      </c>
      <c r="AM202" s="4" t="e">
        <f>INDEX(Employee!F:F,MATCH(AK202,Employee!B:B,0))</f>
        <v>#N/A</v>
      </c>
      <c r="AN202" s="4" t="e">
        <f>INDEX(Employee!H:H,MATCH(AK202,Employee!B:B,0))</f>
        <v>#N/A</v>
      </c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  <c r="BR202"/>
      <c r="BS202"/>
      <c r="BT202"/>
      <c r="BU202"/>
      <c r="BV202"/>
      <c r="BW202"/>
      <c r="BX202"/>
      <c r="BY202"/>
      <c r="BZ202"/>
      <c r="CA202"/>
      <c r="CB202"/>
      <c r="CC202"/>
      <c r="CD202"/>
      <c r="CE202"/>
      <c r="CF202"/>
      <c r="CG202"/>
      <c r="CH202" s="6"/>
      <c r="CI202"/>
      <c r="CJ202"/>
      <c r="CK202"/>
      <c r="CL202"/>
      <c r="CM202"/>
      <c r="CN202"/>
      <c r="CO202"/>
      <c r="CP202"/>
      <c r="CQ202"/>
      <c r="CR202"/>
      <c r="CS202"/>
      <c r="CT202"/>
      <c r="CU202"/>
      <c r="CV202"/>
      <c r="CW202"/>
      <c r="CX202" s="6"/>
    </row>
    <row r="203" spans="1:102" s="4" customFormat="1" hidden="1">
      <c r="A203" s="3">
        <f t="shared" si="12"/>
        <v>202</v>
      </c>
      <c r="B203" s="4" t="s">
        <v>16</v>
      </c>
      <c r="C203" s="4" t="s">
        <v>4</v>
      </c>
      <c r="D203" s="4" t="e">
        <f>INDEX(Employee!E:E,MATCH(AK203,Employee!B:B,0))</f>
        <v>#N/A</v>
      </c>
      <c r="E203" s="4" t="e">
        <f>INDEX(Employee!F:F,MATCH(AK203,Employee!B:B,0))</f>
        <v>#N/A</v>
      </c>
      <c r="F203" s="4" t="e">
        <f>INDEX(Employee!G:G,MATCH(AK203,Employee!B:B,0))</f>
        <v>#N/A</v>
      </c>
      <c r="G203" s="4" t="s">
        <v>17</v>
      </c>
      <c r="H203" s="4" t="s">
        <v>585</v>
      </c>
      <c r="I203" s="4" t="s">
        <v>586</v>
      </c>
      <c r="J203" s="4" t="s">
        <v>107</v>
      </c>
      <c r="K203" s="7" t="s">
        <v>485</v>
      </c>
      <c r="L203" s="7"/>
      <c r="M203" s="7"/>
      <c r="N203" s="13" t="b">
        <v>0</v>
      </c>
      <c r="O203" s="13" t="b">
        <v>0</v>
      </c>
      <c r="P203" s="15" t="s">
        <v>587</v>
      </c>
      <c r="Q203" s="14">
        <v>43172</v>
      </c>
      <c r="R203" s="4" t="s">
        <v>102</v>
      </c>
      <c r="S203" s="10">
        <v>283400</v>
      </c>
      <c r="T203" s="4" t="e">
        <f>INDEX(Employee!#REF!,MATCH(U203,Employee!#REF!,0))</f>
        <v>#REF!</v>
      </c>
      <c r="U203" s="4" t="s">
        <v>195</v>
      </c>
      <c r="V203" s="4" t="e">
        <f>INDEX(Employee!#REF!,MATCH(U203,Employee!#REF!,0))</f>
        <v>#REF!</v>
      </c>
      <c r="W203" s="4" t="e">
        <f>INDEX(Employee!#REF!,MATCH(U203,Employee!#REF!,0))</f>
        <v>#REF!</v>
      </c>
      <c r="X203" s="4" t="e">
        <f>INDEX(Employee!#REF!,MATCH(U203,Employee!#REF!,0))</f>
        <v>#REF!</v>
      </c>
      <c r="AJ203" s="4" t="e">
        <f>INDEX(Employee!C:C,MATCH(AK203,Employee!B:B,0))</f>
        <v>#N/A</v>
      </c>
      <c r="AL203" s="4" t="e">
        <f>INDEX(Employee!D:D,MATCH(AK203,Employee!B:B,0))</f>
        <v>#N/A</v>
      </c>
      <c r="AM203" s="4" t="e">
        <f>INDEX(Employee!F:F,MATCH(AK203,Employee!B:B,0))</f>
        <v>#N/A</v>
      </c>
      <c r="AN203" s="4" t="e">
        <f>INDEX(Employee!H:H,MATCH(AK203,Employee!B:B,0))</f>
        <v>#N/A</v>
      </c>
      <c r="AS203" s="4" t="s">
        <v>588</v>
      </c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  <c r="BR203"/>
      <c r="BS203"/>
      <c r="BT203"/>
      <c r="BU203"/>
      <c r="BV203"/>
      <c r="BW203"/>
      <c r="BX203"/>
      <c r="BY203"/>
      <c r="BZ203"/>
      <c r="CA203"/>
      <c r="CB203"/>
      <c r="CC203"/>
      <c r="CD203"/>
      <c r="CE203"/>
      <c r="CF203"/>
      <c r="CG203"/>
      <c r="CH203" s="6"/>
      <c r="CI203"/>
      <c r="CJ203"/>
      <c r="CK203"/>
      <c r="CL203"/>
      <c r="CM203"/>
      <c r="CN203"/>
      <c r="CO203"/>
      <c r="CP203"/>
      <c r="CQ203"/>
      <c r="CR203"/>
      <c r="CS203"/>
      <c r="CT203"/>
      <c r="CU203"/>
      <c r="CV203"/>
      <c r="CW203"/>
      <c r="CX203" s="6"/>
    </row>
    <row r="204" spans="1:102" s="4" customFormat="1" hidden="1">
      <c r="A204" s="3">
        <f t="shared" si="12"/>
        <v>203</v>
      </c>
      <c r="B204" s="4" t="s">
        <v>18</v>
      </c>
      <c r="C204" s="4" t="s">
        <v>3</v>
      </c>
      <c r="D204" s="4">
        <f>INDEX(Employee!E:E,MATCH(AK204,Employee!B:B,0))</f>
        <v>0</v>
      </c>
      <c r="E204" s="4" t="str">
        <f>INDEX(Employee!F:F,MATCH(AK204,Employee!B:B,0))</f>
        <v>OP</v>
      </c>
      <c r="F204" s="4">
        <f>INDEX(Employee!G:G,MATCH(AK204,Employee!B:B,0))</f>
        <v>0</v>
      </c>
      <c r="G204" s="4" t="s">
        <v>119</v>
      </c>
      <c r="I204" s="4" t="s">
        <v>589</v>
      </c>
      <c r="J204" s="4" t="s">
        <v>111</v>
      </c>
      <c r="K204" s="4" t="s">
        <v>112</v>
      </c>
      <c r="N204" s="13" t="b">
        <v>0</v>
      </c>
      <c r="O204" s="13" t="b">
        <v>0</v>
      </c>
      <c r="Q204" s="14">
        <v>45279</v>
      </c>
      <c r="R204" s="4" t="s">
        <v>102</v>
      </c>
      <c r="S204" s="10">
        <v>20182</v>
      </c>
      <c r="T204" s="4" t="e">
        <f>INDEX(Employee!#REF!,MATCH(U204,Employee!#REF!,0))</f>
        <v>#REF!</v>
      </c>
      <c r="U204" s="4" t="s">
        <v>252</v>
      </c>
      <c r="V204" s="4" t="e">
        <f>INDEX(Employee!#REF!,MATCH(U204,Employee!#REF!,0))</f>
        <v>#REF!</v>
      </c>
      <c r="W204" s="4" t="e">
        <f>INDEX(Employee!#REF!,MATCH(U204,Employee!#REF!,0))</f>
        <v>#REF!</v>
      </c>
      <c r="X204" s="4" t="e">
        <f>INDEX(Employee!#REF!,MATCH(U204,Employee!#REF!,0))</f>
        <v>#REF!</v>
      </c>
      <c r="AJ204" s="4" t="str">
        <f>INDEX(Employee!C:C,MATCH(AK204,Employee!B:B,0))</f>
        <v>Nguyễn Thị Việt Hà</v>
      </c>
      <c r="AK204" s="4" t="s">
        <v>470</v>
      </c>
      <c r="AL204" s="4" t="str">
        <f>INDEX(Employee!D:D,MATCH(AK204,Employee!B:B,0))</f>
        <v>Incident Manager</v>
      </c>
      <c r="AM204" s="4" t="str">
        <f>INDEX(Employee!F:F,MATCH(AK204,Employee!B:B,0))</f>
        <v>OP</v>
      </c>
      <c r="AN204" s="4" t="str">
        <f>INDEX(Employee!H:H,MATCH(AK204,Employee!B:B,0))</f>
        <v>Chu Văn Toàn (ToanCV)</v>
      </c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  <c r="BR204"/>
      <c r="BS204"/>
      <c r="BT204"/>
      <c r="BU204"/>
      <c r="BV204"/>
      <c r="BW204"/>
      <c r="BX204"/>
      <c r="BY204"/>
      <c r="BZ204"/>
      <c r="CA204"/>
      <c r="CB204"/>
      <c r="CC204"/>
      <c r="CD204"/>
      <c r="CE204"/>
      <c r="CF204"/>
      <c r="CG204"/>
      <c r="CH204" s="6"/>
      <c r="CI204"/>
      <c r="CJ204"/>
      <c r="CK204"/>
      <c r="CL204"/>
      <c r="CM204"/>
      <c r="CN204"/>
      <c r="CO204"/>
      <c r="CP204"/>
      <c r="CQ204"/>
      <c r="CR204"/>
      <c r="CS204"/>
      <c r="CT204"/>
      <c r="CU204"/>
      <c r="CV204"/>
      <c r="CW204"/>
      <c r="CX204" s="6"/>
    </row>
    <row r="205" spans="1:102" s="4" customFormat="1" hidden="1">
      <c r="A205" s="3">
        <f t="shared" si="12"/>
        <v>204</v>
      </c>
      <c r="B205" s="4" t="s">
        <v>18</v>
      </c>
      <c r="C205" s="4" t="s">
        <v>4</v>
      </c>
      <c r="D205" s="4" t="e">
        <f>INDEX(Employee!E:E,MATCH(AK205,Employee!B:B,0))</f>
        <v>#N/A</v>
      </c>
      <c r="E205" s="4" t="e">
        <f>INDEX(Employee!F:F,MATCH(AK205,Employee!B:B,0))</f>
        <v>#N/A</v>
      </c>
      <c r="F205" s="4" t="e">
        <f>INDEX(Employee!G:G,MATCH(AK205,Employee!B:B,0))</f>
        <v>#N/A</v>
      </c>
      <c r="G205" s="4" t="s">
        <v>15</v>
      </c>
      <c r="I205" s="4" t="s">
        <v>590</v>
      </c>
      <c r="J205" s="4" t="s">
        <v>111</v>
      </c>
      <c r="K205" s="4" t="s">
        <v>112</v>
      </c>
      <c r="N205" s="13" t="b">
        <v>0</v>
      </c>
      <c r="O205" s="13" t="b">
        <v>0</v>
      </c>
      <c r="P205" s="4" t="s">
        <v>591</v>
      </c>
      <c r="Q205" s="14">
        <v>45407</v>
      </c>
      <c r="R205" s="4" t="s">
        <v>102</v>
      </c>
      <c r="S205" s="10">
        <v>20364</v>
      </c>
      <c r="T205" s="4" t="e">
        <f>INDEX(Employee!#REF!,MATCH(U205,Employee!#REF!,0))</f>
        <v>#REF!</v>
      </c>
      <c r="U205" s="4" t="s">
        <v>252</v>
      </c>
      <c r="V205" s="4" t="e">
        <f>INDEX(Employee!#REF!,MATCH(U205,Employee!#REF!,0))</f>
        <v>#REF!</v>
      </c>
      <c r="W205" s="4" t="e">
        <f>INDEX(Employee!#REF!,MATCH(U205,Employee!#REF!,0))</f>
        <v>#REF!</v>
      </c>
      <c r="X205" s="4" t="e">
        <f>INDEX(Employee!#REF!,MATCH(U205,Employee!#REF!,0))</f>
        <v>#REF!</v>
      </c>
      <c r="AJ205" s="4" t="e">
        <f>INDEX(Employee!C:C,MATCH(AK205,Employee!B:B,0))</f>
        <v>#N/A</v>
      </c>
      <c r="AL205" s="4" t="e">
        <f>INDEX(Employee!D:D,MATCH(AK205,Employee!B:B,0))</f>
        <v>#N/A</v>
      </c>
      <c r="AM205" s="4" t="e">
        <f>INDEX(Employee!F:F,MATCH(AK205,Employee!B:B,0))</f>
        <v>#N/A</v>
      </c>
      <c r="AN205" s="4" t="e">
        <f>INDEX(Employee!H:H,MATCH(AK205,Employee!B:B,0))</f>
        <v>#N/A</v>
      </c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  <c r="BR205"/>
      <c r="BS205"/>
      <c r="BT205"/>
      <c r="BU205"/>
      <c r="BV205"/>
      <c r="BW205"/>
      <c r="BX205"/>
      <c r="BY205"/>
      <c r="BZ205"/>
      <c r="CA205"/>
      <c r="CB205"/>
      <c r="CC205"/>
      <c r="CD205"/>
      <c r="CE205"/>
      <c r="CF205"/>
      <c r="CG205"/>
      <c r="CH205" s="6"/>
      <c r="CI205"/>
      <c r="CJ205"/>
      <c r="CK205"/>
      <c r="CL205"/>
      <c r="CM205"/>
      <c r="CN205"/>
      <c r="CO205"/>
      <c r="CP205"/>
      <c r="CQ205"/>
      <c r="CR205"/>
      <c r="CS205"/>
      <c r="CT205"/>
      <c r="CU205"/>
      <c r="CV205"/>
      <c r="CW205"/>
      <c r="CX205" s="6"/>
    </row>
    <row r="206" spans="1:102" s="4" customFormat="1" hidden="1">
      <c r="A206" s="3">
        <f t="shared" si="12"/>
        <v>205</v>
      </c>
      <c r="B206" s="4" t="s">
        <v>18</v>
      </c>
      <c r="C206" s="4" t="s">
        <v>3</v>
      </c>
      <c r="D206" s="4" t="str">
        <f>INDEX(Employee!E:E,MATCH(AK206,Employee!B:B,0))</f>
        <v>Project</v>
      </c>
      <c r="E206" s="4" t="str">
        <f>INDEX(Employee!F:F,MATCH(AK206,Employee!B:B,0))</f>
        <v>Tech</v>
      </c>
      <c r="F206" s="4" t="str">
        <f>INDEX(Employee!G:G,MATCH(AK206,Employee!B:B,0))</f>
        <v>Venture</v>
      </c>
      <c r="G206" s="4" t="s">
        <v>15</v>
      </c>
      <c r="I206" s="4" t="s">
        <v>592</v>
      </c>
      <c r="J206" s="4" t="s">
        <v>111</v>
      </c>
      <c r="K206" s="4" t="s">
        <v>112</v>
      </c>
      <c r="N206" s="13" t="b">
        <v>0</v>
      </c>
      <c r="O206" s="13" t="b">
        <v>0</v>
      </c>
      <c r="Q206" s="14">
        <v>45407</v>
      </c>
      <c r="R206" s="4" t="s">
        <v>102</v>
      </c>
      <c r="S206" s="10">
        <v>20364</v>
      </c>
      <c r="T206" s="4" t="e">
        <f>INDEX(Employee!#REF!,MATCH(U206,Employee!#REF!,0))</f>
        <v>#REF!</v>
      </c>
      <c r="U206" s="4" t="s">
        <v>252</v>
      </c>
      <c r="V206" s="4" t="e">
        <f>INDEX(Employee!#REF!,MATCH(U206,Employee!#REF!,0))</f>
        <v>#REF!</v>
      </c>
      <c r="W206" s="4" t="e">
        <f>INDEX(Employee!#REF!,MATCH(U206,Employee!#REF!,0))</f>
        <v>#REF!</v>
      </c>
      <c r="X206" s="4" t="e">
        <f>INDEX(Employee!#REF!,MATCH(U206,Employee!#REF!,0))</f>
        <v>#REF!</v>
      </c>
      <c r="AJ206" s="4" t="str">
        <f>INDEX(Employee!C:C,MATCH(AK206,Employee!B:B,0))</f>
        <v>Nguyễn Quý</v>
      </c>
      <c r="AK206" s="4" t="s">
        <v>181</v>
      </c>
      <c r="AL206" s="4" t="str">
        <f>INDEX(Employee!D:D,MATCH(AK206,Employee!B:B,0))</f>
        <v>Senior Software Engineer</v>
      </c>
      <c r="AM206" s="4" t="str">
        <f>INDEX(Employee!F:F,MATCH(AK206,Employee!B:B,0))</f>
        <v>Tech</v>
      </c>
      <c r="AN206" s="4" t="str">
        <f>INDEX(Employee!H:H,MATCH(AK206,Employee!B:B,0))</f>
        <v>Đoàn Nhật Duẩn (duandn)</v>
      </c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  <c r="BR206"/>
      <c r="BS206"/>
      <c r="BT206"/>
      <c r="BU206"/>
      <c r="BV206"/>
      <c r="BW206"/>
      <c r="BX206"/>
      <c r="BY206"/>
      <c r="BZ206"/>
      <c r="CA206"/>
      <c r="CB206"/>
      <c r="CC206"/>
      <c r="CD206"/>
      <c r="CE206"/>
      <c r="CF206"/>
      <c r="CG206"/>
      <c r="CH206" s="6"/>
      <c r="CI206"/>
      <c r="CJ206"/>
      <c r="CK206"/>
      <c r="CL206"/>
      <c r="CM206"/>
      <c r="CN206"/>
      <c r="CO206"/>
      <c r="CP206"/>
      <c r="CQ206"/>
      <c r="CR206"/>
      <c r="CS206"/>
      <c r="CT206"/>
      <c r="CU206"/>
      <c r="CV206"/>
      <c r="CW206"/>
      <c r="CX206" s="6"/>
    </row>
    <row r="207" spans="1:102" s="4" customFormat="1" hidden="1">
      <c r="A207" s="3">
        <f t="shared" si="12"/>
        <v>206</v>
      </c>
      <c r="B207" s="4" t="s">
        <v>18</v>
      </c>
      <c r="C207" s="4" t="s">
        <v>3</v>
      </c>
      <c r="D207" s="4" t="str">
        <f>INDEX(Employee!E:E,MATCH(AK207,Employee!B:B,0))</f>
        <v>Project</v>
      </c>
      <c r="E207" s="4" t="str">
        <f>INDEX(Employee!F:F,MATCH(AK207,Employee!B:B,0))</f>
        <v>Tech</v>
      </c>
      <c r="F207" s="4" t="str">
        <f>INDEX(Employee!G:G,MATCH(AK207,Employee!B:B,0))</f>
        <v>Resource Pool</v>
      </c>
      <c r="G207" s="4" t="s">
        <v>15</v>
      </c>
      <c r="I207" s="4" t="s">
        <v>593</v>
      </c>
      <c r="J207" s="4" t="s">
        <v>111</v>
      </c>
      <c r="K207" s="4" t="s">
        <v>112</v>
      </c>
      <c r="N207" s="13" t="b">
        <v>0</v>
      </c>
      <c r="O207" s="13" t="b">
        <v>0</v>
      </c>
      <c r="Q207" s="14">
        <v>45407</v>
      </c>
      <c r="R207" s="4" t="s">
        <v>102</v>
      </c>
      <c r="S207" s="10">
        <v>20364</v>
      </c>
      <c r="T207" s="4" t="e">
        <f>INDEX(Employee!#REF!,MATCH(U207,Employee!#REF!,0))</f>
        <v>#REF!</v>
      </c>
      <c r="U207" s="4" t="s">
        <v>252</v>
      </c>
      <c r="V207" s="4" t="e">
        <f>INDEX(Employee!#REF!,MATCH(U207,Employee!#REF!,0))</f>
        <v>#REF!</v>
      </c>
      <c r="W207" s="4" t="e">
        <f>INDEX(Employee!#REF!,MATCH(U207,Employee!#REF!,0))</f>
        <v>#REF!</v>
      </c>
      <c r="X207" s="4" t="e">
        <f>INDEX(Employee!#REF!,MATCH(U207,Employee!#REF!,0))</f>
        <v>#REF!</v>
      </c>
      <c r="AJ207" s="4" t="str">
        <f>INDEX(Employee!C:C,MATCH(AK207,Employee!B:B,0))</f>
        <v>Huỳnh Nguyên Phương</v>
      </c>
      <c r="AK207" s="4" t="s">
        <v>162</v>
      </c>
      <c r="AL207" s="4" t="str">
        <f>INDEX(Employee!D:D,MATCH(AK207,Employee!B:B,0))</f>
        <v>Hardware Designer</v>
      </c>
      <c r="AM207" s="4" t="str">
        <f>INDEX(Employee!F:F,MATCH(AK207,Employee!B:B,0))</f>
        <v>Tech</v>
      </c>
      <c r="AN207" s="4" t="str">
        <f>INDEX(Employee!H:H,MATCH(AK207,Employee!B:B,0))</f>
        <v>Đoàn Hải Nam</v>
      </c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  <c r="BR207"/>
      <c r="BS207"/>
      <c r="BT207"/>
      <c r="BU207"/>
      <c r="BV207"/>
      <c r="BW207"/>
      <c r="BX207"/>
      <c r="BY207"/>
      <c r="BZ207"/>
      <c r="CA207"/>
      <c r="CB207"/>
      <c r="CC207"/>
      <c r="CD207"/>
      <c r="CE207"/>
      <c r="CF207"/>
      <c r="CG207"/>
      <c r="CH207" s="6"/>
      <c r="CI207"/>
      <c r="CJ207"/>
      <c r="CK207"/>
      <c r="CL207"/>
      <c r="CM207"/>
      <c r="CN207"/>
      <c r="CO207"/>
      <c r="CP207"/>
      <c r="CQ207"/>
      <c r="CR207"/>
      <c r="CS207"/>
      <c r="CT207"/>
      <c r="CU207"/>
      <c r="CV207"/>
      <c r="CW207"/>
      <c r="CX207" s="6"/>
    </row>
    <row r="208" spans="1:102" s="4" customFormat="1" hidden="1">
      <c r="A208" s="3">
        <f t="shared" si="12"/>
        <v>207</v>
      </c>
      <c r="B208" s="4" t="s">
        <v>18</v>
      </c>
      <c r="C208" s="4" t="s">
        <v>4</v>
      </c>
      <c r="D208" s="4" t="e">
        <f>INDEX(Employee!E:E,MATCH(AK208,Employee!B:B,0))</f>
        <v>#N/A</v>
      </c>
      <c r="E208" s="4" t="e">
        <f>INDEX(Employee!F:F,MATCH(AK208,Employee!B:B,0))</f>
        <v>#N/A</v>
      </c>
      <c r="F208" s="4" t="e">
        <f>INDEX(Employee!G:G,MATCH(AK208,Employee!B:B,0))</f>
        <v>#N/A</v>
      </c>
      <c r="G208" s="4" t="s">
        <v>15</v>
      </c>
      <c r="H208" s="4" t="s">
        <v>594</v>
      </c>
      <c r="I208" s="4" t="s">
        <v>595</v>
      </c>
      <c r="J208" s="4" t="s">
        <v>111</v>
      </c>
      <c r="K208" s="4" t="s">
        <v>112</v>
      </c>
      <c r="N208" s="13" t="b">
        <v>0</v>
      </c>
      <c r="O208" s="13" t="b">
        <v>0</v>
      </c>
      <c r="Q208" s="14">
        <v>45407</v>
      </c>
      <c r="R208" s="4" t="s">
        <v>102</v>
      </c>
      <c r="S208" s="10">
        <v>20364</v>
      </c>
      <c r="T208" s="4" t="e">
        <f>INDEX(Employee!#REF!,MATCH(U208,Employee!#REF!,0))</f>
        <v>#REF!</v>
      </c>
      <c r="U208" s="4" t="s">
        <v>252</v>
      </c>
      <c r="V208" s="4" t="e">
        <f>INDEX(Employee!#REF!,MATCH(U208,Employee!#REF!,0))</f>
        <v>#REF!</v>
      </c>
      <c r="W208" s="4" t="e">
        <f>INDEX(Employee!#REF!,MATCH(U208,Employee!#REF!,0))</f>
        <v>#REF!</v>
      </c>
      <c r="X208" s="4" t="e">
        <f>INDEX(Employee!#REF!,MATCH(U208,Employee!#REF!,0))</f>
        <v>#REF!</v>
      </c>
      <c r="AJ208" s="4" t="e">
        <f>INDEX(Employee!C:C,MATCH(AK208,Employee!B:B,0))</f>
        <v>#N/A</v>
      </c>
      <c r="AL208" s="4" t="e">
        <f>INDEX(Employee!D:D,MATCH(AK208,Employee!B:B,0))</f>
        <v>#N/A</v>
      </c>
      <c r="AM208" s="4" t="e">
        <f>INDEX(Employee!F:F,MATCH(AK208,Employee!B:B,0))</f>
        <v>#N/A</v>
      </c>
      <c r="AN208" s="4" t="e">
        <f>INDEX(Employee!H:H,MATCH(AK208,Employee!B:B,0))</f>
        <v>#N/A</v>
      </c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/>
      <c r="BV208"/>
      <c r="BW208"/>
      <c r="BX208"/>
      <c r="BY208"/>
      <c r="BZ208"/>
      <c r="CA208"/>
      <c r="CB208"/>
      <c r="CC208"/>
      <c r="CD208"/>
      <c r="CE208"/>
      <c r="CF208"/>
      <c r="CG208"/>
      <c r="CH208" s="6"/>
      <c r="CI208"/>
      <c r="CJ208"/>
      <c r="CK208"/>
      <c r="CL208"/>
      <c r="CM208"/>
      <c r="CN208"/>
      <c r="CO208"/>
      <c r="CP208"/>
      <c r="CQ208"/>
      <c r="CR208"/>
      <c r="CS208"/>
      <c r="CT208"/>
      <c r="CU208"/>
      <c r="CV208"/>
      <c r="CW208"/>
      <c r="CX208" s="6"/>
    </row>
    <row r="209" spans="1:102" s="4" customFormat="1" hidden="1">
      <c r="A209" s="3">
        <f t="shared" si="12"/>
        <v>208</v>
      </c>
      <c r="B209" s="4" t="s">
        <v>18</v>
      </c>
      <c r="C209" s="4" t="s">
        <v>3</v>
      </c>
      <c r="D209" s="4">
        <f>INDEX(Employee!E:E,MATCH(AK209,Employee!B:B,0))</f>
        <v>0</v>
      </c>
      <c r="E209" s="4" t="str">
        <f>INDEX(Employee!F:F,MATCH(AK209,Employee!B:B,0))</f>
        <v>OP</v>
      </c>
      <c r="F209" s="4">
        <f>INDEX(Employee!G:G,MATCH(AK209,Employee!B:B,0))</f>
        <v>0</v>
      </c>
      <c r="G209" s="4" t="s">
        <v>119</v>
      </c>
      <c r="I209" s="4" t="s">
        <v>596</v>
      </c>
      <c r="J209" s="4" t="s">
        <v>111</v>
      </c>
      <c r="K209" s="4" t="s">
        <v>112</v>
      </c>
      <c r="N209" s="13" t="b">
        <v>0</v>
      </c>
      <c r="O209" s="13" t="b">
        <v>0</v>
      </c>
      <c r="Q209" s="14">
        <v>45407</v>
      </c>
      <c r="R209" s="4" t="s">
        <v>102</v>
      </c>
      <c r="S209" s="10">
        <v>20364</v>
      </c>
      <c r="T209" s="4" t="e">
        <f>INDEX(Employee!#REF!,MATCH(U209,Employee!#REF!,0))</f>
        <v>#REF!</v>
      </c>
      <c r="U209" s="4" t="s">
        <v>252</v>
      </c>
      <c r="V209" s="4" t="e">
        <f>INDEX(Employee!#REF!,MATCH(U209,Employee!#REF!,0))</f>
        <v>#REF!</v>
      </c>
      <c r="W209" s="4" t="e">
        <f>INDEX(Employee!#REF!,MATCH(U209,Employee!#REF!,0))</f>
        <v>#REF!</v>
      </c>
      <c r="X209" s="4" t="e">
        <f>INDEX(Employee!#REF!,MATCH(U209,Employee!#REF!,0))</f>
        <v>#REF!</v>
      </c>
      <c r="AJ209" s="4" t="str">
        <f>INDEX(Employee!C:C,MATCH(AK209,Employee!B:B,0))</f>
        <v>Nguyễn Thị Hoàng Yến</v>
      </c>
      <c r="AK209" s="4" t="s">
        <v>400</v>
      </c>
      <c r="AL209" s="4" t="str">
        <f>INDEX(Employee!D:D,MATCH(AK209,Employee!B:B,0))</f>
        <v>Senior Database Developer</v>
      </c>
      <c r="AM209" s="4" t="str">
        <f>INDEX(Employee!F:F,MATCH(AK209,Employee!B:B,0))</f>
        <v>OP</v>
      </c>
      <c r="AN209" s="4" t="str">
        <f>INDEX(Employee!H:H,MATCH(AK209,Employee!B:B,0))</f>
        <v>Dương Huỳnh Nghĩa (nghiadh)</v>
      </c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/>
      <c r="BV209"/>
      <c r="BW209"/>
      <c r="BX209"/>
      <c r="BY209"/>
      <c r="BZ209"/>
      <c r="CA209"/>
      <c r="CB209"/>
      <c r="CC209"/>
      <c r="CD209"/>
      <c r="CE209"/>
      <c r="CF209"/>
      <c r="CG209"/>
      <c r="CH209" s="6"/>
      <c r="CI209"/>
      <c r="CJ209"/>
      <c r="CK209"/>
      <c r="CL209"/>
      <c r="CM209"/>
      <c r="CN209"/>
      <c r="CO209"/>
      <c r="CP209"/>
      <c r="CQ209"/>
      <c r="CR209"/>
      <c r="CS209"/>
      <c r="CT209"/>
      <c r="CU209"/>
      <c r="CV209"/>
      <c r="CW209"/>
      <c r="CX209" s="6"/>
    </row>
    <row r="210" spans="1:102" s="4" customFormat="1" hidden="1">
      <c r="A210" s="3">
        <f t="shared" si="12"/>
        <v>209</v>
      </c>
      <c r="B210" s="4" t="s">
        <v>18</v>
      </c>
      <c r="C210" s="4" t="s">
        <v>3</v>
      </c>
      <c r="D210" s="4">
        <f>INDEX(Employee!E:E,MATCH(AK210,Employee!B:B,0))</f>
        <v>0</v>
      </c>
      <c r="E210" s="4" t="str">
        <f>INDEX(Employee!F:F,MATCH(AK210,Employee!B:B,0))</f>
        <v>HR</v>
      </c>
      <c r="F210" s="4">
        <f>INDEX(Employee!G:G,MATCH(AK210,Employee!B:B,0))</f>
        <v>0</v>
      </c>
      <c r="G210" s="4" t="s">
        <v>119</v>
      </c>
      <c r="I210" s="4" t="s">
        <v>597</v>
      </c>
      <c r="J210" s="4" t="s">
        <v>111</v>
      </c>
      <c r="K210" s="4" t="s">
        <v>112</v>
      </c>
      <c r="N210" s="13" t="b">
        <v>0</v>
      </c>
      <c r="O210" s="13" t="b">
        <v>0</v>
      </c>
      <c r="Q210" s="14">
        <v>45407</v>
      </c>
      <c r="R210" s="4" t="s">
        <v>102</v>
      </c>
      <c r="S210" s="10">
        <v>20364</v>
      </c>
      <c r="T210" s="4" t="e">
        <f>INDEX(Employee!#REF!,MATCH(U210,Employee!#REF!,0))</f>
        <v>#REF!</v>
      </c>
      <c r="U210" s="4" t="s">
        <v>252</v>
      </c>
      <c r="V210" s="4" t="e">
        <f>INDEX(Employee!#REF!,MATCH(U210,Employee!#REF!,0))</f>
        <v>#REF!</v>
      </c>
      <c r="W210" s="4" t="e">
        <f>INDEX(Employee!#REF!,MATCH(U210,Employee!#REF!,0))</f>
        <v>#REF!</v>
      </c>
      <c r="X210" s="4" t="e">
        <f>INDEX(Employee!#REF!,MATCH(U210,Employee!#REF!,0))</f>
        <v>#REF!</v>
      </c>
      <c r="AJ210" s="4" t="str">
        <f>INDEX(Employee!C:C,MATCH(AK210,Employee!B:B,0))</f>
        <v>Văn Tiến Đạt</v>
      </c>
      <c r="AK210" s="4" t="s">
        <v>210</v>
      </c>
      <c r="AL210" s="4" t="str">
        <f>INDEX(Employee!D:D,MATCH(AK210,Employee!B:B,0))</f>
        <v>Senior Talent Acquisition Business Partner</v>
      </c>
      <c r="AM210" s="4" t="str">
        <f>INDEX(Employee!F:F,MATCH(AK210,Employee!B:B,0))</f>
        <v>HR</v>
      </c>
      <c r="AN210" s="4" t="str">
        <f>INDEX(Employee!H:H,MATCH(AK210,Employee!B:B,0))</f>
        <v>Aleksandar Jelic (jelica)</v>
      </c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  <c r="BR210"/>
      <c r="BS210"/>
      <c r="BT210"/>
      <c r="BU210"/>
      <c r="BV210"/>
      <c r="BW210"/>
      <c r="BX210"/>
      <c r="BY210"/>
      <c r="BZ210"/>
      <c r="CA210"/>
      <c r="CB210"/>
      <c r="CC210"/>
      <c r="CD210"/>
      <c r="CE210"/>
      <c r="CF210"/>
      <c r="CG210"/>
      <c r="CH210" s="6"/>
      <c r="CI210"/>
      <c r="CJ210"/>
      <c r="CK210"/>
      <c r="CL210"/>
      <c r="CM210"/>
      <c r="CN210"/>
      <c r="CO210"/>
      <c r="CP210"/>
      <c r="CQ210"/>
      <c r="CR210"/>
      <c r="CS210"/>
      <c r="CT210"/>
      <c r="CU210"/>
      <c r="CV210"/>
      <c r="CW210"/>
      <c r="CX210" s="6"/>
    </row>
    <row r="211" spans="1:102" s="4" customFormat="1" hidden="1">
      <c r="A211" s="3">
        <f t="shared" si="12"/>
        <v>210</v>
      </c>
      <c r="B211" s="4" t="s">
        <v>18</v>
      </c>
      <c r="C211" s="4" t="s">
        <v>4</v>
      </c>
      <c r="D211" s="4" t="e">
        <f>INDEX(Employee!E:E,MATCH(AK211,Employee!B:B,0))</f>
        <v>#N/A</v>
      </c>
      <c r="E211" s="4" t="e">
        <f>INDEX(Employee!F:F,MATCH(AK211,Employee!B:B,0))</f>
        <v>#N/A</v>
      </c>
      <c r="F211" s="4" t="e">
        <f>INDEX(Employee!G:G,MATCH(AK211,Employee!B:B,0))</f>
        <v>#N/A</v>
      </c>
      <c r="G211" s="4" t="s">
        <v>17</v>
      </c>
      <c r="I211" s="4" t="s">
        <v>598</v>
      </c>
      <c r="J211" s="4" t="s">
        <v>111</v>
      </c>
      <c r="K211" s="4" t="s">
        <v>112</v>
      </c>
      <c r="N211" s="13" t="b">
        <v>0</v>
      </c>
      <c r="O211" s="13" t="b">
        <v>0</v>
      </c>
      <c r="Q211" s="14">
        <v>45407</v>
      </c>
      <c r="R211" s="4" t="s">
        <v>102</v>
      </c>
      <c r="S211" s="10">
        <v>20364</v>
      </c>
      <c r="T211" s="4" t="e">
        <f>INDEX(Employee!#REF!,MATCH(U211,Employee!#REF!,0))</f>
        <v>#REF!</v>
      </c>
      <c r="U211" s="4" t="s">
        <v>252</v>
      </c>
      <c r="V211" s="4" t="e">
        <f>INDEX(Employee!#REF!,MATCH(U211,Employee!#REF!,0))</f>
        <v>#REF!</v>
      </c>
      <c r="W211" s="4" t="e">
        <f>INDEX(Employee!#REF!,MATCH(U211,Employee!#REF!,0))</f>
        <v>#REF!</v>
      </c>
      <c r="X211" s="4" t="e">
        <f>INDEX(Employee!#REF!,MATCH(U211,Employee!#REF!,0))</f>
        <v>#REF!</v>
      </c>
      <c r="AJ211" s="4" t="e">
        <f>INDEX(Employee!C:C,MATCH(AK211,Employee!B:B,0))</f>
        <v>#N/A</v>
      </c>
      <c r="AL211" s="4" t="e">
        <f>INDEX(Employee!D:D,MATCH(AK211,Employee!B:B,0))</f>
        <v>#N/A</v>
      </c>
      <c r="AM211" s="4" t="e">
        <f>INDEX(Employee!F:F,MATCH(AK211,Employee!B:B,0))</f>
        <v>#N/A</v>
      </c>
      <c r="AN211" s="4" t="e">
        <f>INDEX(Employee!H:H,MATCH(AK211,Employee!B:B,0))</f>
        <v>#N/A</v>
      </c>
      <c r="AS211" s="4" t="s">
        <v>588</v>
      </c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  <c r="BR211"/>
      <c r="BS211"/>
      <c r="BT211"/>
      <c r="BU211"/>
      <c r="BV211"/>
      <c r="BW211"/>
      <c r="BX211"/>
      <c r="BY211"/>
      <c r="BZ211"/>
      <c r="CA211"/>
      <c r="CB211"/>
      <c r="CC211"/>
      <c r="CD211"/>
      <c r="CE211"/>
      <c r="CF211"/>
      <c r="CG211"/>
      <c r="CH211" s="6"/>
      <c r="CI211"/>
      <c r="CJ211"/>
      <c r="CK211"/>
      <c r="CL211"/>
      <c r="CM211"/>
      <c r="CN211"/>
      <c r="CO211"/>
      <c r="CP211"/>
      <c r="CQ211"/>
      <c r="CR211"/>
      <c r="CS211"/>
      <c r="CT211"/>
      <c r="CU211"/>
      <c r="CV211"/>
      <c r="CW211"/>
      <c r="CX211" s="6"/>
    </row>
    <row r="212" spans="1:102" s="4" customFormat="1" hidden="1">
      <c r="A212" s="3">
        <f t="shared" si="12"/>
        <v>211</v>
      </c>
      <c r="B212" s="4" t="s">
        <v>18</v>
      </c>
      <c r="C212" s="4" t="s">
        <v>5</v>
      </c>
      <c r="D212" s="4">
        <f>INDEX(Employee!E:E,MATCH(AK212,Employee!B:B,0))</f>
        <v>0</v>
      </c>
      <c r="E212" s="4" t="str">
        <f>INDEX(Employee!F:F,MATCH(AK212,Employee!B:B,0))</f>
        <v>Tech</v>
      </c>
      <c r="F212" s="4">
        <f>INDEX(Employee!G:G,MATCH(AK212,Employee!B:B,0))</f>
        <v>0</v>
      </c>
      <c r="G212" s="4" t="s">
        <v>15</v>
      </c>
      <c r="H212" s="4" t="s">
        <v>599</v>
      </c>
      <c r="I212" s="4" t="s">
        <v>600</v>
      </c>
      <c r="J212" s="4" t="s">
        <v>111</v>
      </c>
      <c r="K212" s="4" t="s">
        <v>112</v>
      </c>
      <c r="N212" s="13" t="b">
        <v>0</v>
      </c>
      <c r="O212" s="13" t="b">
        <v>0</v>
      </c>
      <c r="Q212" s="14">
        <v>45407</v>
      </c>
      <c r="R212" s="4" t="s">
        <v>102</v>
      </c>
      <c r="S212" s="10">
        <v>20364</v>
      </c>
      <c r="T212" s="4" t="e">
        <f>INDEX(Employee!#REF!,MATCH(U212,Employee!#REF!,0))</f>
        <v>#REF!</v>
      </c>
      <c r="U212" s="4" t="s">
        <v>252</v>
      </c>
      <c r="V212" s="4" t="e">
        <f>INDEX(Employee!#REF!,MATCH(U212,Employee!#REF!,0))</f>
        <v>#REF!</v>
      </c>
      <c r="W212" s="4" t="e">
        <f>INDEX(Employee!#REF!,MATCH(U212,Employee!#REF!,0))</f>
        <v>#REF!</v>
      </c>
      <c r="X212" s="4" t="e">
        <f>INDEX(Employee!#REF!,MATCH(U212,Employee!#REF!,0))</f>
        <v>#REF!</v>
      </c>
      <c r="AJ212" s="4" t="str">
        <f>INDEX(Employee!C:C,MATCH(AK212,Employee!B:B,0))</f>
        <v>Nguyễn Minh Hùng</v>
      </c>
      <c r="AK212" s="4" t="s">
        <v>601</v>
      </c>
      <c r="AL212" s="4" t="str">
        <f>INDEX(Employee!D:D,MATCH(AK212,Employee!B:B,0))</f>
        <v>Associate NOC Engineer</v>
      </c>
      <c r="AM212" s="4" t="str">
        <f>INDEX(Employee!F:F,MATCH(AK212,Employee!B:B,0))</f>
        <v>Tech</v>
      </c>
      <c r="AN212" s="4" t="str">
        <f>INDEX(Employee!H:H,MATCH(AK212,Employee!B:B,0))</f>
        <v>Chu Văn Toàn (ToanCV)</v>
      </c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  <c r="BR212"/>
      <c r="BS212"/>
      <c r="BT212"/>
      <c r="BU212"/>
      <c r="BV212"/>
      <c r="BW212"/>
      <c r="BX212"/>
      <c r="BY212"/>
      <c r="BZ212"/>
      <c r="CA212"/>
      <c r="CB212"/>
      <c r="CC212"/>
      <c r="CD212"/>
      <c r="CE212"/>
      <c r="CF212"/>
      <c r="CG212"/>
      <c r="CH212" s="6"/>
      <c r="CI212"/>
      <c r="CJ212"/>
      <c r="CK212"/>
      <c r="CL212"/>
      <c r="CM212"/>
      <c r="CN212"/>
      <c r="CO212"/>
      <c r="CP212"/>
      <c r="CQ212"/>
      <c r="CR212"/>
      <c r="CS212"/>
      <c r="CT212"/>
      <c r="CU212"/>
      <c r="CV212"/>
      <c r="CW212"/>
      <c r="CX212" s="6"/>
    </row>
    <row r="213" spans="1:102" s="4" customFormat="1" hidden="1">
      <c r="A213" s="3">
        <f t="shared" si="12"/>
        <v>212</v>
      </c>
      <c r="B213" s="4" t="s">
        <v>18</v>
      </c>
      <c r="C213" s="4" t="s">
        <v>3</v>
      </c>
      <c r="D213" s="4">
        <f>INDEX(Employee!E:E,MATCH(AK213,Employee!B:B,0))</f>
        <v>0</v>
      </c>
      <c r="E213" s="4" t="str">
        <f>INDEX(Employee!F:F,MATCH(AK213,Employee!B:B,0))</f>
        <v>Tech</v>
      </c>
      <c r="F213" s="4">
        <f>INDEX(Employee!G:G,MATCH(AK213,Employee!B:B,0))</f>
        <v>0</v>
      </c>
      <c r="G213" s="4" t="s">
        <v>119</v>
      </c>
      <c r="I213" s="4" t="s">
        <v>602</v>
      </c>
      <c r="J213" s="4" t="s">
        <v>111</v>
      </c>
      <c r="K213" s="4" t="s">
        <v>112</v>
      </c>
      <c r="N213" s="13" t="b">
        <v>0</v>
      </c>
      <c r="O213" s="13" t="b">
        <v>0</v>
      </c>
      <c r="Q213" s="14">
        <v>45407</v>
      </c>
      <c r="R213" s="4" t="s">
        <v>102</v>
      </c>
      <c r="S213" s="10">
        <v>20364</v>
      </c>
      <c r="T213" s="4" t="e">
        <f>INDEX(Employee!#REF!,MATCH(U213,Employee!#REF!,0))</f>
        <v>#REF!</v>
      </c>
      <c r="U213" s="4" t="s">
        <v>252</v>
      </c>
      <c r="V213" s="4" t="e">
        <f>INDEX(Employee!#REF!,MATCH(U213,Employee!#REF!,0))</f>
        <v>#REF!</v>
      </c>
      <c r="W213" s="4" t="e">
        <f>INDEX(Employee!#REF!,MATCH(U213,Employee!#REF!,0))</f>
        <v>#REF!</v>
      </c>
      <c r="X213" s="4" t="e">
        <f>INDEX(Employee!#REF!,MATCH(U213,Employee!#REF!,0))</f>
        <v>#REF!</v>
      </c>
      <c r="AJ213" s="4" t="str">
        <f>INDEX(Employee!C:C,MATCH(AK213,Employee!B:B,0))</f>
        <v>Trương Thanh Nhân</v>
      </c>
      <c r="AK213" s="4" t="s">
        <v>603</v>
      </c>
      <c r="AL213" s="4" t="str">
        <f>INDEX(Employee!D:D,MATCH(AK213,Employee!B:B,0))</f>
        <v>Senior Software Engineer</v>
      </c>
      <c r="AM213" s="4" t="str">
        <f>INDEX(Employee!F:F,MATCH(AK213,Employee!B:B,0))</f>
        <v>Tech</v>
      </c>
      <c r="AN213" s="4" t="str">
        <f>INDEX(Employee!H:H,MATCH(AK213,Employee!B:B,0))</f>
        <v>Trần Triệu Dương (duongtt5)</v>
      </c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  <c r="BR213"/>
      <c r="BS213"/>
      <c r="BT213"/>
      <c r="BU213"/>
      <c r="BV213"/>
      <c r="BW213"/>
      <c r="BX213"/>
      <c r="BY213"/>
      <c r="BZ213"/>
      <c r="CA213"/>
      <c r="CB213"/>
      <c r="CC213"/>
      <c r="CD213"/>
      <c r="CE213"/>
      <c r="CF213"/>
      <c r="CG213"/>
      <c r="CH213" s="6"/>
      <c r="CI213"/>
      <c r="CJ213"/>
      <c r="CK213"/>
      <c r="CL213"/>
      <c r="CM213"/>
      <c r="CN213"/>
      <c r="CO213"/>
      <c r="CP213"/>
      <c r="CQ213"/>
      <c r="CR213"/>
      <c r="CS213"/>
      <c r="CT213"/>
      <c r="CU213"/>
      <c r="CV213"/>
      <c r="CW213"/>
      <c r="CX213" s="6"/>
    </row>
    <row r="214" spans="1:102" s="4" customFormat="1" hidden="1">
      <c r="A214" s="3">
        <f t="shared" si="12"/>
        <v>213</v>
      </c>
      <c r="B214" s="4" t="s">
        <v>18</v>
      </c>
      <c r="C214" s="4" t="s">
        <v>3</v>
      </c>
      <c r="D214" s="4" t="str">
        <f>INDEX(Employee!E:E,MATCH(AK214,Employee!B:B,0))</f>
        <v>BO</v>
      </c>
      <c r="E214" s="4" t="str">
        <f>INDEX(Employee!F:F,MATCH(AK214,Employee!B:B,0))</f>
        <v>Business Support</v>
      </c>
      <c r="F214" s="4" t="str">
        <f>INDEX(Employee!G:G,MATCH(AK214,Employee!B:B,0))</f>
        <v>Operation Team</v>
      </c>
      <c r="G214" s="4" t="s">
        <v>15</v>
      </c>
      <c r="I214" s="4" t="s">
        <v>604</v>
      </c>
      <c r="J214" s="4" t="s">
        <v>111</v>
      </c>
      <c r="K214" s="4" t="s">
        <v>112</v>
      </c>
      <c r="N214" s="13" t="b">
        <v>0</v>
      </c>
      <c r="O214" s="13" t="b">
        <v>0</v>
      </c>
      <c r="Q214" s="14">
        <v>45407</v>
      </c>
      <c r="R214" s="4" t="s">
        <v>102</v>
      </c>
      <c r="S214" s="10">
        <v>20364</v>
      </c>
      <c r="T214" s="4" t="e">
        <f>INDEX(Employee!#REF!,MATCH(U214,Employee!#REF!,0))</f>
        <v>#REF!</v>
      </c>
      <c r="U214" s="4" t="s">
        <v>252</v>
      </c>
      <c r="V214" s="4" t="e">
        <f>INDEX(Employee!#REF!,MATCH(U214,Employee!#REF!,0))</f>
        <v>#REF!</v>
      </c>
      <c r="W214" s="4" t="e">
        <f>INDEX(Employee!#REF!,MATCH(U214,Employee!#REF!,0))</f>
        <v>#REF!</v>
      </c>
      <c r="X214" s="4" t="e">
        <f>INDEX(Employee!#REF!,MATCH(U214,Employee!#REF!,0))</f>
        <v>#REF!</v>
      </c>
      <c r="AJ214" s="4" t="str">
        <f>INDEX(Employee!C:C,MATCH(AK214,Employee!B:B,0))</f>
        <v>Mai Thị Cẩm Hà</v>
      </c>
      <c r="AK214" s="4" t="s">
        <v>223</v>
      </c>
      <c r="AL214" s="4" t="str">
        <f>INDEX(Employee!D:D,MATCH(AK214,Employee!B:B,0))</f>
        <v>Associate GRC Analyst</v>
      </c>
      <c r="AM214" s="4" t="str">
        <f>INDEX(Employee!F:F,MATCH(AK214,Employee!B:B,0))</f>
        <v>Business Support</v>
      </c>
      <c r="AN214" s="4" t="str">
        <f>INDEX(Employee!H:H,MATCH(AK214,Employee!B:B,0))</f>
        <v>Nguyễn Thị My Sa</v>
      </c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  <c r="BR214"/>
      <c r="BS214"/>
      <c r="BT214"/>
      <c r="BU214"/>
      <c r="BV214"/>
      <c r="BW214"/>
      <c r="BX214"/>
      <c r="BY214"/>
      <c r="BZ214"/>
      <c r="CA214"/>
      <c r="CB214"/>
      <c r="CC214"/>
      <c r="CD214"/>
      <c r="CE214"/>
      <c r="CF214"/>
      <c r="CG214"/>
      <c r="CH214" s="6"/>
      <c r="CI214"/>
      <c r="CJ214"/>
      <c r="CK214"/>
      <c r="CL214"/>
      <c r="CM214"/>
      <c r="CN214"/>
      <c r="CO214"/>
      <c r="CP214"/>
      <c r="CQ214"/>
      <c r="CR214"/>
      <c r="CS214"/>
      <c r="CT214"/>
      <c r="CU214"/>
      <c r="CV214"/>
      <c r="CW214"/>
      <c r="CX214" s="6"/>
    </row>
    <row r="215" spans="1:102" s="4" customFormat="1" hidden="1">
      <c r="A215" s="3">
        <f t="shared" si="12"/>
        <v>214</v>
      </c>
      <c r="B215" s="4" t="s">
        <v>18</v>
      </c>
      <c r="C215" s="4" t="s">
        <v>3</v>
      </c>
      <c r="D215" s="4">
        <f>INDEX(Employee!E:E,MATCH(AK215,Employee!B:B,0))</f>
        <v>0</v>
      </c>
      <c r="E215" s="4" t="str">
        <f>INDEX(Employee!F:F,MATCH(AK215,Employee!B:B,0))</f>
        <v>Tech</v>
      </c>
      <c r="F215" s="4">
        <f>INDEX(Employee!G:G,MATCH(AK215,Employee!B:B,0))</f>
        <v>0</v>
      </c>
      <c r="G215" s="4" t="s">
        <v>119</v>
      </c>
      <c r="I215" s="4" t="s">
        <v>605</v>
      </c>
      <c r="J215" s="4" t="s">
        <v>111</v>
      </c>
      <c r="K215" s="4" t="s">
        <v>112</v>
      </c>
      <c r="N215" s="13" t="b">
        <v>0</v>
      </c>
      <c r="O215" s="13" t="b">
        <v>0</v>
      </c>
      <c r="Q215" s="14">
        <v>45407</v>
      </c>
      <c r="R215" s="4" t="s">
        <v>102</v>
      </c>
      <c r="S215" s="10">
        <v>20364</v>
      </c>
      <c r="T215" s="4" t="e">
        <f>INDEX(Employee!#REF!,MATCH(U215,Employee!#REF!,0))</f>
        <v>#REF!</v>
      </c>
      <c r="U215" s="4" t="s">
        <v>252</v>
      </c>
      <c r="V215" s="4" t="e">
        <f>INDEX(Employee!#REF!,MATCH(U215,Employee!#REF!,0))</f>
        <v>#REF!</v>
      </c>
      <c r="W215" s="4" t="e">
        <f>INDEX(Employee!#REF!,MATCH(U215,Employee!#REF!,0))</f>
        <v>#REF!</v>
      </c>
      <c r="X215" s="4" t="e">
        <f>INDEX(Employee!#REF!,MATCH(U215,Employee!#REF!,0))</f>
        <v>#REF!</v>
      </c>
      <c r="AJ215" s="4" t="str">
        <f>INDEX(Employee!C:C,MATCH(AK215,Employee!B:B,0))</f>
        <v>Hoàng Anh Dũng</v>
      </c>
      <c r="AK215" s="4" t="s">
        <v>411</v>
      </c>
      <c r="AL215" s="4" t="str">
        <f>INDEX(Employee!D:D,MATCH(AK215,Employee!B:B,0))</f>
        <v>Associate Software Engineer</v>
      </c>
      <c r="AM215" s="4" t="str">
        <f>INDEX(Employee!F:F,MATCH(AK215,Employee!B:B,0))</f>
        <v>Tech</v>
      </c>
      <c r="AN215" s="4" t="str">
        <f>INDEX(Employee!H:H,MATCH(AK215,Employee!B:B,0))</f>
        <v>Trương Thanh Nhân (nhantt7)</v>
      </c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  <c r="BR215"/>
      <c r="BS215"/>
      <c r="BT215"/>
      <c r="BU215"/>
      <c r="BV215"/>
      <c r="BW215"/>
      <c r="BX215"/>
      <c r="BY215"/>
      <c r="BZ215"/>
      <c r="CA215"/>
      <c r="CB215"/>
      <c r="CC215"/>
      <c r="CD215"/>
      <c r="CE215"/>
      <c r="CF215"/>
      <c r="CG215"/>
      <c r="CH215" s="6"/>
      <c r="CI215"/>
      <c r="CJ215"/>
      <c r="CK215"/>
      <c r="CL215"/>
      <c r="CM215"/>
      <c r="CN215"/>
      <c r="CO215"/>
      <c r="CP215"/>
      <c r="CQ215"/>
      <c r="CR215"/>
      <c r="CS215"/>
      <c r="CT215"/>
      <c r="CU215"/>
      <c r="CV215"/>
      <c r="CW215"/>
      <c r="CX215" s="6"/>
    </row>
    <row r="216" spans="1:102" s="4" customFormat="1" hidden="1">
      <c r="A216" s="3">
        <f t="shared" si="12"/>
        <v>215</v>
      </c>
      <c r="B216" s="4" t="s">
        <v>18</v>
      </c>
      <c r="C216" s="4" t="s">
        <v>5</v>
      </c>
      <c r="D216" s="4">
        <f>INDEX(Employee!E:E,MATCH(AK216,Employee!B:B,0))</f>
        <v>0</v>
      </c>
      <c r="E216" s="4" t="str">
        <f>INDEX(Employee!F:F,MATCH(AK216,Employee!B:B,0))</f>
        <v>Data</v>
      </c>
      <c r="F216" s="4">
        <f>INDEX(Employee!G:G,MATCH(AK216,Employee!B:B,0))</f>
        <v>0</v>
      </c>
      <c r="G216" s="4" t="s">
        <v>15</v>
      </c>
      <c r="I216" s="4" t="s">
        <v>606</v>
      </c>
      <c r="J216" s="4" t="s">
        <v>111</v>
      </c>
      <c r="K216" s="4" t="s">
        <v>112</v>
      </c>
      <c r="N216" s="13" t="b">
        <v>0</v>
      </c>
      <c r="O216" s="13" t="b">
        <v>0</v>
      </c>
      <c r="Q216" s="14">
        <v>45407</v>
      </c>
      <c r="R216" s="4" t="s">
        <v>102</v>
      </c>
      <c r="S216" s="10">
        <v>20364</v>
      </c>
      <c r="T216" s="4" t="e">
        <f>INDEX(Employee!#REF!,MATCH(U216,Employee!#REF!,0))</f>
        <v>#REF!</v>
      </c>
      <c r="U216" s="4" t="s">
        <v>252</v>
      </c>
      <c r="V216" s="4" t="e">
        <f>INDEX(Employee!#REF!,MATCH(U216,Employee!#REF!,0))</f>
        <v>#REF!</v>
      </c>
      <c r="W216" s="4" t="e">
        <f>INDEX(Employee!#REF!,MATCH(U216,Employee!#REF!,0))</f>
        <v>#REF!</v>
      </c>
      <c r="X216" s="4" t="e">
        <f>INDEX(Employee!#REF!,MATCH(U216,Employee!#REF!,0))</f>
        <v>#REF!</v>
      </c>
      <c r="AJ216" s="4" t="str">
        <f>INDEX(Employee!C:C,MATCH(AK216,Employee!B:B,0))</f>
        <v>Huỳnh Quốc Quân</v>
      </c>
      <c r="AK216" s="4" t="s">
        <v>225</v>
      </c>
      <c r="AL216" s="4" t="str">
        <f>INDEX(Employee!D:D,MATCH(AK216,Employee!B:B,0))</f>
        <v>Senior Database Administrator</v>
      </c>
      <c r="AM216" s="4" t="str">
        <f>INDEX(Employee!F:F,MATCH(AK216,Employee!B:B,0))</f>
        <v>Data</v>
      </c>
      <c r="AN216" s="4" t="str">
        <f>INDEX(Employee!H:H,MATCH(AK216,Employee!B:B,0))</f>
        <v>Dương Huỳnh Nghĩa (nghiadh)</v>
      </c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  <c r="BR216"/>
      <c r="BS216"/>
      <c r="BT216"/>
      <c r="BU216"/>
      <c r="BV216"/>
      <c r="BW216"/>
      <c r="BX216"/>
      <c r="BY216"/>
      <c r="BZ216"/>
      <c r="CA216"/>
      <c r="CB216"/>
      <c r="CC216"/>
      <c r="CD216"/>
      <c r="CE216"/>
      <c r="CF216"/>
      <c r="CG216"/>
      <c r="CH216" s="6"/>
      <c r="CI216"/>
      <c r="CJ216"/>
      <c r="CK216"/>
      <c r="CL216"/>
      <c r="CM216"/>
      <c r="CN216"/>
      <c r="CO216"/>
      <c r="CP216"/>
      <c r="CQ216"/>
      <c r="CR216"/>
      <c r="CS216"/>
      <c r="CT216"/>
      <c r="CU216"/>
      <c r="CV216"/>
      <c r="CW216"/>
      <c r="CX216" s="6"/>
    </row>
    <row r="217" spans="1:102" s="4" customFormat="1" hidden="1">
      <c r="A217" s="3">
        <f t="shared" si="12"/>
        <v>216</v>
      </c>
      <c r="B217" s="4" t="s">
        <v>18</v>
      </c>
      <c r="C217" s="4" t="s">
        <v>4</v>
      </c>
      <c r="D217" s="4" t="e">
        <f>INDEX(Employee!E:E,MATCH(AK217,Employee!B:B,0))</f>
        <v>#N/A</v>
      </c>
      <c r="E217" s="4" t="e">
        <f>INDEX(Employee!F:F,MATCH(AK217,Employee!B:B,0))</f>
        <v>#N/A</v>
      </c>
      <c r="F217" s="4" t="e">
        <f>INDEX(Employee!G:G,MATCH(AK217,Employee!B:B,0))</f>
        <v>#N/A</v>
      </c>
      <c r="G217" s="4" t="s">
        <v>15</v>
      </c>
      <c r="I217" s="4" t="s">
        <v>607</v>
      </c>
      <c r="J217" s="4" t="s">
        <v>111</v>
      </c>
      <c r="K217" s="4" t="s">
        <v>112</v>
      </c>
      <c r="N217" s="13" t="b">
        <v>0</v>
      </c>
      <c r="O217" s="13" t="b">
        <v>0</v>
      </c>
      <c r="Q217" s="14">
        <v>45407</v>
      </c>
      <c r="R217" s="4" t="s">
        <v>102</v>
      </c>
      <c r="S217" s="10">
        <v>20364</v>
      </c>
      <c r="T217" s="4" t="e">
        <f>INDEX(Employee!#REF!,MATCH(U217,Employee!#REF!,0))</f>
        <v>#REF!</v>
      </c>
      <c r="U217" s="4" t="s">
        <v>252</v>
      </c>
      <c r="V217" s="4" t="e">
        <f>INDEX(Employee!#REF!,MATCH(U217,Employee!#REF!,0))</f>
        <v>#REF!</v>
      </c>
      <c r="W217" s="4" t="e">
        <f>INDEX(Employee!#REF!,MATCH(U217,Employee!#REF!,0))</f>
        <v>#REF!</v>
      </c>
      <c r="X217" s="4" t="e">
        <f>INDEX(Employee!#REF!,MATCH(U217,Employee!#REF!,0))</f>
        <v>#REF!</v>
      </c>
      <c r="AJ217" s="4" t="e">
        <f>INDEX(Employee!C:C,MATCH(AK217,Employee!B:B,0))</f>
        <v>#N/A</v>
      </c>
      <c r="AL217" s="4" t="e">
        <f>INDEX(Employee!D:D,MATCH(AK217,Employee!B:B,0))</f>
        <v>#N/A</v>
      </c>
      <c r="AM217" s="4" t="e">
        <f>INDEX(Employee!F:F,MATCH(AK217,Employee!B:B,0))</f>
        <v>#N/A</v>
      </c>
      <c r="AN217" s="4" t="e">
        <f>INDEX(Employee!H:H,MATCH(AK217,Employee!B:B,0))</f>
        <v>#N/A</v>
      </c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  <c r="BR217"/>
      <c r="BS217"/>
      <c r="BT217"/>
      <c r="BU217"/>
      <c r="BV217"/>
      <c r="BW217"/>
      <c r="BX217"/>
      <c r="BY217"/>
      <c r="BZ217"/>
      <c r="CA217"/>
      <c r="CB217"/>
      <c r="CC217"/>
      <c r="CD217"/>
      <c r="CE217"/>
      <c r="CF217"/>
      <c r="CG217"/>
      <c r="CH217" s="6"/>
      <c r="CI217"/>
      <c r="CJ217"/>
      <c r="CK217"/>
      <c r="CL217"/>
      <c r="CM217"/>
      <c r="CN217"/>
      <c r="CO217"/>
      <c r="CP217"/>
      <c r="CQ217"/>
      <c r="CR217"/>
      <c r="CS217"/>
      <c r="CT217"/>
      <c r="CU217"/>
      <c r="CV217"/>
      <c r="CW217"/>
      <c r="CX217" s="6"/>
    </row>
    <row r="218" spans="1:102" s="4" customFormat="1" hidden="1">
      <c r="A218" s="3">
        <f t="shared" si="12"/>
        <v>217</v>
      </c>
      <c r="B218" s="4" t="s">
        <v>18</v>
      </c>
      <c r="C218" s="4" t="s">
        <v>3</v>
      </c>
      <c r="D218" s="4" t="str">
        <f>INDEX(Employee!E:E,MATCH(AK218,Employee!B:B,0))</f>
        <v>Project</v>
      </c>
      <c r="E218" s="4" t="str">
        <f>INDEX(Employee!F:F,MATCH(AK218,Employee!B:B,0))</f>
        <v>Tech</v>
      </c>
      <c r="F218" s="4" t="str">
        <f>INDEX(Employee!G:G,MATCH(AK218,Employee!B:B,0))</f>
        <v>Venture</v>
      </c>
      <c r="G218" s="4" t="s">
        <v>15</v>
      </c>
      <c r="I218" s="4" t="s">
        <v>608</v>
      </c>
      <c r="J218" s="4" t="s">
        <v>111</v>
      </c>
      <c r="K218" s="4" t="s">
        <v>112</v>
      </c>
      <c r="N218" s="13" t="b">
        <v>0</v>
      </c>
      <c r="O218" s="13" t="b">
        <v>0</v>
      </c>
      <c r="Q218" s="14">
        <v>45407</v>
      </c>
      <c r="R218" s="4" t="s">
        <v>102</v>
      </c>
      <c r="S218" s="10">
        <v>20364</v>
      </c>
      <c r="T218" s="4" t="e">
        <f>INDEX(Employee!#REF!,MATCH(U218,Employee!#REF!,0))</f>
        <v>#REF!</v>
      </c>
      <c r="U218" s="4" t="s">
        <v>252</v>
      </c>
      <c r="V218" s="4" t="e">
        <f>INDEX(Employee!#REF!,MATCH(U218,Employee!#REF!,0))</f>
        <v>#REF!</v>
      </c>
      <c r="W218" s="4" t="e">
        <f>INDEX(Employee!#REF!,MATCH(U218,Employee!#REF!,0))</f>
        <v>#REF!</v>
      </c>
      <c r="X218" s="4" t="e">
        <f>INDEX(Employee!#REF!,MATCH(U218,Employee!#REF!,0))</f>
        <v>#REF!</v>
      </c>
      <c r="AJ218" s="4" t="str">
        <f>INDEX(Employee!C:C,MATCH(AK218,Employee!B:B,0))</f>
        <v>Phùng Thanh Huy</v>
      </c>
      <c r="AK218" s="4" t="s">
        <v>422</v>
      </c>
      <c r="AL218" s="4" t="str">
        <f>INDEX(Employee!D:D,MATCH(AK218,Employee!B:B,0))</f>
        <v>Senior Software Engineer</v>
      </c>
      <c r="AM218" s="4" t="str">
        <f>INDEX(Employee!F:F,MATCH(AK218,Employee!B:B,0))</f>
        <v>Tech</v>
      </c>
      <c r="AN218" s="4" t="str">
        <f>INDEX(Employee!H:H,MATCH(AK218,Employee!B:B,0))</f>
        <v>Đoàn Nhật Duẩn (duandn)</v>
      </c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  <c r="BR218"/>
      <c r="BS218"/>
      <c r="BT218"/>
      <c r="BU218"/>
      <c r="BV218"/>
      <c r="BW218"/>
      <c r="BX218"/>
      <c r="BY218"/>
      <c r="BZ218"/>
      <c r="CA218"/>
      <c r="CB218"/>
      <c r="CC218"/>
      <c r="CD218"/>
      <c r="CE218"/>
      <c r="CF218"/>
      <c r="CG218"/>
      <c r="CH218" s="6"/>
      <c r="CI218"/>
      <c r="CJ218"/>
      <c r="CK218"/>
      <c r="CL218"/>
      <c r="CM218"/>
      <c r="CN218"/>
      <c r="CO218"/>
      <c r="CP218"/>
      <c r="CQ218"/>
      <c r="CR218"/>
      <c r="CS218"/>
      <c r="CT218"/>
      <c r="CU218"/>
      <c r="CV218"/>
      <c r="CW218"/>
      <c r="CX218" s="6"/>
    </row>
    <row r="219" spans="1:102" s="4" customFormat="1" hidden="1">
      <c r="A219" s="3">
        <f t="shared" si="12"/>
        <v>218</v>
      </c>
      <c r="B219" s="4" t="s">
        <v>18</v>
      </c>
      <c r="C219" s="4" t="s">
        <v>5</v>
      </c>
      <c r="D219" s="4" t="e">
        <f>INDEX(Employee!E:E,MATCH(AK219,Employee!B:B,0))</f>
        <v>#N/A</v>
      </c>
      <c r="E219" s="4" t="e">
        <f>INDEX(Employee!F:F,MATCH(AK219,Employee!B:B,0))</f>
        <v>#N/A</v>
      </c>
      <c r="F219" s="4" t="e">
        <f>INDEX(Employee!G:G,MATCH(AK219,Employee!B:B,0))</f>
        <v>#N/A</v>
      </c>
      <c r="G219" s="4" t="s">
        <v>15</v>
      </c>
      <c r="I219" s="4" t="s">
        <v>609</v>
      </c>
      <c r="J219" s="4" t="s">
        <v>111</v>
      </c>
      <c r="K219" s="4" t="s">
        <v>112</v>
      </c>
      <c r="N219" s="13" t="b">
        <v>0</v>
      </c>
      <c r="O219" s="13" t="b">
        <v>0</v>
      </c>
      <c r="P219" s="4" t="s">
        <v>610</v>
      </c>
      <c r="Q219" s="14">
        <v>45407</v>
      </c>
      <c r="R219" s="4" t="s">
        <v>102</v>
      </c>
      <c r="S219" s="10">
        <v>20364</v>
      </c>
      <c r="T219" s="4" t="e">
        <f>INDEX(Employee!#REF!,MATCH(U219,Employee!#REF!,0))</f>
        <v>#REF!</v>
      </c>
      <c r="U219" s="4" t="s">
        <v>252</v>
      </c>
      <c r="V219" s="4" t="e">
        <f>INDEX(Employee!#REF!,MATCH(U219,Employee!#REF!,0))</f>
        <v>#REF!</v>
      </c>
      <c r="W219" s="4" t="e">
        <f>INDEX(Employee!#REF!,MATCH(U219,Employee!#REF!,0))</f>
        <v>#REF!</v>
      </c>
      <c r="X219" s="4" t="e">
        <f>INDEX(Employee!#REF!,MATCH(U219,Employee!#REF!,0))</f>
        <v>#REF!</v>
      </c>
      <c r="AJ219" s="4" t="e">
        <f>INDEX(Employee!C:C,MATCH(AK219,Employee!B:B,0))</f>
        <v>#N/A</v>
      </c>
      <c r="AL219" s="4" t="e">
        <f>INDEX(Employee!D:D,MATCH(AK219,Employee!B:B,0))</f>
        <v>#N/A</v>
      </c>
      <c r="AM219" s="4" t="e">
        <f>INDEX(Employee!F:F,MATCH(AK219,Employee!B:B,0))</f>
        <v>#N/A</v>
      </c>
      <c r="AN219" s="4" t="e">
        <f>INDEX(Employee!H:H,MATCH(AK219,Employee!B:B,0))</f>
        <v>#N/A</v>
      </c>
      <c r="AS219" s="4" t="s">
        <v>248</v>
      </c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  <c r="BR219"/>
      <c r="BS219"/>
      <c r="BT219"/>
      <c r="BU219"/>
      <c r="BV219"/>
      <c r="BW219"/>
      <c r="BX219"/>
      <c r="BY219"/>
      <c r="BZ219"/>
      <c r="CA219"/>
      <c r="CB219"/>
      <c r="CC219"/>
      <c r="CD219"/>
      <c r="CE219"/>
      <c r="CF219"/>
      <c r="CG219"/>
      <c r="CH219" s="6"/>
      <c r="CI219"/>
      <c r="CJ219"/>
      <c r="CK219"/>
      <c r="CL219"/>
      <c r="CM219"/>
      <c r="CN219"/>
      <c r="CO219"/>
      <c r="CP219"/>
      <c r="CQ219"/>
      <c r="CR219"/>
      <c r="CS219"/>
      <c r="CT219"/>
      <c r="CU219"/>
      <c r="CV219"/>
      <c r="CW219"/>
      <c r="CX219" s="6"/>
    </row>
    <row r="220" spans="1:102" s="4" customFormat="1" hidden="1">
      <c r="A220" s="3">
        <f t="shared" si="12"/>
        <v>219</v>
      </c>
      <c r="B220" s="4" t="s">
        <v>18</v>
      </c>
      <c r="C220" s="4" t="s">
        <v>4</v>
      </c>
      <c r="D220" s="4" t="e">
        <f>INDEX(Employee!E:E,MATCH(AK220,Employee!B:B,0))</f>
        <v>#N/A</v>
      </c>
      <c r="E220" s="4" t="e">
        <f>INDEX(Employee!F:F,MATCH(AK220,Employee!B:B,0))</f>
        <v>#N/A</v>
      </c>
      <c r="F220" s="4" t="e">
        <f>INDEX(Employee!G:G,MATCH(AK220,Employee!B:B,0))</f>
        <v>#N/A</v>
      </c>
      <c r="G220" s="4" t="s">
        <v>15</v>
      </c>
      <c r="I220" s="4" t="s">
        <v>611</v>
      </c>
      <c r="J220" s="4" t="s">
        <v>111</v>
      </c>
      <c r="K220" s="4" t="s">
        <v>112</v>
      </c>
      <c r="N220" s="13" t="b">
        <v>0</v>
      </c>
      <c r="O220" s="13" t="b">
        <v>0</v>
      </c>
      <c r="Q220" s="14">
        <v>45407</v>
      </c>
      <c r="R220" s="4" t="s">
        <v>102</v>
      </c>
      <c r="S220" s="10">
        <v>20364</v>
      </c>
      <c r="T220" s="4" t="e">
        <f>INDEX(Employee!#REF!,MATCH(U220,Employee!#REF!,0))</f>
        <v>#REF!</v>
      </c>
      <c r="U220" s="4" t="s">
        <v>252</v>
      </c>
      <c r="V220" s="4" t="e">
        <f>INDEX(Employee!#REF!,MATCH(U220,Employee!#REF!,0))</f>
        <v>#REF!</v>
      </c>
      <c r="W220" s="4" t="e">
        <f>INDEX(Employee!#REF!,MATCH(U220,Employee!#REF!,0))</f>
        <v>#REF!</v>
      </c>
      <c r="X220" s="4" t="e">
        <f>INDEX(Employee!#REF!,MATCH(U220,Employee!#REF!,0))</f>
        <v>#REF!</v>
      </c>
      <c r="AJ220" s="4" t="e">
        <f>INDEX(Employee!C:C,MATCH(AK220,Employee!B:B,0))</f>
        <v>#N/A</v>
      </c>
      <c r="AL220" s="4" t="e">
        <f>INDEX(Employee!D:D,MATCH(AK220,Employee!B:B,0))</f>
        <v>#N/A</v>
      </c>
      <c r="AM220" s="4" t="e">
        <f>INDEX(Employee!F:F,MATCH(AK220,Employee!B:B,0))</f>
        <v>#N/A</v>
      </c>
      <c r="AN220" s="4" t="e">
        <f>INDEX(Employee!H:H,MATCH(AK220,Employee!B:B,0))</f>
        <v>#N/A</v>
      </c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  <c r="BR220"/>
      <c r="BS220"/>
      <c r="BT220"/>
      <c r="BU220"/>
      <c r="BV220"/>
      <c r="BW220"/>
      <c r="BX220"/>
      <c r="BY220"/>
      <c r="BZ220"/>
      <c r="CA220"/>
      <c r="CB220"/>
      <c r="CC220"/>
      <c r="CD220"/>
      <c r="CE220"/>
      <c r="CF220"/>
      <c r="CG220"/>
      <c r="CH220" s="6"/>
      <c r="CI220"/>
      <c r="CJ220"/>
      <c r="CK220"/>
      <c r="CL220"/>
      <c r="CM220"/>
      <c r="CN220"/>
      <c r="CO220"/>
      <c r="CP220"/>
      <c r="CQ220"/>
      <c r="CR220"/>
      <c r="CS220"/>
      <c r="CT220"/>
      <c r="CU220"/>
      <c r="CV220"/>
      <c r="CW220"/>
      <c r="CX220" s="6"/>
    </row>
    <row r="221" spans="1:102" s="4" customFormat="1" hidden="1">
      <c r="A221" s="3">
        <f t="shared" si="12"/>
        <v>220</v>
      </c>
      <c r="B221" s="4" t="s">
        <v>18</v>
      </c>
      <c r="C221" s="4" t="s">
        <v>5</v>
      </c>
      <c r="D221" s="4" t="e">
        <f>INDEX(Employee!E:E,MATCH(AK221,Employee!B:B,0))</f>
        <v>#N/A</v>
      </c>
      <c r="E221" s="4" t="e">
        <f>INDEX(Employee!F:F,MATCH(AK221,Employee!B:B,0))</f>
        <v>#N/A</v>
      </c>
      <c r="F221" s="4" t="e">
        <f>INDEX(Employee!G:G,MATCH(AK221,Employee!B:B,0))</f>
        <v>#N/A</v>
      </c>
      <c r="G221" s="4" t="s">
        <v>15</v>
      </c>
      <c r="I221" s="4" t="s">
        <v>612</v>
      </c>
      <c r="J221" s="4" t="s">
        <v>111</v>
      </c>
      <c r="K221" s="4" t="s">
        <v>112</v>
      </c>
      <c r="N221" s="13" t="b">
        <v>0</v>
      </c>
      <c r="O221" s="13" t="b">
        <v>0</v>
      </c>
      <c r="Q221" s="14">
        <v>45464</v>
      </c>
      <c r="R221" s="4" t="s">
        <v>102</v>
      </c>
      <c r="S221" s="10">
        <v>20546</v>
      </c>
      <c r="T221" s="4" t="e">
        <f>INDEX(Employee!#REF!,MATCH(U221,Employee!#REF!,0))</f>
        <v>#REF!</v>
      </c>
      <c r="U221" s="4" t="s">
        <v>252</v>
      </c>
      <c r="V221" s="4" t="e">
        <f>INDEX(Employee!#REF!,MATCH(U221,Employee!#REF!,0))</f>
        <v>#REF!</v>
      </c>
      <c r="W221" s="4" t="e">
        <f>INDEX(Employee!#REF!,MATCH(U221,Employee!#REF!,0))</f>
        <v>#REF!</v>
      </c>
      <c r="X221" s="4" t="e">
        <f>INDEX(Employee!#REF!,MATCH(U221,Employee!#REF!,0))</f>
        <v>#REF!</v>
      </c>
      <c r="AJ221" s="4" t="e">
        <f>INDEX(Employee!C:C,MATCH(AK221,Employee!B:B,0))</f>
        <v>#N/A</v>
      </c>
      <c r="AL221" s="4" t="e">
        <f>INDEX(Employee!D:D,MATCH(AK221,Employee!B:B,0))</f>
        <v>#N/A</v>
      </c>
      <c r="AM221" s="4" t="e">
        <f>INDEX(Employee!F:F,MATCH(AK221,Employee!B:B,0))</f>
        <v>#N/A</v>
      </c>
      <c r="AN221" s="4" t="e">
        <f>INDEX(Employee!H:H,MATCH(AK221,Employee!B:B,0))</f>
        <v>#N/A</v>
      </c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  <c r="BR221"/>
      <c r="BS221"/>
      <c r="BT221"/>
      <c r="BU221"/>
      <c r="BV221"/>
      <c r="BW221"/>
      <c r="BX221"/>
      <c r="BY221"/>
      <c r="BZ221"/>
      <c r="CA221"/>
      <c r="CB221"/>
      <c r="CC221"/>
      <c r="CD221"/>
      <c r="CE221"/>
      <c r="CF221"/>
      <c r="CG221"/>
      <c r="CH221" s="6"/>
      <c r="CI221"/>
      <c r="CJ221"/>
      <c r="CK221"/>
      <c r="CL221"/>
      <c r="CM221"/>
      <c r="CN221"/>
      <c r="CO221"/>
      <c r="CP221"/>
      <c r="CQ221"/>
      <c r="CR221"/>
      <c r="CS221"/>
      <c r="CT221"/>
      <c r="CU221"/>
      <c r="CV221"/>
      <c r="CW221"/>
      <c r="CX221" s="6"/>
    </row>
    <row r="222" spans="1:102" s="4" customFormat="1" hidden="1">
      <c r="A222" s="3">
        <f t="shared" si="12"/>
        <v>221</v>
      </c>
      <c r="B222" s="4" t="s">
        <v>18</v>
      </c>
      <c r="C222" s="4" t="s">
        <v>5</v>
      </c>
      <c r="D222" s="4">
        <f>INDEX(Employee!E:E,MATCH(AK222,Employee!B:B,0))</f>
        <v>0</v>
      </c>
      <c r="E222" s="4" t="str">
        <f>INDEX(Employee!F:F,MATCH(AK222,Employee!B:B,0))</f>
        <v>Data</v>
      </c>
      <c r="F222" s="4">
        <f>INDEX(Employee!G:G,MATCH(AK222,Employee!B:B,0))</f>
        <v>0</v>
      </c>
      <c r="G222" s="4" t="s">
        <v>15</v>
      </c>
      <c r="I222" s="4" t="s">
        <v>613</v>
      </c>
      <c r="J222" s="4" t="s">
        <v>111</v>
      </c>
      <c r="K222" s="4" t="s">
        <v>112</v>
      </c>
      <c r="N222" s="13" t="b">
        <v>0</v>
      </c>
      <c r="O222" s="13" t="b">
        <v>0</v>
      </c>
      <c r="Q222" s="14">
        <v>45464</v>
      </c>
      <c r="R222" s="4" t="s">
        <v>102</v>
      </c>
      <c r="S222" s="10">
        <v>20546</v>
      </c>
      <c r="T222" s="4" t="e">
        <f>INDEX(Employee!#REF!,MATCH(U222,Employee!#REF!,0))</f>
        <v>#REF!</v>
      </c>
      <c r="U222" s="4" t="s">
        <v>252</v>
      </c>
      <c r="V222" s="4" t="e">
        <f>INDEX(Employee!#REF!,MATCH(U222,Employee!#REF!,0))</f>
        <v>#REF!</v>
      </c>
      <c r="W222" s="4" t="e">
        <f>INDEX(Employee!#REF!,MATCH(U222,Employee!#REF!,0))</f>
        <v>#REF!</v>
      </c>
      <c r="X222" s="4" t="e">
        <f>INDEX(Employee!#REF!,MATCH(U222,Employee!#REF!,0))</f>
        <v>#REF!</v>
      </c>
      <c r="AJ222" s="4" t="str">
        <f>INDEX(Employee!C:C,MATCH(AK222,Employee!B:B,0))</f>
        <v>Lê Nam Hưng</v>
      </c>
      <c r="AK222" s="4" t="s">
        <v>614</v>
      </c>
      <c r="AL222" s="4" t="str">
        <f>INDEX(Employee!D:D,MATCH(AK222,Employee!B:B,0))</f>
        <v>AI Engineer</v>
      </c>
      <c r="AM222" s="4" t="str">
        <f>INDEX(Employee!F:F,MATCH(AK222,Employee!B:B,0))</f>
        <v>Data</v>
      </c>
      <c r="AN222" s="4" t="str">
        <f>INDEX(Employee!H:H,MATCH(AK222,Employee!B:B,0))</f>
        <v>Trần Triệu Dương (duongtt5)</v>
      </c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  <c r="BR222"/>
      <c r="BS222"/>
      <c r="BT222"/>
      <c r="BU222"/>
      <c r="BV222"/>
      <c r="BW222"/>
      <c r="BX222"/>
      <c r="BY222"/>
      <c r="BZ222"/>
      <c r="CA222"/>
      <c r="CB222"/>
      <c r="CC222"/>
      <c r="CD222"/>
      <c r="CE222"/>
      <c r="CF222"/>
      <c r="CG222"/>
      <c r="CH222" s="6"/>
      <c r="CI222"/>
      <c r="CJ222"/>
      <c r="CK222"/>
      <c r="CL222"/>
      <c r="CM222"/>
      <c r="CN222"/>
      <c r="CO222"/>
      <c r="CP222"/>
      <c r="CQ222"/>
      <c r="CR222"/>
      <c r="CS222"/>
      <c r="CT222"/>
      <c r="CU222"/>
      <c r="CV222"/>
      <c r="CW222"/>
      <c r="CX222" s="6"/>
    </row>
    <row r="223" spans="1:102" s="4" customFormat="1" hidden="1">
      <c r="A223" s="3">
        <f t="shared" si="12"/>
        <v>222</v>
      </c>
      <c r="B223" s="4" t="s">
        <v>18</v>
      </c>
      <c r="C223" s="4" t="s">
        <v>4</v>
      </c>
      <c r="D223" s="4" t="e">
        <f>INDEX(Employee!E:E,MATCH(AK223,Employee!B:B,0))</f>
        <v>#N/A</v>
      </c>
      <c r="E223" s="4" t="e">
        <f>INDEX(Employee!F:F,MATCH(AK223,Employee!B:B,0))</f>
        <v>#N/A</v>
      </c>
      <c r="F223" s="4" t="e">
        <f>INDEX(Employee!G:G,MATCH(AK223,Employee!B:B,0))</f>
        <v>#N/A</v>
      </c>
      <c r="G223" s="4" t="s">
        <v>15</v>
      </c>
      <c r="H223" s="4" t="s">
        <v>615</v>
      </c>
      <c r="I223" s="4" t="s">
        <v>616</v>
      </c>
      <c r="J223" s="4" t="s">
        <v>111</v>
      </c>
      <c r="K223" s="4" t="s">
        <v>112</v>
      </c>
      <c r="N223" s="13" t="b">
        <v>0</v>
      </c>
      <c r="O223" s="13" t="b">
        <v>0</v>
      </c>
      <c r="P223" s="4" t="s">
        <v>617</v>
      </c>
      <c r="Q223" s="14">
        <v>45464</v>
      </c>
      <c r="R223" s="4" t="s">
        <v>102</v>
      </c>
      <c r="S223" s="10">
        <v>205455</v>
      </c>
      <c r="T223" s="4" t="e">
        <f>INDEX(Employee!#REF!,MATCH(U223,Employee!#REF!,0))</f>
        <v>#REF!</v>
      </c>
      <c r="U223" s="4" t="s">
        <v>252</v>
      </c>
      <c r="V223" s="4" t="e">
        <f>INDEX(Employee!#REF!,MATCH(U223,Employee!#REF!,0))</f>
        <v>#REF!</v>
      </c>
      <c r="W223" s="4" t="e">
        <f>INDEX(Employee!#REF!,MATCH(U223,Employee!#REF!,0))</f>
        <v>#REF!</v>
      </c>
      <c r="X223" s="4" t="e">
        <f>INDEX(Employee!#REF!,MATCH(U223,Employee!#REF!,0))</f>
        <v>#REF!</v>
      </c>
      <c r="AJ223" s="4" t="e">
        <f>INDEX(Employee!C:C,MATCH(AK223,Employee!B:B,0))</f>
        <v>#N/A</v>
      </c>
      <c r="AL223" s="4" t="e">
        <f>INDEX(Employee!D:D,MATCH(AK223,Employee!B:B,0))</f>
        <v>#N/A</v>
      </c>
      <c r="AM223" s="4" t="e">
        <f>INDEX(Employee!F:F,MATCH(AK223,Employee!B:B,0))</f>
        <v>#N/A</v>
      </c>
      <c r="AN223" s="4" t="e">
        <f>INDEX(Employee!H:H,MATCH(AK223,Employee!B:B,0))</f>
        <v>#N/A</v>
      </c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  <c r="BR223"/>
      <c r="BS223"/>
      <c r="BT223"/>
      <c r="BU223"/>
      <c r="BV223"/>
      <c r="BW223"/>
      <c r="BX223"/>
      <c r="BY223"/>
      <c r="BZ223"/>
      <c r="CA223"/>
      <c r="CB223"/>
      <c r="CC223"/>
      <c r="CD223"/>
      <c r="CE223"/>
      <c r="CF223"/>
      <c r="CG223"/>
      <c r="CH223" s="6"/>
      <c r="CI223"/>
      <c r="CJ223"/>
      <c r="CK223"/>
      <c r="CL223"/>
      <c r="CM223"/>
      <c r="CN223"/>
      <c r="CO223"/>
      <c r="CP223"/>
      <c r="CQ223"/>
      <c r="CR223"/>
      <c r="CS223"/>
      <c r="CT223"/>
      <c r="CU223"/>
      <c r="CV223"/>
      <c r="CW223"/>
      <c r="CX223" s="6"/>
    </row>
    <row r="224" spans="1:102" s="4" customFormat="1" hidden="1">
      <c r="A224" s="3">
        <f t="shared" si="12"/>
        <v>223</v>
      </c>
      <c r="B224" s="4" t="s">
        <v>18</v>
      </c>
      <c r="C224" s="4" t="s">
        <v>5</v>
      </c>
      <c r="D224" s="4" t="e">
        <f>INDEX(Employee!E:E,MATCH(AK224,Employee!B:B,0))</f>
        <v>#N/A</v>
      </c>
      <c r="E224" s="4" t="e">
        <f>INDEX(Employee!F:F,MATCH(AK224,Employee!B:B,0))</f>
        <v>#N/A</v>
      </c>
      <c r="F224" s="4" t="e">
        <f>INDEX(Employee!G:G,MATCH(AK224,Employee!B:B,0))</f>
        <v>#N/A</v>
      </c>
      <c r="G224" s="4" t="s">
        <v>15</v>
      </c>
      <c r="I224" s="4" t="s">
        <v>618</v>
      </c>
      <c r="J224" s="4" t="s">
        <v>111</v>
      </c>
      <c r="K224" s="4" t="s">
        <v>112</v>
      </c>
      <c r="N224" s="13" t="b">
        <v>0</v>
      </c>
      <c r="O224" s="13" t="b">
        <v>0</v>
      </c>
      <c r="P224" s="4" t="s">
        <v>619</v>
      </c>
      <c r="Q224" s="14">
        <v>45464</v>
      </c>
      <c r="R224" s="4" t="s">
        <v>102</v>
      </c>
      <c r="S224" s="10">
        <v>20546</v>
      </c>
      <c r="T224" s="4" t="e">
        <f>INDEX(Employee!#REF!,MATCH(U224,Employee!#REF!,0))</f>
        <v>#REF!</v>
      </c>
      <c r="U224" s="4" t="s">
        <v>252</v>
      </c>
      <c r="V224" s="4" t="e">
        <f>INDEX(Employee!#REF!,MATCH(U224,Employee!#REF!,0))</f>
        <v>#REF!</v>
      </c>
      <c r="W224" s="4" t="e">
        <f>INDEX(Employee!#REF!,MATCH(U224,Employee!#REF!,0))</f>
        <v>#REF!</v>
      </c>
      <c r="X224" s="4" t="e">
        <f>INDEX(Employee!#REF!,MATCH(U224,Employee!#REF!,0))</f>
        <v>#REF!</v>
      </c>
      <c r="AJ224" s="4" t="e">
        <f>INDEX(Employee!C:C,MATCH(AK224,Employee!B:B,0))</f>
        <v>#N/A</v>
      </c>
      <c r="AL224" s="4" t="e">
        <f>INDEX(Employee!D:D,MATCH(AK224,Employee!B:B,0))</f>
        <v>#N/A</v>
      </c>
      <c r="AM224" s="4" t="e">
        <f>INDEX(Employee!F:F,MATCH(AK224,Employee!B:B,0))</f>
        <v>#N/A</v>
      </c>
      <c r="AN224" s="4" t="e">
        <f>INDEX(Employee!H:H,MATCH(AK224,Employee!B:B,0))</f>
        <v>#N/A</v>
      </c>
      <c r="AS224" s="4" t="s">
        <v>250</v>
      </c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  <c r="BR224"/>
      <c r="BS224"/>
      <c r="BT224"/>
      <c r="BU224"/>
      <c r="BV224"/>
      <c r="BW224"/>
      <c r="BX224"/>
      <c r="BY224"/>
      <c r="BZ224"/>
      <c r="CA224"/>
      <c r="CB224"/>
      <c r="CC224"/>
      <c r="CD224"/>
      <c r="CE224"/>
      <c r="CF224"/>
      <c r="CG224"/>
      <c r="CH224" s="6"/>
      <c r="CI224"/>
      <c r="CJ224"/>
      <c r="CK224"/>
      <c r="CL224"/>
      <c r="CM224"/>
      <c r="CN224"/>
      <c r="CO224"/>
      <c r="CP224"/>
      <c r="CQ224"/>
      <c r="CR224"/>
      <c r="CS224"/>
      <c r="CT224"/>
      <c r="CU224"/>
      <c r="CV224"/>
      <c r="CW224"/>
      <c r="CX224" s="6"/>
    </row>
    <row r="225" spans="1:102" s="4" customFormat="1" hidden="1">
      <c r="A225" s="3">
        <f t="shared" si="12"/>
        <v>224</v>
      </c>
      <c r="B225" s="4" t="s">
        <v>18</v>
      </c>
      <c r="C225" s="4" t="s">
        <v>3</v>
      </c>
      <c r="D225" s="4">
        <f>INDEX(Employee!E:E,MATCH(AK225,Employee!B:B,0))</f>
        <v>0</v>
      </c>
      <c r="E225" s="4" t="str">
        <f>INDEX(Employee!F:F,MATCH(AK225,Employee!B:B,0))</f>
        <v>Data</v>
      </c>
      <c r="F225" s="4">
        <f>INDEX(Employee!G:G,MATCH(AK225,Employee!B:B,0))</f>
        <v>0</v>
      </c>
      <c r="G225" s="4" t="s">
        <v>119</v>
      </c>
      <c r="I225" s="4" t="s">
        <v>620</v>
      </c>
      <c r="J225" s="4" t="s">
        <v>111</v>
      </c>
      <c r="K225" s="4" t="s">
        <v>112</v>
      </c>
      <c r="N225" s="13" t="b">
        <v>0</v>
      </c>
      <c r="O225" s="13" t="b">
        <v>0</v>
      </c>
      <c r="Q225" s="14">
        <v>45464</v>
      </c>
      <c r="R225" s="4" t="s">
        <v>102</v>
      </c>
      <c r="S225" s="10">
        <v>20546</v>
      </c>
      <c r="T225" s="4" t="e">
        <f>INDEX(Employee!#REF!,MATCH(U225,Employee!#REF!,0))</f>
        <v>#REF!</v>
      </c>
      <c r="U225" s="4" t="s">
        <v>252</v>
      </c>
      <c r="V225" s="4" t="e">
        <f>INDEX(Employee!#REF!,MATCH(U225,Employee!#REF!,0))</f>
        <v>#REF!</v>
      </c>
      <c r="W225" s="4" t="e">
        <f>INDEX(Employee!#REF!,MATCH(U225,Employee!#REF!,0))</f>
        <v>#REF!</v>
      </c>
      <c r="X225" s="4" t="e">
        <f>INDEX(Employee!#REF!,MATCH(U225,Employee!#REF!,0))</f>
        <v>#REF!</v>
      </c>
      <c r="AJ225" s="4" t="str">
        <f>INDEX(Employee!C:C,MATCH(AK225,Employee!B:B,0))</f>
        <v>Nguyễn Huỳnh Thanh Phong</v>
      </c>
      <c r="AK225" s="4" t="s">
        <v>384</v>
      </c>
      <c r="AL225" s="4" t="str">
        <f>INDEX(Employee!D:D,MATCH(AK225,Employee!B:B,0))</f>
        <v>Senior Data Engineer</v>
      </c>
      <c r="AM225" s="4" t="str">
        <f>INDEX(Employee!F:F,MATCH(AK225,Employee!B:B,0))</f>
        <v>Data</v>
      </c>
      <c r="AN225" s="4" t="str">
        <f>INDEX(Employee!H:H,MATCH(AK225,Employee!B:B,0))</f>
        <v>Dương Huỳnh Nghĩa (nghiadh)</v>
      </c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  <c r="BR225"/>
      <c r="BS225"/>
      <c r="BT225"/>
      <c r="BU225"/>
      <c r="BV225"/>
      <c r="BW225"/>
      <c r="BX225"/>
      <c r="BY225"/>
      <c r="BZ225"/>
      <c r="CA225"/>
      <c r="CB225"/>
      <c r="CC225"/>
      <c r="CD225"/>
      <c r="CE225"/>
      <c r="CF225"/>
      <c r="CG225"/>
      <c r="CH225" s="6"/>
      <c r="CI225"/>
      <c r="CJ225"/>
      <c r="CK225"/>
      <c r="CL225"/>
      <c r="CM225"/>
      <c r="CN225"/>
      <c r="CO225"/>
      <c r="CP225"/>
      <c r="CQ225"/>
      <c r="CR225"/>
      <c r="CS225"/>
      <c r="CT225"/>
      <c r="CU225"/>
      <c r="CV225"/>
      <c r="CW225"/>
      <c r="CX225" s="6"/>
    </row>
    <row r="226" spans="1:102" s="4" customFormat="1" hidden="1">
      <c r="A226" s="3">
        <f t="shared" si="12"/>
        <v>225</v>
      </c>
      <c r="B226" s="4" t="s">
        <v>18</v>
      </c>
      <c r="C226" s="4" t="s">
        <v>5</v>
      </c>
      <c r="D226" s="4" t="str">
        <f>INDEX(Employee!E:E,MATCH(AK226,Employee!B:B,0))</f>
        <v>Project</v>
      </c>
      <c r="E226" s="4" t="str">
        <f>INDEX(Employee!F:F,MATCH(AK226,Employee!B:B,0))</f>
        <v>Tech</v>
      </c>
      <c r="F226" s="4" t="str">
        <f>INDEX(Employee!G:G,MATCH(AK226,Employee!B:B,0))</f>
        <v>Venture</v>
      </c>
      <c r="G226" s="4" t="s">
        <v>15</v>
      </c>
      <c r="I226" s="4" t="s">
        <v>621</v>
      </c>
      <c r="J226" s="4" t="s">
        <v>111</v>
      </c>
      <c r="K226" s="4" t="s">
        <v>112</v>
      </c>
      <c r="N226" s="13" t="b">
        <v>0</v>
      </c>
      <c r="O226" s="13" t="b">
        <v>0</v>
      </c>
      <c r="Q226" s="14">
        <v>45464</v>
      </c>
      <c r="R226" s="4" t="s">
        <v>102</v>
      </c>
      <c r="S226" s="10">
        <v>20546</v>
      </c>
      <c r="T226" s="4" t="e">
        <f>INDEX(Employee!#REF!,MATCH(U226,Employee!#REF!,0))</f>
        <v>#REF!</v>
      </c>
      <c r="U226" s="4" t="s">
        <v>252</v>
      </c>
      <c r="V226" s="4" t="e">
        <f>INDEX(Employee!#REF!,MATCH(U226,Employee!#REF!,0))</f>
        <v>#REF!</v>
      </c>
      <c r="W226" s="4" t="e">
        <f>INDEX(Employee!#REF!,MATCH(U226,Employee!#REF!,0))</f>
        <v>#REF!</v>
      </c>
      <c r="X226" s="4" t="e">
        <f>INDEX(Employee!#REF!,MATCH(U226,Employee!#REF!,0))</f>
        <v>#REF!</v>
      </c>
      <c r="AJ226" s="4" t="str">
        <f>INDEX(Employee!C:C,MATCH(AK226,Employee!B:B,0))</f>
        <v>Nguyễn Hoàng Tâm</v>
      </c>
      <c r="AK226" s="4" t="s">
        <v>523</v>
      </c>
      <c r="AL226" s="4" t="str">
        <f>INDEX(Employee!D:D,MATCH(AK226,Employee!B:B,0))</f>
        <v>Senior Software Engineer</v>
      </c>
      <c r="AM226" s="4" t="str">
        <f>INDEX(Employee!F:F,MATCH(AK226,Employee!B:B,0))</f>
        <v>Tech</v>
      </c>
      <c r="AN226" s="4" t="str">
        <f>INDEX(Employee!H:H,MATCH(AK226,Employee!B:B,0))</f>
        <v>Phùng Thanh Huy (huypt3)</v>
      </c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  <c r="BR226"/>
      <c r="BS226"/>
      <c r="BT226"/>
      <c r="BU226"/>
      <c r="BV226"/>
      <c r="BW226"/>
      <c r="BX226"/>
      <c r="BY226"/>
      <c r="BZ226"/>
      <c r="CA226"/>
      <c r="CB226"/>
      <c r="CC226"/>
      <c r="CD226"/>
      <c r="CE226"/>
      <c r="CF226"/>
      <c r="CG226"/>
      <c r="CH226" s="6"/>
      <c r="CI226"/>
      <c r="CJ226"/>
      <c r="CK226"/>
      <c r="CL226"/>
      <c r="CM226"/>
      <c r="CN226"/>
      <c r="CO226"/>
      <c r="CP226"/>
      <c r="CQ226"/>
      <c r="CR226"/>
      <c r="CS226"/>
      <c r="CT226"/>
      <c r="CU226"/>
      <c r="CV226"/>
      <c r="CW226"/>
      <c r="CX226" s="6"/>
    </row>
    <row r="227" spans="1:102" s="4" customFormat="1" hidden="1">
      <c r="A227" s="3">
        <f t="shared" si="12"/>
        <v>226</v>
      </c>
      <c r="B227" s="4" t="s">
        <v>18</v>
      </c>
      <c r="C227" s="4" t="s">
        <v>5</v>
      </c>
      <c r="D227" s="4">
        <f>INDEX(Employee!E:E,MATCH(AK227,Employee!B:B,0))</f>
        <v>0</v>
      </c>
      <c r="E227" s="4" t="str">
        <f>INDEX(Employee!F:F,MATCH(AK227,Employee!B:B,0))</f>
        <v>OP</v>
      </c>
      <c r="F227" s="4">
        <f>INDEX(Employee!G:G,MATCH(AK227,Employee!B:B,0))</f>
        <v>0</v>
      </c>
      <c r="G227" s="4" t="s">
        <v>15</v>
      </c>
      <c r="I227" s="4" t="s">
        <v>622</v>
      </c>
      <c r="J227" s="4" t="s">
        <v>111</v>
      </c>
      <c r="K227" s="4" t="s">
        <v>112</v>
      </c>
      <c r="N227" s="13" t="b">
        <v>0</v>
      </c>
      <c r="O227" s="13" t="b">
        <v>0</v>
      </c>
      <c r="Q227" s="14">
        <v>45464</v>
      </c>
      <c r="R227" s="4" t="s">
        <v>102</v>
      </c>
      <c r="S227" s="10">
        <v>20546</v>
      </c>
      <c r="T227" s="4" t="e">
        <f>INDEX(Employee!#REF!,MATCH(U227,Employee!#REF!,0))</f>
        <v>#REF!</v>
      </c>
      <c r="U227" s="4" t="s">
        <v>252</v>
      </c>
      <c r="V227" s="4" t="e">
        <f>INDEX(Employee!#REF!,MATCH(U227,Employee!#REF!,0))</f>
        <v>#REF!</v>
      </c>
      <c r="W227" s="4" t="e">
        <f>INDEX(Employee!#REF!,MATCH(U227,Employee!#REF!,0))</f>
        <v>#REF!</v>
      </c>
      <c r="X227" s="4" t="e">
        <f>INDEX(Employee!#REF!,MATCH(U227,Employee!#REF!,0))</f>
        <v>#REF!</v>
      </c>
      <c r="AJ227" s="4" t="str">
        <f>INDEX(Employee!C:C,MATCH(AK227,Employee!B:B,0))</f>
        <v>Lê Quang Hiếu</v>
      </c>
      <c r="AK227" s="4" t="s">
        <v>623</v>
      </c>
      <c r="AL227" s="4" t="str">
        <f>INDEX(Employee!D:D,MATCH(AK227,Employee!B:B,0))</f>
        <v>Site Reliability Engineer</v>
      </c>
      <c r="AM227" s="4" t="str">
        <f>INDEX(Employee!F:F,MATCH(AK227,Employee!B:B,0))</f>
        <v>OP</v>
      </c>
      <c r="AN227" s="4" t="str">
        <f>INDEX(Employee!H:H,MATCH(AK227,Employee!B:B,0))</f>
        <v>Nguyễn Hữu Hỷ (hynh)</v>
      </c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  <c r="BR227"/>
      <c r="BS227"/>
      <c r="BT227"/>
      <c r="BU227"/>
      <c r="BV227"/>
      <c r="BW227"/>
      <c r="BX227"/>
      <c r="BY227"/>
      <c r="BZ227"/>
      <c r="CA227"/>
      <c r="CB227"/>
      <c r="CC227"/>
      <c r="CD227"/>
      <c r="CE227"/>
      <c r="CF227"/>
      <c r="CG227"/>
      <c r="CH227" s="6"/>
      <c r="CI227"/>
      <c r="CJ227"/>
      <c r="CK227"/>
      <c r="CL227"/>
      <c r="CM227"/>
      <c r="CN227"/>
      <c r="CO227"/>
      <c r="CP227"/>
      <c r="CQ227"/>
      <c r="CR227"/>
      <c r="CS227"/>
      <c r="CT227"/>
      <c r="CU227"/>
      <c r="CV227"/>
      <c r="CW227"/>
      <c r="CX227" s="6"/>
    </row>
    <row r="228" spans="1:102" s="4" customFormat="1" hidden="1">
      <c r="A228" s="3">
        <f t="shared" si="12"/>
        <v>227</v>
      </c>
      <c r="B228" s="4" t="s">
        <v>18</v>
      </c>
      <c r="C228" s="4" t="s">
        <v>5</v>
      </c>
      <c r="D228" s="4">
        <f>INDEX(Employee!E:E,MATCH(AK228,Employee!B:B,0))</f>
        <v>0</v>
      </c>
      <c r="E228" s="4" t="str">
        <f>INDEX(Employee!F:F,MATCH(AK228,Employee!B:B,0))</f>
        <v>Tech</v>
      </c>
      <c r="F228" s="4">
        <f>INDEX(Employee!G:G,MATCH(AK228,Employee!B:B,0))</f>
        <v>0</v>
      </c>
      <c r="G228" s="4" t="s">
        <v>15</v>
      </c>
      <c r="I228" s="4" t="s">
        <v>624</v>
      </c>
      <c r="J228" s="4" t="s">
        <v>111</v>
      </c>
      <c r="K228" s="4" t="s">
        <v>112</v>
      </c>
      <c r="N228" s="13" t="b">
        <v>0</v>
      </c>
      <c r="O228" s="13" t="b">
        <v>0</v>
      </c>
      <c r="P228" s="4" t="s">
        <v>625</v>
      </c>
      <c r="Q228" s="14">
        <v>45464</v>
      </c>
      <c r="R228" s="4" t="s">
        <v>102</v>
      </c>
      <c r="S228" s="10">
        <v>20546</v>
      </c>
      <c r="T228" s="4" t="e">
        <f>INDEX(Employee!#REF!,MATCH(U228,Employee!#REF!,0))</f>
        <v>#REF!</v>
      </c>
      <c r="U228" s="4" t="s">
        <v>252</v>
      </c>
      <c r="V228" s="4" t="e">
        <f>INDEX(Employee!#REF!,MATCH(U228,Employee!#REF!,0))</f>
        <v>#REF!</v>
      </c>
      <c r="W228" s="4" t="e">
        <f>INDEX(Employee!#REF!,MATCH(U228,Employee!#REF!,0))</f>
        <v>#REF!</v>
      </c>
      <c r="X228" s="4" t="e">
        <f>INDEX(Employee!#REF!,MATCH(U228,Employee!#REF!,0))</f>
        <v>#REF!</v>
      </c>
      <c r="AJ228" s="4" t="str">
        <f>INDEX(Employee!C:C,MATCH(AK228,Employee!B:B,0))</f>
        <v>Vũ Đức Thuận</v>
      </c>
      <c r="AK228" s="4" t="s">
        <v>352</v>
      </c>
      <c r="AL228" s="4" t="str">
        <f>INDEX(Employee!D:D,MATCH(AK228,Employee!B:B,0))</f>
        <v>Senior Technical Support Engineer</v>
      </c>
      <c r="AM228" s="4" t="str">
        <f>INDEX(Employee!F:F,MATCH(AK228,Employee!B:B,0))</f>
        <v>Tech</v>
      </c>
      <c r="AN228" s="4" t="str">
        <f>INDEX(Employee!H:H,MATCH(AK228,Employee!B:B,0))</f>
        <v>Chu Văn Toàn (ToanCV)</v>
      </c>
      <c r="AS228" s="4" t="s">
        <v>352</v>
      </c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  <c r="BR228"/>
      <c r="BS228"/>
      <c r="BT228"/>
      <c r="BU228"/>
      <c r="BV228"/>
      <c r="BW228"/>
      <c r="BX228"/>
      <c r="BY228"/>
      <c r="BZ228"/>
      <c r="CA228"/>
      <c r="CB228"/>
      <c r="CC228"/>
      <c r="CD228"/>
      <c r="CE228"/>
      <c r="CF228"/>
      <c r="CG228"/>
      <c r="CH228" s="6"/>
      <c r="CI228"/>
      <c r="CJ228"/>
      <c r="CK228"/>
      <c r="CL228"/>
      <c r="CM228"/>
      <c r="CN228"/>
      <c r="CO228"/>
      <c r="CP228"/>
      <c r="CQ228"/>
      <c r="CR228"/>
      <c r="CS228"/>
      <c r="CT228"/>
      <c r="CU228"/>
      <c r="CV228"/>
      <c r="CW228"/>
      <c r="CX228" s="6"/>
    </row>
    <row r="229" spans="1:102" s="4" customFormat="1" hidden="1">
      <c r="A229" s="3">
        <f t="shared" si="12"/>
        <v>228</v>
      </c>
      <c r="B229" s="4" t="s">
        <v>18</v>
      </c>
      <c r="C229" s="4" t="s">
        <v>5</v>
      </c>
      <c r="D229" s="4">
        <f>INDEX(Employee!E:E,MATCH(AK229,Employee!B:B,0))</f>
        <v>0</v>
      </c>
      <c r="E229" s="4" t="str">
        <f>INDEX(Employee!F:F,MATCH(AK229,Employee!B:B,0))</f>
        <v>Tech</v>
      </c>
      <c r="F229" s="4">
        <f>INDEX(Employee!G:G,MATCH(AK229,Employee!B:B,0))</f>
        <v>0</v>
      </c>
      <c r="G229" s="4" t="s">
        <v>15</v>
      </c>
      <c r="I229" s="4" t="s">
        <v>626</v>
      </c>
      <c r="J229" s="4" t="s">
        <v>111</v>
      </c>
      <c r="K229" s="4" t="s">
        <v>112</v>
      </c>
      <c r="N229" s="13" t="b">
        <v>0</v>
      </c>
      <c r="O229" s="13" t="b">
        <v>0</v>
      </c>
      <c r="Q229" s="14">
        <v>45464</v>
      </c>
      <c r="R229" s="4" t="s">
        <v>102</v>
      </c>
      <c r="S229" s="10">
        <v>20546</v>
      </c>
      <c r="T229" s="4" t="e">
        <f>INDEX(Employee!#REF!,MATCH(U229,Employee!#REF!,0))</f>
        <v>#REF!</v>
      </c>
      <c r="U229" s="4" t="s">
        <v>252</v>
      </c>
      <c r="V229" s="4" t="e">
        <f>INDEX(Employee!#REF!,MATCH(U229,Employee!#REF!,0))</f>
        <v>#REF!</v>
      </c>
      <c r="W229" s="4" t="e">
        <f>INDEX(Employee!#REF!,MATCH(U229,Employee!#REF!,0))</f>
        <v>#REF!</v>
      </c>
      <c r="X229" s="4" t="e">
        <f>INDEX(Employee!#REF!,MATCH(U229,Employee!#REF!,0))</f>
        <v>#REF!</v>
      </c>
      <c r="AJ229" s="4" t="str">
        <f>INDEX(Employee!C:C,MATCH(AK229,Employee!B:B,0))</f>
        <v>Trịnh Khánh Hòa</v>
      </c>
      <c r="AK229" s="4" t="s">
        <v>627</v>
      </c>
      <c r="AL229" s="4" t="str">
        <f>INDEX(Employee!D:D,MATCH(AK229,Employee!B:B,0))</f>
        <v>Technical Support Engineer</v>
      </c>
      <c r="AM229" s="4" t="str">
        <f>INDEX(Employee!F:F,MATCH(AK229,Employee!B:B,0))</f>
        <v>Tech</v>
      </c>
      <c r="AN229" s="4" t="str">
        <f>INDEX(Employee!H:H,MATCH(AK229,Employee!B:B,0))</f>
        <v>Chu Văn Toàn (ToanCV)</v>
      </c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  <c r="BR229"/>
      <c r="BS229"/>
      <c r="BT229"/>
      <c r="BU229"/>
      <c r="BV229"/>
      <c r="BW229"/>
      <c r="BX229"/>
      <c r="BY229"/>
      <c r="BZ229"/>
      <c r="CA229"/>
      <c r="CB229"/>
      <c r="CC229"/>
      <c r="CD229"/>
      <c r="CE229"/>
      <c r="CF229"/>
      <c r="CG229"/>
      <c r="CH229" s="6"/>
      <c r="CI229"/>
      <c r="CJ229"/>
      <c r="CK229"/>
      <c r="CL229"/>
      <c r="CM229"/>
      <c r="CN229"/>
      <c r="CO229"/>
      <c r="CP229"/>
      <c r="CQ229"/>
      <c r="CR229"/>
      <c r="CS229"/>
      <c r="CT229"/>
      <c r="CU229"/>
      <c r="CV229"/>
      <c r="CW229"/>
      <c r="CX229" s="6"/>
    </row>
    <row r="230" spans="1:102" s="4" customFormat="1" hidden="1">
      <c r="A230" s="3">
        <f t="shared" si="12"/>
        <v>229</v>
      </c>
      <c r="B230" s="4" t="s">
        <v>18</v>
      </c>
      <c r="C230" s="4" t="s">
        <v>5</v>
      </c>
      <c r="D230" s="4">
        <f>INDEX(Employee!E:E,MATCH(AK230,Employee!B:B,0))</f>
        <v>0</v>
      </c>
      <c r="E230" s="4" t="str">
        <f>INDEX(Employee!F:F,MATCH(AK230,Employee!B:B,0))</f>
        <v>Tech</v>
      </c>
      <c r="F230" s="4">
        <f>INDEX(Employee!G:G,MATCH(AK230,Employee!B:B,0))</f>
        <v>0</v>
      </c>
      <c r="G230" s="4" t="s">
        <v>15</v>
      </c>
      <c r="H230" s="4" t="s">
        <v>628</v>
      </c>
      <c r="I230" s="4" t="s">
        <v>629</v>
      </c>
      <c r="J230" s="4" t="s">
        <v>111</v>
      </c>
      <c r="K230" s="4" t="s">
        <v>112</v>
      </c>
      <c r="N230" s="13" t="b">
        <v>0</v>
      </c>
      <c r="O230" s="13" t="b">
        <v>0</v>
      </c>
      <c r="P230" s="4" t="s">
        <v>630</v>
      </c>
      <c r="Q230" s="14">
        <v>45464</v>
      </c>
      <c r="R230" s="4" t="s">
        <v>102</v>
      </c>
      <c r="S230" s="10">
        <v>20546</v>
      </c>
      <c r="T230" s="4" t="e">
        <f>INDEX(Employee!#REF!,MATCH(U230,Employee!#REF!,0))</f>
        <v>#REF!</v>
      </c>
      <c r="U230" s="4" t="s">
        <v>252</v>
      </c>
      <c r="V230" s="4" t="e">
        <f>INDEX(Employee!#REF!,MATCH(U230,Employee!#REF!,0))</f>
        <v>#REF!</v>
      </c>
      <c r="W230" s="4" t="e">
        <f>INDEX(Employee!#REF!,MATCH(U230,Employee!#REF!,0))</f>
        <v>#REF!</v>
      </c>
      <c r="X230" s="4" t="e">
        <f>INDEX(Employee!#REF!,MATCH(U230,Employee!#REF!,0))</f>
        <v>#REF!</v>
      </c>
      <c r="AJ230" s="4" t="str">
        <f>INDEX(Employee!C:C,MATCH(AK230,Employee!B:B,0))</f>
        <v>Tăng Huy</v>
      </c>
      <c r="AK230" s="4" t="s">
        <v>631</v>
      </c>
      <c r="AL230" s="4" t="str">
        <f>INDEX(Employee!D:D,MATCH(AK230,Employee!B:B,0))</f>
        <v>Senior Technical Project Manager</v>
      </c>
      <c r="AM230" s="4" t="str">
        <f>INDEX(Employee!F:F,MATCH(AK230,Employee!B:B,0))</f>
        <v>Tech</v>
      </c>
      <c r="AN230" s="4" t="str">
        <f>INDEX(Employee!H:H,MATCH(AK230,Employee!B:B,0))</f>
        <v>Aleksandar Jelic (jelica)</v>
      </c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  <c r="BR230"/>
      <c r="BS230"/>
      <c r="BT230"/>
      <c r="BU230"/>
      <c r="BV230"/>
      <c r="BW230"/>
      <c r="BX230"/>
      <c r="BY230"/>
      <c r="BZ230"/>
      <c r="CA230"/>
      <c r="CB230"/>
      <c r="CC230"/>
      <c r="CD230"/>
      <c r="CE230"/>
      <c r="CF230"/>
      <c r="CG230"/>
      <c r="CH230" s="6"/>
      <c r="CI230"/>
      <c r="CJ230"/>
      <c r="CK230"/>
      <c r="CL230"/>
      <c r="CM230"/>
      <c r="CN230"/>
      <c r="CO230"/>
      <c r="CP230"/>
      <c r="CQ230"/>
      <c r="CR230"/>
      <c r="CS230"/>
      <c r="CT230"/>
      <c r="CU230"/>
      <c r="CV230"/>
      <c r="CW230"/>
      <c r="CX230" s="6"/>
    </row>
    <row r="231" spans="1:102" s="4" customFormat="1" hidden="1">
      <c r="A231" s="3">
        <f t="shared" si="12"/>
        <v>230</v>
      </c>
      <c r="B231" s="4" t="s">
        <v>18</v>
      </c>
      <c r="C231" s="4" t="s">
        <v>4</v>
      </c>
      <c r="D231" s="4" t="e">
        <f>INDEX(Employee!E:E,MATCH(AK231,Employee!B:B,0))</f>
        <v>#N/A</v>
      </c>
      <c r="E231" s="4" t="e">
        <f>INDEX(Employee!F:F,MATCH(AK231,Employee!B:B,0))</f>
        <v>#N/A</v>
      </c>
      <c r="F231" s="4" t="e">
        <f>INDEX(Employee!G:G,MATCH(AK231,Employee!B:B,0))</f>
        <v>#N/A</v>
      </c>
      <c r="G231" s="4" t="s">
        <v>15</v>
      </c>
      <c r="I231" s="4" t="s">
        <v>632</v>
      </c>
      <c r="J231" s="4" t="s">
        <v>111</v>
      </c>
      <c r="K231" s="4" t="s">
        <v>112</v>
      </c>
      <c r="N231" s="13" t="b">
        <v>0</v>
      </c>
      <c r="O231" s="13" t="b">
        <v>0</v>
      </c>
      <c r="P231" s="4" t="s">
        <v>633</v>
      </c>
      <c r="Q231" s="14">
        <v>45464</v>
      </c>
      <c r="R231" s="4" t="s">
        <v>102</v>
      </c>
      <c r="S231" s="10">
        <v>20546</v>
      </c>
      <c r="T231" s="4" t="e">
        <f>INDEX(Employee!#REF!,MATCH(U231,Employee!#REF!,0))</f>
        <v>#REF!</v>
      </c>
      <c r="U231" s="4" t="s">
        <v>252</v>
      </c>
      <c r="V231" s="4" t="e">
        <f>INDEX(Employee!#REF!,MATCH(U231,Employee!#REF!,0))</f>
        <v>#REF!</v>
      </c>
      <c r="W231" s="4" t="e">
        <f>INDEX(Employee!#REF!,MATCH(U231,Employee!#REF!,0))</f>
        <v>#REF!</v>
      </c>
      <c r="X231" s="4" t="e">
        <f>INDEX(Employee!#REF!,MATCH(U231,Employee!#REF!,0))</f>
        <v>#REF!</v>
      </c>
      <c r="AJ231" s="4" t="e">
        <f>INDEX(Employee!C:C,MATCH(AK231,Employee!B:B,0))</f>
        <v>#N/A</v>
      </c>
      <c r="AL231" s="4" t="e">
        <f>INDEX(Employee!D:D,MATCH(AK231,Employee!B:B,0))</f>
        <v>#N/A</v>
      </c>
      <c r="AM231" s="4" t="e">
        <f>INDEX(Employee!F:F,MATCH(AK231,Employee!B:B,0))</f>
        <v>#N/A</v>
      </c>
      <c r="AN231" s="4" t="e">
        <f>INDEX(Employee!H:H,MATCH(AK231,Employee!B:B,0))</f>
        <v>#N/A</v>
      </c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  <c r="BR231"/>
      <c r="BS231"/>
      <c r="BT231"/>
      <c r="BU231"/>
      <c r="BV231"/>
      <c r="BW231"/>
      <c r="BX231"/>
      <c r="BY231"/>
      <c r="BZ231"/>
      <c r="CA231"/>
      <c r="CB231"/>
      <c r="CC231"/>
      <c r="CD231"/>
      <c r="CE231"/>
      <c r="CF231"/>
      <c r="CG231"/>
      <c r="CH231" s="6"/>
      <c r="CI231"/>
      <c r="CJ231"/>
      <c r="CK231"/>
      <c r="CL231"/>
      <c r="CM231"/>
      <c r="CN231"/>
      <c r="CO231"/>
      <c r="CP231"/>
      <c r="CQ231"/>
      <c r="CR231"/>
      <c r="CS231"/>
      <c r="CT231"/>
      <c r="CU231"/>
      <c r="CV231"/>
      <c r="CW231"/>
      <c r="CX231" s="6"/>
    </row>
    <row r="232" spans="1:102" s="4" customFormat="1" hidden="1">
      <c r="A232" s="3">
        <f t="shared" si="12"/>
        <v>231</v>
      </c>
      <c r="B232" s="4" t="s">
        <v>18</v>
      </c>
      <c r="C232" s="4" t="s">
        <v>5</v>
      </c>
      <c r="D232" s="4">
        <f>INDEX(Employee!E:E,MATCH(AK232,Employee!B:B,0))</f>
        <v>0</v>
      </c>
      <c r="E232" s="4" t="str">
        <f>INDEX(Employee!F:F,MATCH(AK232,Employee!B:B,0))</f>
        <v>OP</v>
      </c>
      <c r="F232" s="4">
        <f>INDEX(Employee!G:G,MATCH(AK232,Employee!B:B,0))</f>
        <v>0</v>
      </c>
      <c r="G232" s="4" t="s">
        <v>15</v>
      </c>
      <c r="I232" s="4" t="s">
        <v>634</v>
      </c>
      <c r="J232" s="4" t="s">
        <v>111</v>
      </c>
      <c r="K232" s="4" t="s">
        <v>112</v>
      </c>
      <c r="N232" s="13" t="b">
        <v>0</v>
      </c>
      <c r="O232" s="13" t="b">
        <v>0</v>
      </c>
      <c r="Q232" s="14">
        <v>45464</v>
      </c>
      <c r="R232" s="4" t="s">
        <v>102</v>
      </c>
      <c r="S232" s="10">
        <v>20546</v>
      </c>
      <c r="T232" s="4" t="e">
        <f>INDEX(Employee!#REF!,MATCH(U232,Employee!#REF!,0))</f>
        <v>#REF!</v>
      </c>
      <c r="U232" s="4" t="s">
        <v>252</v>
      </c>
      <c r="V232" s="4" t="e">
        <f>INDEX(Employee!#REF!,MATCH(U232,Employee!#REF!,0))</f>
        <v>#REF!</v>
      </c>
      <c r="W232" s="4" t="e">
        <f>INDEX(Employee!#REF!,MATCH(U232,Employee!#REF!,0))</f>
        <v>#REF!</v>
      </c>
      <c r="X232" s="4" t="e">
        <f>INDEX(Employee!#REF!,MATCH(U232,Employee!#REF!,0))</f>
        <v>#REF!</v>
      </c>
      <c r="AJ232" s="4" t="str">
        <f>INDEX(Employee!C:C,MATCH(AK232,Employee!B:B,0))</f>
        <v>Chu Văn Toàn</v>
      </c>
      <c r="AK232" s="4" t="s">
        <v>635</v>
      </c>
      <c r="AL232" s="4" t="str">
        <f>INDEX(Employee!D:D,MATCH(AK232,Employee!B:B,0))</f>
        <v>Change And Release Manager</v>
      </c>
      <c r="AM232" s="4" t="str">
        <f>INDEX(Employee!F:F,MATCH(AK232,Employee!B:B,0))</f>
        <v>OP</v>
      </c>
      <c r="AN232" s="4" t="str">
        <f>INDEX(Employee!H:H,MATCH(AK232,Employee!B:B,0))</f>
        <v>Dương Huỳnh Nghĩa (nghiadh)</v>
      </c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  <c r="BR232"/>
      <c r="BS232"/>
      <c r="BT232"/>
      <c r="BU232"/>
      <c r="BV232"/>
      <c r="BW232"/>
      <c r="BX232"/>
      <c r="BY232"/>
      <c r="BZ232"/>
      <c r="CA232"/>
      <c r="CB232"/>
      <c r="CC232"/>
      <c r="CD232"/>
      <c r="CE232"/>
      <c r="CF232"/>
      <c r="CG232"/>
      <c r="CH232" s="6"/>
      <c r="CI232"/>
      <c r="CJ232"/>
      <c r="CK232"/>
      <c r="CL232"/>
      <c r="CM232"/>
      <c r="CN232"/>
      <c r="CO232"/>
      <c r="CP232"/>
      <c r="CQ232"/>
      <c r="CR232"/>
      <c r="CS232"/>
      <c r="CT232"/>
      <c r="CU232"/>
      <c r="CV232"/>
      <c r="CW232"/>
      <c r="CX232" s="6"/>
    </row>
    <row r="233" spans="1:102" s="4" customFormat="1" hidden="1">
      <c r="A233" s="3">
        <f t="shared" si="12"/>
        <v>232</v>
      </c>
      <c r="B233" s="4" t="s">
        <v>18</v>
      </c>
      <c r="C233" s="4" t="s">
        <v>5</v>
      </c>
      <c r="D233" s="4" t="e">
        <f>INDEX(Employee!E:E,MATCH(AK233,Employee!B:B,0))</f>
        <v>#N/A</v>
      </c>
      <c r="E233" s="4" t="e">
        <f>INDEX(Employee!F:F,MATCH(AK233,Employee!B:B,0))</f>
        <v>#N/A</v>
      </c>
      <c r="F233" s="4" t="e">
        <f>INDEX(Employee!G:G,MATCH(AK233,Employee!B:B,0))</f>
        <v>#N/A</v>
      </c>
      <c r="G233" s="4" t="s">
        <v>15</v>
      </c>
      <c r="I233" s="4" t="s">
        <v>636</v>
      </c>
      <c r="J233" s="4" t="s">
        <v>111</v>
      </c>
      <c r="K233" s="4" t="s">
        <v>112</v>
      </c>
      <c r="N233" s="13" t="b">
        <v>0</v>
      </c>
      <c r="O233" s="13" t="b">
        <v>0</v>
      </c>
      <c r="P233" s="4" t="s">
        <v>637</v>
      </c>
      <c r="Q233" s="14">
        <v>45464</v>
      </c>
      <c r="R233" s="4" t="s">
        <v>102</v>
      </c>
      <c r="S233" s="10">
        <v>20546</v>
      </c>
      <c r="T233" s="4" t="e">
        <f>INDEX(Employee!#REF!,MATCH(U233,Employee!#REF!,0))</f>
        <v>#REF!</v>
      </c>
      <c r="U233" s="4" t="s">
        <v>252</v>
      </c>
      <c r="V233" s="4" t="e">
        <f>INDEX(Employee!#REF!,MATCH(U233,Employee!#REF!,0))</f>
        <v>#REF!</v>
      </c>
      <c r="W233" s="4" t="e">
        <f>INDEX(Employee!#REF!,MATCH(U233,Employee!#REF!,0))</f>
        <v>#REF!</v>
      </c>
      <c r="X233" s="4" t="e">
        <f>INDEX(Employee!#REF!,MATCH(U233,Employee!#REF!,0))</f>
        <v>#REF!</v>
      </c>
      <c r="AJ233" s="4" t="e">
        <f>INDEX(Employee!C:C,MATCH(AK233,Employee!B:B,0))</f>
        <v>#N/A</v>
      </c>
      <c r="AL233" s="4" t="e">
        <f>INDEX(Employee!D:D,MATCH(AK233,Employee!B:B,0))</f>
        <v>#N/A</v>
      </c>
      <c r="AM233" s="4" t="e">
        <f>INDEX(Employee!F:F,MATCH(AK233,Employee!B:B,0))</f>
        <v>#N/A</v>
      </c>
      <c r="AN233" s="4" t="e">
        <f>INDEX(Employee!H:H,MATCH(AK233,Employee!B:B,0))</f>
        <v>#N/A</v>
      </c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  <c r="BR233"/>
      <c r="BS233"/>
      <c r="BT233"/>
      <c r="BU233"/>
      <c r="BV233"/>
      <c r="BW233"/>
      <c r="BX233"/>
      <c r="BY233"/>
      <c r="BZ233"/>
      <c r="CA233"/>
      <c r="CB233"/>
      <c r="CC233"/>
      <c r="CD233"/>
      <c r="CE233"/>
      <c r="CF233"/>
      <c r="CG233"/>
      <c r="CH233" s="6"/>
      <c r="CI233"/>
      <c r="CJ233"/>
      <c r="CK233"/>
      <c r="CL233"/>
      <c r="CM233"/>
      <c r="CN233"/>
      <c r="CO233"/>
      <c r="CP233"/>
      <c r="CQ233"/>
      <c r="CR233"/>
      <c r="CS233"/>
      <c r="CT233"/>
      <c r="CU233"/>
      <c r="CV233"/>
      <c r="CW233"/>
      <c r="CX233" s="6"/>
    </row>
    <row r="234" spans="1:102" s="4" customFormat="1" hidden="1">
      <c r="A234" s="3">
        <f t="shared" si="12"/>
        <v>233</v>
      </c>
      <c r="B234" s="4" t="s">
        <v>18</v>
      </c>
      <c r="C234" s="4" t="s">
        <v>5</v>
      </c>
      <c r="D234" s="4">
        <f>INDEX(Employee!E:E,MATCH(AK234,Employee!B:B,0))</f>
        <v>0</v>
      </c>
      <c r="E234" s="4" t="str">
        <f>INDEX(Employee!F:F,MATCH(AK234,Employee!B:B,0))</f>
        <v>Tech</v>
      </c>
      <c r="F234" s="4">
        <f>INDEX(Employee!G:G,MATCH(AK234,Employee!B:B,0))</f>
        <v>0</v>
      </c>
      <c r="G234" s="4" t="s">
        <v>15</v>
      </c>
      <c r="I234" s="4" t="s">
        <v>638</v>
      </c>
      <c r="J234" s="4" t="s">
        <v>111</v>
      </c>
      <c r="K234" s="4" t="s">
        <v>112</v>
      </c>
      <c r="N234" s="13" t="b">
        <v>0</v>
      </c>
      <c r="O234" s="13" t="b">
        <v>0</v>
      </c>
      <c r="P234" s="4" t="s">
        <v>639</v>
      </c>
      <c r="Q234" s="14">
        <v>45464</v>
      </c>
      <c r="R234" s="4" t="s">
        <v>102</v>
      </c>
      <c r="S234" s="10">
        <v>20546</v>
      </c>
      <c r="T234" s="4" t="e">
        <f>INDEX(Employee!#REF!,MATCH(U234,Employee!#REF!,0))</f>
        <v>#REF!</v>
      </c>
      <c r="U234" s="4" t="s">
        <v>252</v>
      </c>
      <c r="V234" s="4" t="e">
        <f>INDEX(Employee!#REF!,MATCH(U234,Employee!#REF!,0))</f>
        <v>#REF!</v>
      </c>
      <c r="W234" s="4" t="e">
        <f>INDEX(Employee!#REF!,MATCH(U234,Employee!#REF!,0))</f>
        <v>#REF!</v>
      </c>
      <c r="X234" s="4" t="e">
        <f>INDEX(Employee!#REF!,MATCH(U234,Employee!#REF!,0))</f>
        <v>#REF!</v>
      </c>
      <c r="AJ234" s="4" t="str">
        <f>INDEX(Employee!C:C,MATCH(AK234,Employee!B:B,0))</f>
        <v>Nguyễn Quốc Huy</v>
      </c>
      <c r="AK234" s="4" t="s">
        <v>640</v>
      </c>
      <c r="AL234" s="4" t="str">
        <f>INDEX(Employee!D:D,MATCH(AK234,Employee!B:B,0))</f>
        <v>Associate Technical Support Engineer</v>
      </c>
      <c r="AM234" s="4" t="str">
        <f>INDEX(Employee!F:F,MATCH(AK234,Employee!B:B,0))</f>
        <v>Tech</v>
      </c>
      <c r="AN234" s="4" t="str">
        <f>INDEX(Employee!H:H,MATCH(AK234,Employee!B:B,0))</f>
        <v>Nguyễn Tấn Anh Khoa (khoanta)</v>
      </c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  <c r="BR234"/>
      <c r="BS234"/>
      <c r="BT234"/>
      <c r="BU234"/>
      <c r="BV234"/>
      <c r="BW234"/>
      <c r="BX234"/>
      <c r="BY234"/>
      <c r="BZ234"/>
      <c r="CA234"/>
      <c r="CB234"/>
      <c r="CC234"/>
      <c r="CD234"/>
      <c r="CE234"/>
      <c r="CF234"/>
      <c r="CG234"/>
      <c r="CH234" s="6"/>
      <c r="CI234"/>
      <c r="CJ234"/>
      <c r="CK234"/>
      <c r="CL234"/>
      <c r="CM234"/>
      <c r="CN234"/>
      <c r="CO234"/>
      <c r="CP234"/>
      <c r="CQ234"/>
      <c r="CR234"/>
      <c r="CS234"/>
      <c r="CT234"/>
      <c r="CU234"/>
      <c r="CV234"/>
      <c r="CW234"/>
      <c r="CX234" s="6"/>
    </row>
    <row r="235" spans="1:102" s="4" customFormat="1" hidden="1">
      <c r="A235" s="3">
        <f t="shared" si="12"/>
        <v>234</v>
      </c>
      <c r="B235" s="4" t="s">
        <v>18</v>
      </c>
      <c r="C235" s="4" t="s">
        <v>4</v>
      </c>
      <c r="D235" s="4" t="e">
        <f>INDEX(Employee!E:E,MATCH(AK235,Employee!B:B,0))</f>
        <v>#N/A</v>
      </c>
      <c r="E235" s="4" t="e">
        <f>INDEX(Employee!F:F,MATCH(AK235,Employee!B:B,0))</f>
        <v>#N/A</v>
      </c>
      <c r="F235" s="4" t="e">
        <f>INDEX(Employee!G:G,MATCH(AK235,Employee!B:B,0))</f>
        <v>#N/A</v>
      </c>
      <c r="G235" s="4" t="s">
        <v>15</v>
      </c>
      <c r="I235" s="4" t="s">
        <v>641</v>
      </c>
      <c r="J235" s="4" t="s">
        <v>111</v>
      </c>
      <c r="K235" s="4" t="s">
        <v>642</v>
      </c>
      <c r="N235" s="13" t="b">
        <v>0</v>
      </c>
      <c r="O235" s="13" t="b">
        <v>0</v>
      </c>
      <c r="Q235" s="14">
        <v>45464</v>
      </c>
      <c r="R235" s="4" t="s">
        <v>102</v>
      </c>
      <c r="S235" s="10">
        <v>20546</v>
      </c>
      <c r="T235" s="4" t="e">
        <f>INDEX(Employee!#REF!,MATCH(U235,Employee!#REF!,0))</f>
        <v>#REF!</v>
      </c>
      <c r="U235" s="4" t="s">
        <v>252</v>
      </c>
      <c r="V235" s="4" t="e">
        <f>INDEX(Employee!#REF!,MATCH(U235,Employee!#REF!,0))</f>
        <v>#REF!</v>
      </c>
      <c r="W235" s="4" t="e">
        <f>INDEX(Employee!#REF!,MATCH(U235,Employee!#REF!,0))</f>
        <v>#REF!</v>
      </c>
      <c r="X235" s="4" t="e">
        <f>INDEX(Employee!#REF!,MATCH(U235,Employee!#REF!,0))</f>
        <v>#REF!</v>
      </c>
      <c r="AJ235" s="4" t="e">
        <f>INDEX(Employee!C:C,MATCH(AK235,Employee!B:B,0))</f>
        <v>#N/A</v>
      </c>
      <c r="AL235" s="4" t="e">
        <f>INDEX(Employee!D:D,MATCH(AK235,Employee!B:B,0))</f>
        <v>#N/A</v>
      </c>
      <c r="AM235" s="4" t="e">
        <f>INDEX(Employee!F:F,MATCH(AK235,Employee!B:B,0))</f>
        <v>#N/A</v>
      </c>
      <c r="AN235" s="4" t="e">
        <f>INDEX(Employee!H:H,MATCH(AK235,Employee!B:B,0))</f>
        <v>#N/A</v>
      </c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  <c r="BR235"/>
      <c r="BS235"/>
      <c r="BT235"/>
      <c r="BU235"/>
      <c r="BV235"/>
      <c r="BW235"/>
      <c r="BX235"/>
      <c r="BY235"/>
      <c r="BZ235"/>
      <c r="CA235"/>
      <c r="CB235"/>
      <c r="CC235"/>
      <c r="CD235"/>
      <c r="CE235"/>
      <c r="CF235"/>
      <c r="CG235"/>
      <c r="CH235" s="6"/>
      <c r="CI235"/>
      <c r="CJ235"/>
      <c r="CK235"/>
      <c r="CL235"/>
      <c r="CM235"/>
      <c r="CN235"/>
      <c r="CO235"/>
      <c r="CP235"/>
      <c r="CQ235"/>
      <c r="CR235"/>
      <c r="CS235"/>
      <c r="CT235"/>
      <c r="CU235"/>
      <c r="CV235"/>
      <c r="CW235"/>
      <c r="CX235" s="6"/>
    </row>
    <row r="236" spans="1:102" s="4" customFormat="1" hidden="1">
      <c r="A236" s="3">
        <f t="shared" ref="A236:A299" si="15">IF(B236&lt;&gt;"",ROW()-1,"")</f>
        <v>235</v>
      </c>
      <c r="B236" s="4" t="s">
        <v>18</v>
      </c>
      <c r="C236" s="4" t="s">
        <v>5</v>
      </c>
      <c r="D236" s="4">
        <f>INDEX(Employee!E:E,MATCH(AK236,Employee!B:B,0))</f>
        <v>0</v>
      </c>
      <c r="E236" s="4" t="str">
        <f>INDEX(Employee!F:F,MATCH(AK236,Employee!B:B,0))</f>
        <v>Tech</v>
      </c>
      <c r="F236" s="4">
        <f>INDEX(Employee!G:G,MATCH(AK236,Employee!B:B,0))</f>
        <v>0</v>
      </c>
      <c r="G236" s="4" t="s">
        <v>15</v>
      </c>
      <c r="H236" s="4" t="s">
        <v>643</v>
      </c>
      <c r="I236" s="4" t="s">
        <v>644</v>
      </c>
      <c r="J236" s="4" t="s">
        <v>111</v>
      </c>
      <c r="K236" s="4" t="s">
        <v>112</v>
      </c>
      <c r="N236" s="13" t="b">
        <v>0</v>
      </c>
      <c r="O236" s="13" t="b">
        <v>0</v>
      </c>
      <c r="Q236" s="14">
        <v>45464</v>
      </c>
      <c r="R236" s="4" t="s">
        <v>102</v>
      </c>
      <c r="S236" s="10">
        <v>20546</v>
      </c>
      <c r="T236" s="4" t="e">
        <f>INDEX(Employee!#REF!,MATCH(U236,Employee!#REF!,0))</f>
        <v>#REF!</v>
      </c>
      <c r="U236" s="4" t="s">
        <v>252</v>
      </c>
      <c r="V236" s="4" t="e">
        <f>INDEX(Employee!#REF!,MATCH(U236,Employee!#REF!,0))</f>
        <v>#REF!</v>
      </c>
      <c r="W236" s="4" t="e">
        <f>INDEX(Employee!#REF!,MATCH(U236,Employee!#REF!,0))</f>
        <v>#REF!</v>
      </c>
      <c r="X236" s="4" t="e">
        <f>INDEX(Employee!#REF!,MATCH(U236,Employee!#REF!,0))</f>
        <v>#REF!</v>
      </c>
      <c r="AJ236" s="4" t="str">
        <f>INDEX(Employee!C:C,MATCH(AK236,Employee!B:B,0))</f>
        <v>Nguyễn Hồ Xuân Hương</v>
      </c>
      <c r="AK236" s="4" t="s">
        <v>645</v>
      </c>
      <c r="AL236" s="4" t="str">
        <f>INDEX(Employee!D:D,MATCH(AK236,Employee!B:B,0))</f>
        <v>QC Engineer</v>
      </c>
      <c r="AM236" s="4" t="str">
        <f>INDEX(Employee!F:F,MATCH(AK236,Employee!B:B,0))</f>
        <v>Tech</v>
      </c>
      <c r="AN236" s="4" t="str">
        <f>INDEX(Employee!H:H,MATCH(AK236,Employee!B:B,0))</f>
        <v>Đoàn Nhật Duẩn (duandn)</v>
      </c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  <c r="BR236"/>
      <c r="BS236"/>
      <c r="BT236"/>
      <c r="BU236"/>
      <c r="BV236"/>
      <c r="BW236"/>
      <c r="BX236"/>
      <c r="BY236"/>
      <c r="BZ236"/>
      <c r="CA236"/>
      <c r="CB236"/>
      <c r="CC236"/>
      <c r="CD236"/>
      <c r="CE236"/>
      <c r="CF236"/>
      <c r="CG236"/>
      <c r="CH236" s="6"/>
      <c r="CI236"/>
      <c r="CJ236"/>
      <c r="CK236"/>
      <c r="CL236"/>
      <c r="CM236"/>
      <c r="CN236"/>
      <c r="CO236"/>
      <c r="CP236"/>
      <c r="CQ236"/>
      <c r="CR236"/>
      <c r="CS236"/>
      <c r="CT236"/>
      <c r="CU236"/>
      <c r="CV236"/>
      <c r="CW236"/>
      <c r="CX236" s="6"/>
    </row>
    <row r="237" spans="1:102" s="4" customFormat="1" hidden="1">
      <c r="A237" s="3">
        <f t="shared" si="15"/>
        <v>236</v>
      </c>
      <c r="B237" s="4" t="s">
        <v>18</v>
      </c>
      <c r="C237" s="4" t="s">
        <v>3</v>
      </c>
      <c r="D237" s="4" t="str">
        <f>INDEX(Employee!E:E,MATCH(AK237,Employee!B:B,0))</f>
        <v>Project</v>
      </c>
      <c r="E237" s="4" t="str">
        <f>INDEX(Employee!F:F,MATCH(AK237,Employee!B:B,0))</f>
        <v>Tech</v>
      </c>
      <c r="F237" s="4" t="str">
        <f>INDEX(Employee!G:G,MATCH(AK237,Employee!B:B,0))</f>
        <v>Venture</v>
      </c>
      <c r="G237" s="4" t="s">
        <v>15</v>
      </c>
      <c r="I237" s="4" t="s">
        <v>646</v>
      </c>
      <c r="J237" s="4" t="s">
        <v>111</v>
      </c>
      <c r="K237" s="4" t="s">
        <v>112</v>
      </c>
      <c r="N237" s="13" t="b">
        <v>0</v>
      </c>
      <c r="O237" s="13" t="b">
        <v>0</v>
      </c>
      <c r="Q237" s="14">
        <v>45464</v>
      </c>
      <c r="R237" s="4" t="s">
        <v>102</v>
      </c>
      <c r="S237" s="10">
        <v>20546</v>
      </c>
      <c r="T237" s="4" t="e">
        <f>INDEX(Employee!#REF!,MATCH(U237,Employee!#REF!,0))</f>
        <v>#REF!</v>
      </c>
      <c r="U237" s="4" t="s">
        <v>252</v>
      </c>
      <c r="V237" s="4" t="e">
        <f>INDEX(Employee!#REF!,MATCH(U237,Employee!#REF!,0))</f>
        <v>#REF!</v>
      </c>
      <c r="W237" s="4" t="e">
        <f>INDEX(Employee!#REF!,MATCH(U237,Employee!#REF!,0))</f>
        <v>#REF!</v>
      </c>
      <c r="X237" s="4" t="e">
        <f>INDEX(Employee!#REF!,MATCH(U237,Employee!#REF!,0))</f>
        <v>#REF!</v>
      </c>
      <c r="AJ237" s="4" t="str">
        <f>INDEX(Employee!C:C,MATCH(AK237,Employee!B:B,0))</f>
        <v>Hồ Ngọc Danh</v>
      </c>
      <c r="AK237" s="4" t="s">
        <v>647</v>
      </c>
      <c r="AL237" s="4" t="str">
        <f>INDEX(Employee!D:D,MATCH(AK237,Employee!B:B,0))</f>
        <v>Senior Software Engineer</v>
      </c>
      <c r="AM237" s="4" t="str">
        <f>INDEX(Employee!F:F,MATCH(AK237,Employee!B:B,0))</f>
        <v>Tech</v>
      </c>
      <c r="AN237" s="4" t="str">
        <f>INDEX(Employee!H:H,MATCH(AK237,Employee!B:B,0))</f>
        <v>Đoàn Nhật Duẩn (duandn)</v>
      </c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  <c r="BR237"/>
      <c r="BS237"/>
      <c r="BT237"/>
      <c r="BU237"/>
      <c r="BV237"/>
      <c r="BW237"/>
      <c r="BX237"/>
      <c r="BY237"/>
      <c r="BZ237"/>
      <c r="CA237"/>
      <c r="CB237"/>
      <c r="CC237"/>
      <c r="CD237"/>
      <c r="CE237"/>
      <c r="CF237"/>
      <c r="CG237"/>
      <c r="CH237" s="6"/>
      <c r="CI237"/>
      <c r="CJ237"/>
      <c r="CK237"/>
      <c r="CL237"/>
      <c r="CM237"/>
      <c r="CN237"/>
      <c r="CO237"/>
      <c r="CP237"/>
      <c r="CQ237"/>
      <c r="CR237"/>
      <c r="CS237"/>
      <c r="CT237"/>
      <c r="CU237"/>
      <c r="CV237"/>
      <c r="CW237"/>
      <c r="CX237" s="6"/>
    </row>
    <row r="238" spans="1:102" s="4" customFormat="1" hidden="1">
      <c r="A238" s="3">
        <f t="shared" si="15"/>
        <v>237</v>
      </c>
      <c r="B238" s="4" t="s">
        <v>18</v>
      </c>
      <c r="C238" s="4" t="s">
        <v>3</v>
      </c>
      <c r="D238" s="4">
        <f>INDEX(Employee!E:E,MATCH(AK238,Employee!B:B,0))</f>
        <v>0</v>
      </c>
      <c r="E238" s="4" t="str">
        <f>INDEX(Employee!F:F,MATCH(AK238,Employee!B:B,0))</f>
        <v>Tech</v>
      </c>
      <c r="F238" s="4">
        <f>INDEX(Employee!G:G,MATCH(AK238,Employee!B:B,0))</f>
        <v>0</v>
      </c>
      <c r="G238" s="4" t="s">
        <v>119</v>
      </c>
      <c r="I238" s="4" t="s">
        <v>648</v>
      </c>
      <c r="J238" s="4" t="s">
        <v>111</v>
      </c>
      <c r="K238" s="4" t="s">
        <v>112</v>
      </c>
      <c r="N238" s="13" t="b">
        <v>0</v>
      </c>
      <c r="O238" s="13" t="b">
        <v>0</v>
      </c>
      <c r="P238" s="4" t="s">
        <v>649</v>
      </c>
      <c r="Q238" s="14">
        <v>45464</v>
      </c>
      <c r="R238" s="4" t="s">
        <v>102</v>
      </c>
      <c r="S238" s="10">
        <v>20546</v>
      </c>
      <c r="T238" s="4" t="e">
        <f>INDEX(Employee!#REF!,MATCH(U238,Employee!#REF!,0))</f>
        <v>#REF!</v>
      </c>
      <c r="U238" s="4" t="s">
        <v>252</v>
      </c>
      <c r="V238" s="4" t="e">
        <f>INDEX(Employee!#REF!,MATCH(U238,Employee!#REF!,0))</f>
        <v>#REF!</v>
      </c>
      <c r="W238" s="4" t="e">
        <f>INDEX(Employee!#REF!,MATCH(U238,Employee!#REF!,0))</f>
        <v>#REF!</v>
      </c>
      <c r="X238" s="4" t="e">
        <f>INDEX(Employee!#REF!,MATCH(U238,Employee!#REF!,0))</f>
        <v>#REF!</v>
      </c>
      <c r="AJ238" s="4" t="str">
        <f>INDEX(Employee!C:C,MATCH(AK238,Employee!B:B,0))</f>
        <v>Nguyễn Hải Đăng</v>
      </c>
      <c r="AK238" s="4" t="s">
        <v>248</v>
      </c>
      <c r="AL238" s="4" t="str">
        <f>INDEX(Employee!D:D,MATCH(AK238,Employee!B:B,0))</f>
        <v>Associate QC Engineer</v>
      </c>
      <c r="AM238" s="4" t="str">
        <f>INDEX(Employee!F:F,MATCH(AK238,Employee!B:B,0))</f>
        <v>Tech</v>
      </c>
      <c r="AN238" s="4" t="str">
        <f>INDEX(Employee!H:H,MATCH(AK238,Employee!B:B,0))</f>
        <v>Trịnh Trần Minh Tuấn (tuanttm)</v>
      </c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  <c r="BR238"/>
      <c r="BS238"/>
      <c r="BT238"/>
      <c r="BU238"/>
      <c r="BV238"/>
      <c r="BW238"/>
      <c r="BX238"/>
      <c r="BY238"/>
      <c r="BZ238"/>
      <c r="CA238"/>
      <c r="CB238"/>
      <c r="CC238"/>
      <c r="CD238"/>
      <c r="CE238"/>
      <c r="CF238"/>
      <c r="CG238"/>
      <c r="CH238" s="6"/>
      <c r="CI238"/>
      <c r="CJ238"/>
      <c r="CK238"/>
      <c r="CL238"/>
      <c r="CM238"/>
      <c r="CN238"/>
      <c r="CO238"/>
      <c r="CP238"/>
      <c r="CQ238"/>
      <c r="CR238"/>
      <c r="CS238"/>
      <c r="CT238"/>
      <c r="CU238"/>
      <c r="CV238"/>
      <c r="CW238"/>
      <c r="CX238" s="6"/>
    </row>
    <row r="239" spans="1:102" s="4" customFormat="1" hidden="1">
      <c r="A239" s="3">
        <f t="shared" si="15"/>
        <v>238</v>
      </c>
      <c r="B239" s="4" t="s">
        <v>18</v>
      </c>
      <c r="C239" s="4" t="s">
        <v>3</v>
      </c>
      <c r="D239" s="4">
        <f>INDEX(Employee!E:E,MATCH(AK239,Employee!B:B,0))</f>
        <v>0</v>
      </c>
      <c r="E239" s="4" t="str">
        <f>INDEX(Employee!F:F,MATCH(AK239,Employee!B:B,0))</f>
        <v>Tech</v>
      </c>
      <c r="F239" s="4">
        <f>INDEX(Employee!G:G,MATCH(AK239,Employee!B:B,0))</f>
        <v>0</v>
      </c>
      <c r="G239" s="4" t="s">
        <v>119</v>
      </c>
      <c r="I239" s="4" t="s">
        <v>650</v>
      </c>
      <c r="J239" s="4" t="s">
        <v>111</v>
      </c>
      <c r="K239" s="4" t="s">
        <v>112</v>
      </c>
      <c r="N239" s="13" t="b">
        <v>0</v>
      </c>
      <c r="O239" s="13" t="b">
        <v>0</v>
      </c>
      <c r="Q239" s="14">
        <v>45694</v>
      </c>
      <c r="R239" s="4" t="s">
        <v>102</v>
      </c>
      <c r="S239" s="10">
        <v>217273</v>
      </c>
      <c r="T239" s="4" t="e">
        <f>INDEX(Employee!#REF!,MATCH(U239,Employee!#REF!,0))</f>
        <v>#REF!</v>
      </c>
      <c r="U239" s="4" t="s">
        <v>252</v>
      </c>
      <c r="V239" s="4" t="e">
        <f>INDEX(Employee!#REF!,MATCH(U239,Employee!#REF!,0))</f>
        <v>#REF!</v>
      </c>
      <c r="W239" s="4" t="e">
        <f>INDEX(Employee!#REF!,MATCH(U239,Employee!#REF!,0))</f>
        <v>#REF!</v>
      </c>
      <c r="X239" s="4" t="e">
        <f>INDEX(Employee!#REF!,MATCH(U239,Employee!#REF!,0))</f>
        <v>#REF!</v>
      </c>
      <c r="AJ239" s="4" t="str">
        <f>INDEX(Employee!C:C,MATCH(AK239,Employee!B:B,0))</f>
        <v>Trần Hải Trình</v>
      </c>
      <c r="AK239" s="4" t="s">
        <v>256</v>
      </c>
      <c r="AL239" s="4" t="str">
        <f>INDEX(Employee!D:D,MATCH(AK239,Employee!B:B,0))</f>
        <v>Cloud Engineer</v>
      </c>
      <c r="AM239" s="4" t="str">
        <f>INDEX(Employee!F:F,MATCH(AK239,Employee!B:B,0))</f>
        <v>Tech</v>
      </c>
      <c r="AN239" s="4" t="str">
        <f>INDEX(Employee!H:H,MATCH(AK239,Employee!B:B,0))</f>
        <v>Nguyễn Hữu Hỷ (hynh)</v>
      </c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  <c r="BR239"/>
      <c r="BS239"/>
      <c r="BT239"/>
      <c r="BU239"/>
      <c r="BV239"/>
      <c r="BW239"/>
      <c r="BX239"/>
      <c r="BY239"/>
      <c r="BZ239"/>
      <c r="CA239"/>
      <c r="CB239"/>
      <c r="CC239"/>
      <c r="CD239"/>
      <c r="CE239"/>
      <c r="CF239"/>
      <c r="CG239"/>
      <c r="CH239" s="6"/>
      <c r="CI239"/>
      <c r="CJ239"/>
      <c r="CK239"/>
      <c r="CL239"/>
      <c r="CM239"/>
      <c r="CN239"/>
      <c r="CO239"/>
      <c r="CP239"/>
      <c r="CQ239"/>
      <c r="CR239"/>
      <c r="CS239"/>
      <c r="CT239"/>
      <c r="CU239"/>
      <c r="CV239"/>
      <c r="CW239"/>
      <c r="CX239" s="6"/>
    </row>
    <row r="240" spans="1:102" s="4" customFormat="1" hidden="1">
      <c r="A240" s="3">
        <f t="shared" si="15"/>
        <v>239</v>
      </c>
      <c r="B240" s="4" t="s">
        <v>18</v>
      </c>
      <c r="C240" s="4" t="s">
        <v>5</v>
      </c>
      <c r="D240" s="4">
        <f>INDEX(Employee!E:E,MATCH(AK240,Employee!B:B,0))</f>
        <v>0</v>
      </c>
      <c r="E240" s="4" t="str">
        <f>INDEX(Employee!F:F,MATCH(AK240,Employee!B:B,0))</f>
        <v>Tech</v>
      </c>
      <c r="F240" s="4">
        <f>INDEX(Employee!G:G,MATCH(AK240,Employee!B:B,0))</f>
        <v>0</v>
      </c>
      <c r="G240" s="4" t="s">
        <v>15</v>
      </c>
      <c r="I240" s="4" t="s">
        <v>651</v>
      </c>
      <c r="J240" s="4" t="s">
        <v>111</v>
      </c>
      <c r="K240" s="4" t="s">
        <v>112</v>
      </c>
      <c r="N240" s="13" t="b">
        <v>0</v>
      </c>
      <c r="O240" s="13" t="b">
        <v>0</v>
      </c>
      <c r="Q240" s="14">
        <v>45694</v>
      </c>
      <c r="R240" s="4" t="s">
        <v>102</v>
      </c>
      <c r="S240" s="10">
        <v>217273</v>
      </c>
      <c r="T240" s="4" t="e">
        <f>INDEX(Employee!#REF!,MATCH(U240,Employee!#REF!,0))</f>
        <v>#REF!</v>
      </c>
      <c r="U240" s="4" t="s">
        <v>252</v>
      </c>
      <c r="V240" s="4" t="e">
        <f>INDEX(Employee!#REF!,MATCH(U240,Employee!#REF!,0))</f>
        <v>#REF!</v>
      </c>
      <c r="W240" s="4" t="e">
        <f>INDEX(Employee!#REF!,MATCH(U240,Employee!#REF!,0))</f>
        <v>#REF!</v>
      </c>
      <c r="X240" s="4" t="e">
        <f>INDEX(Employee!#REF!,MATCH(U240,Employee!#REF!,0))</f>
        <v>#REF!</v>
      </c>
      <c r="AJ240" s="4" t="str">
        <f>INDEX(Employee!C:C,MATCH(AK240,Employee!B:B,0))</f>
        <v>Trần Hoàng Minh</v>
      </c>
      <c r="AK240" s="4" t="s">
        <v>652</v>
      </c>
      <c r="AL240" s="4" t="str">
        <f>INDEX(Employee!D:D,MATCH(AK240,Employee!B:B,0))</f>
        <v>Cloud Engineer</v>
      </c>
      <c r="AM240" s="4" t="str">
        <f>INDEX(Employee!F:F,MATCH(AK240,Employee!B:B,0))</f>
        <v>Tech</v>
      </c>
      <c r="AN240" s="4" t="str">
        <f>INDEX(Employee!H:H,MATCH(AK240,Employee!B:B,0))</f>
        <v>Đoàn Nhật Duẩn (duandn)</v>
      </c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  <c r="BR240"/>
      <c r="BS240"/>
      <c r="BT240"/>
      <c r="BU240"/>
      <c r="BV240"/>
      <c r="BW240"/>
      <c r="BX240"/>
      <c r="BY240"/>
      <c r="BZ240"/>
      <c r="CA240"/>
      <c r="CB240"/>
      <c r="CC240"/>
      <c r="CD240"/>
      <c r="CE240"/>
      <c r="CF240"/>
      <c r="CG240"/>
      <c r="CH240" s="6"/>
      <c r="CI240"/>
      <c r="CJ240"/>
      <c r="CK240"/>
      <c r="CL240"/>
      <c r="CM240"/>
      <c r="CN240"/>
      <c r="CO240"/>
      <c r="CP240"/>
      <c r="CQ240"/>
      <c r="CR240"/>
      <c r="CS240"/>
      <c r="CT240"/>
      <c r="CU240"/>
      <c r="CV240"/>
      <c r="CW240"/>
      <c r="CX240" s="6"/>
    </row>
    <row r="241" spans="1:102" s="4" customFormat="1" hidden="1">
      <c r="A241" s="3">
        <f t="shared" si="15"/>
        <v>240</v>
      </c>
      <c r="B241" s="4" t="s">
        <v>18</v>
      </c>
      <c r="C241" s="4" t="s">
        <v>3</v>
      </c>
      <c r="D241" s="4" t="str">
        <f>INDEX(Employee!E:E,MATCH(AK241,Employee!B:B,0))</f>
        <v>Undirect IT Staff</v>
      </c>
      <c r="E241" s="4" t="str">
        <f>INDEX(Employee!F:F,MATCH(AK241,Employee!B:B,0))</f>
        <v>Tech</v>
      </c>
      <c r="F241" s="4" t="str">
        <f>INDEX(Employee!G:G,MATCH(AK241,Employee!B:B,0))</f>
        <v>Odoo</v>
      </c>
      <c r="G241" s="4" t="s">
        <v>15</v>
      </c>
      <c r="I241" s="4" t="s">
        <v>653</v>
      </c>
      <c r="J241" s="4" t="s">
        <v>111</v>
      </c>
      <c r="K241" s="4" t="s">
        <v>112</v>
      </c>
      <c r="N241" s="13" t="b">
        <v>0</v>
      </c>
      <c r="O241" s="13" t="b">
        <v>0</v>
      </c>
      <c r="P241" s="4" t="s">
        <v>654</v>
      </c>
      <c r="Q241" s="14">
        <v>45694</v>
      </c>
      <c r="R241" s="4" t="s">
        <v>102</v>
      </c>
      <c r="S241" s="10">
        <v>217273</v>
      </c>
      <c r="T241" s="4" t="e">
        <f>INDEX(Employee!#REF!,MATCH(U241,Employee!#REF!,0))</f>
        <v>#REF!</v>
      </c>
      <c r="U241" s="4" t="s">
        <v>252</v>
      </c>
      <c r="V241" s="4" t="e">
        <f>INDEX(Employee!#REF!,MATCH(U241,Employee!#REF!,0))</f>
        <v>#REF!</v>
      </c>
      <c r="W241" s="4" t="e">
        <f>INDEX(Employee!#REF!,MATCH(U241,Employee!#REF!,0))</f>
        <v>#REF!</v>
      </c>
      <c r="X241" s="4" t="e">
        <f>INDEX(Employee!#REF!,MATCH(U241,Employee!#REF!,0))</f>
        <v>#REF!</v>
      </c>
      <c r="AJ241" s="4" t="str">
        <f>INDEX(Employee!C:C,MATCH(AK241,Employee!B:B,0))</f>
        <v>Nguyễn Ngọc Trinh</v>
      </c>
      <c r="AK241" s="4" t="s">
        <v>457</v>
      </c>
      <c r="AL241" s="4" t="str">
        <f>INDEX(Employee!D:D,MATCH(AK241,Employee!B:B,0))</f>
        <v>Fresher QC Engineer</v>
      </c>
      <c r="AM241" s="4" t="str">
        <f>INDEX(Employee!F:F,MATCH(AK241,Employee!B:B,0))</f>
        <v>Tech</v>
      </c>
      <c r="AN241" s="4" t="str">
        <f>INDEX(Employee!H:H,MATCH(AK241,Employee!B:B,0))</f>
        <v>Dương Phạm Thành Công (congdpt)</v>
      </c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  <c r="BR241"/>
      <c r="BS241"/>
      <c r="BT241"/>
      <c r="BU241"/>
      <c r="BV241"/>
      <c r="BW241"/>
      <c r="BX241"/>
      <c r="BY241"/>
      <c r="BZ241"/>
      <c r="CA241"/>
      <c r="CB241"/>
      <c r="CC241"/>
      <c r="CD241"/>
      <c r="CE241"/>
      <c r="CF241"/>
      <c r="CG241"/>
      <c r="CH241" s="6"/>
      <c r="CI241"/>
      <c r="CJ241"/>
      <c r="CK241"/>
      <c r="CL241"/>
      <c r="CM241"/>
      <c r="CN241"/>
      <c r="CO241"/>
      <c r="CP241"/>
      <c r="CQ241"/>
      <c r="CR241"/>
      <c r="CS241"/>
      <c r="CT241"/>
      <c r="CU241"/>
      <c r="CV241"/>
      <c r="CW241"/>
      <c r="CX241" s="6"/>
    </row>
    <row r="242" spans="1:102" s="4" customFormat="1" hidden="1">
      <c r="A242" s="3">
        <f t="shared" si="15"/>
        <v>241</v>
      </c>
      <c r="B242" s="4" t="s">
        <v>18</v>
      </c>
      <c r="C242" s="4" t="s">
        <v>5</v>
      </c>
      <c r="D242" s="4">
        <f>INDEX(Employee!E:E,MATCH(AK242,Employee!B:B,0))</f>
        <v>0</v>
      </c>
      <c r="E242" s="4" t="str">
        <f>INDEX(Employee!F:F,MATCH(AK242,Employee!B:B,0))</f>
        <v>Tech</v>
      </c>
      <c r="F242" s="4">
        <f>INDEX(Employee!G:G,MATCH(AK242,Employee!B:B,0))</f>
        <v>0</v>
      </c>
      <c r="G242" s="4" t="s">
        <v>15</v>
      </c>
      <c r="I242" s="4" t="s">
        <v>655</v>
      </c>
      <c r="J242" s="4" t="s">
        <v>111</v>
      </c>
      <c r="K242" s="4" t="s">
        <v>112</v>
      </c>
      <c r="N242" s="13" t="b">
        <v>0</v>
      </c>
      <c r="O242" s="13" t="b">
        <v>0</v>
      </c>
      <c r="P242" s="4" t="s">
        <v>656</v>
      </c>
      <c r="Q242" s="14">
        <v>45694</v>
      </c>
      <c r="R242" s="4" t="s">
        <v>102</v>
      </c>
      <c r="S242" s="10">
        <v>217273</v>
      </c>
      <c r="T242" s="4" t="e">
        <f>INDEX(Employee!#REF!,MATCH(U242,Employee!#REF!,0))</f>
        <v>#REF!</v>
      </c>
      <c r="U242" s="4" t="s">
        <v>252</v>
      </c>
      <c r="V242" s="4" t="e">
        <f>INDEX(Employee!#REF!,MATCH(U242,Employee!#REF!,0))</f>
        <v>#REF!</v>
      </c>
      <c r="W242" s="4" t="e">
        <f>INDEX(Employee!#REF!,MATCH(U242,Employee!#REF!,0))</f>
        <v>#REF!</v>
      </c>
      <c r="X242" s="4" t="e">
        <f>INDEX(Employee!#REF!,MATCH(U242,Employee!#REF!,0))</f>
        <v>#REF!</v>
      </c>
      <c r="AJ242" s="4" t="str">
        <f>INDEX(Employee!C:C,MATCH(AK242,Employee!B:B,0))</f>
        <v>Nguyễn Công Bảo</v>
      </c>
      <c r="AK242" s="4" t="s">
        <v>290</v>
      </c>
      <c r="AL242" s="4" t="str">
        <f>INDEX(Employee!D:D,MATCH(AK242,Employee!B:B,0))</f>
        <v>Business Analyst</v>
      </c>
      <c r="AM242" s="4" t="str">
        <f>INDEX(Employee!F:F,MATCH(AK242,Employee!B:B,0))</f>
        <v>Tech</v>
      </c>
      <c r="AN242" s="4" t="str">
        <f>INDEX(Employee!H:H,MATCH(AK242,Employee!B:B,0))</f>
        <v>Nguyễn Vân Anh (anhnv5)</v>
      </c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  <c r="BR242"/>
      <c r="BS242"/>
      <c r="BT242"/>
      <c r="BU242"/>
      <c r="BV242"/>
      <c r="BW242"/>
      <c r="BX242"/>
      <c r="BY242"/>
      <c r="BZ242"/>
      <c r="CA242"/>
      <c r="CB242"/>
      <c r="CC242"/>
      <c r="CD242"/>
      <c r="CE242"/>
      <c r="CF242"/>
      <c r="CG242"/>
      <c r="CH242" s="6"/>
      <c r="CI242"/>
      <c r="CJ242"/>
      <c r="CK242"/>
      <c r="CL242"/>
      <c r="CM242"/>
      <c r="CN242"/>
      <c r="CO242"/>
      <c r="CP242"/>
      <c r="CQ242"/>
      <c r="CR242"/>
      <c r="CS242"/>
      <c r="CT242"/>
      <c r="CU242"/>
      <c r="CV242"/>
      <c r="CW242"/>
      <c r="CX242" s="6"/>
    </row>
    <row r="243" spans="1:102" s="4" customFormat="1" hidden="1">
      <c r="A243" s="3">
        <f t="shared" si="15"/>
        <v>242</v>
      </c>
      <c r="B243" s="4" t="s">
        <v>18</v>
      </c>
      <c r="C243" s="4" t="s">
        <v>5</v>
      </c>
      <c r="D243" s="4">
        <f>INDEX(Employee!E:E,MATCH(AK243,Employee!B:B,0))</f>
        <v>0</v>
      </c>
      <c r="E243" s="4" t="str">
        <f>INDEX(Employee!F:F,MATCH(AK243,Employee!B:B,0))</f>
        <v>Tech</v>
      </c>
      <c r="F243" s="4">
        <f>INDEX(Employee!G:G,MATCH(AK243,Employee!B:B,0))</f>
        <v>0</v>
      </c>
      <c r="G243" s="4" t="s">
        <v>15</v>
      </c>
      <c r="I243" s="4" t="s">
        <v>657</v>
      </c>
      <c r="J243" s="4" t="s">
        <v>111</v>
      </c>
      <c r="K243" s="4" t="s">
        <v>112</v>
      </c>
      <c r="N243" s="13" t="b">
        <v>0</v>
      </c>
      <c r="O243" s="13" t="b">
        <v>0</v>
      </c>
      <c r="Q243" s="14">
        <v>45694</v>
      </c>
      <c r="R243" s="4" t="s">
        <v>102</v>
      </c>
      <c r="S243" s="10">
        <v>217273</v>
      </c>
      <c r="T243" s="4" t="e">
        <f>INDEX(Employee!#REF!,MATCH(U243,Employee!#REF!,0))</f>
        <v>#REF!</v>
      </c>
      <c r="U243" s="4" t="s">
        <v>252</v>
      </c>
      <c r="V243" s="4" t="e">
        <f>INDEX(Employee!#REF!,MATCH(U243,Employee!#REF!,0))</f>
        <v>#REF!</v>
      </c>
      <c r="W243" s="4" t="e">
        <f>INDEX(Employee!#REF!,MATCH(U243,Employee!#REF!,0))</f>
        <v>#REF!</v>
      </c>
      <c r="X243" s="4" t="e">
        <f>INDEX(Employee!#REF!,MATCH(U243,Employee!#REF!,0))</f>
        <v>#REF!</v>
      </c>
      <c r="AJ243" s="4" t="str">
        <f>INDEX(Employee!C:C,MATCH(AK243,Employee!B:B,0))</f>
        <v>Nguyễn Văn Lân</v>
      </c>
      <c r="AK243" s="4" t="s">
        <v>536</v>
      </c>
      <c r="AL243" s="4" t="str">
        <f>INDEX(Employee!D:D,MATCH(AK243,Employee!B:B,0))</f>
        <v>Software Engineer</v>
      </c>
      <c r="AM243" s="4" t="str">
        <f>INDEX(Employee!F:F,MATCH(AK243,Employee!B:B,0))</f>
        <v>Tech</v>
      </c>
      <c r="AN243" s="4" t="str">
        <f>INDEX(Employee!H:H,MATCH(AK243,Employee!B:B,0))</f>
        <v>Trần Triệu Dương (duongtt5)</v>
      </c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  <c r="BR243"/>
      <c r="BS243"/>
      <c r="BT243"/>
      <c r="BU243"/>
      <c r="BV243"/>
      <c r="BW243"/>
      <c r="BX243"/>
      <c r="BY243"/>
      <c r="BZ243"/>
      <c r="CA243"/>
      <c r="CB243"/>
      <c r="CC243"/>
      <c r="CD243"/>
      <c r="CE243"/>
      <c r="CF243"/>
      <c r="CG243"/>
      <c r="CH243" s="6"/>
      <c r="CI243"/>
      <c r="CJ243"/>
      <c r="CK243"/>
      <c r="CL243"/>
      <c r="CM243"/>
      <c r="CN243"/>
      <c r="CO243"/>
      <c r="CP243"/>
      <c r="CQ243"/>
      <c r="CR243"/>
      <c r="CS243"/>
      <c r="CT243"/>
      <c r="CU243"/>
      <c r="CV243"/>
      <c r="CW243"/>
      <c r="CX243" s="6"/>
    </row>
    <row r="244" spans="1:102" s="4" customFormat="1" hidden="1">
      <c r="A244" s="3">
        <f t="shared" si="15"/>
        <v>243</v>
      </c>
      <c r="B244" s="4" t="s">
        <v>18</v>
      </c>
      <c r="C244" s="4" t="s">
        <v>5</v>
      </c>
      <c r="D244" s="4">
        <f>INDEX(Employee!E:E,MATCH(AK244,Employee!B:B,0))</f>
        <v>0</v>
      </c>
      <c r="E244" s="4" t="str">
        <f>INDEX(Employee!F:F,MATCH(AK244,Employee!B:B,0))</f>
        <v>CEO</v>
      </c>
      <c r="F244" s="4">
        <f>INDEX(Employee!G:G,MATCH(AK244,Employee!B:B,0))</f>
        <v>0</v>
      </c>
      <c r="G244" s="4" t="s">
        <v>15</v>
      </c>
      <c r="I244" s="4" t="s">
        <v>658</v>
      </c>
      <c r="J244" s="4" t="s">
        <v>111</v>
      </c>
      <c r="K244" s="4" t="s">
        <v>112</v>
      </c>
      <c r="N244" s="13" t="b">
        <v>0</v>
      </c>
      <c r="O244" s="13" t="b">
        <v>0</v>
      </c>
      <c r="Q244" s="14">
        <v>45694</v>
      </c>
      <c r="R244" s="4" t="s">
        <v>102</v>
      </c>
      <c r="S244" s="10">
        <v>217273</v>
      </c>
      <c r="T244" s="4" t="e">
        <f>INDEX(Employee!#REF!,MATCH(U244,Employee!#REF!,0))</f>
        <v>#REF!</v>
      </c>
      <c r="U244" s="4" t="s">
        <v>252</v>
      </c>
      <c r="V244" s="4" t="e">
        <f>INDEX(Employee!#REF!,MATCH(U244,Employee!#REF!,0))</f>
        <v>#REF!</v>
      </c>
      <c r="W244" s="4" t="e">
        <f>INDEX(Employee!#REF!,MATCH(U244,Employee!#REF!,0))</f>
        <v>#REF!</v>
      </c>
      <c r="X244" s="4" t="e">
        <f>INDEX(Employee!#REF!,MATCH(U244,Employee!#REF!,0))</f>
        <v>#REF!</v>
      </c>
      <c r="AJ244" s="4" t="str">
        <f>INDEX(Employee!C:C,MATCH(AK244,Employee!B:B,0))</f>
        <v>Gary Robert Charles Mckinnon</v>
      </c>
      <c r="AK244" s="4" t="s">
        <v>359</v>
      </c>
      <c r="AL244" s="4" t="str">
        <f>INDEX(Employee!D:D,MATCH(AK244,Employee!B:B,0))</f>
        <v>CEO</v>
      </c>
      <c r="AM244" s="4" t="str">
        <f>INDEX(Employee!F:F,MATCH(AK244,Employee!B:B,0))</f>
        <v>CEO</v>
      </c>
      <c r="AN244" s="4">
        <f>INDEX(Employee!H:H,MATCH(AK244,Employee!B:B,0))</f>
        <v>0</v>
      </c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  <c r="BR244"/>
      <c r="BS244"/>
      <c r="BT244"/>
      <c r="BU244"/>
      <c r="BV244"/>
      <c r="BW244"/>
      <c r="BX244"/>
      <c r="BY244"/>
      <c r="BZ244"/>
      <c r="CA244"/>
      <c r="CB244"/>
      <c r="CC244"/>
      <c r="CD244"/>
      <c r="CE244"/>
      <c r="CF244"/>
      <c r="CG244"/>
      <c r="CH244" s="6"/>
      <c r="CI244"/>
      <c r="CJ244"/>
      <c r="CK244"/>
      <c r="CL244"/>
      <c r="CM244"/>
      <c r="CN244"/>
      <c r="CO244"/>
      <c r="CP244"/>
      <c r="CQ244"/>
      <c r="CR244"/>
      <c r="CS244"/>
      <c r="CT244"/>
      <c r="CU244"/>
      <c r="CV244"/>
      <c r="CW244"/>
      <c r="CX244" s="6"/>
    </row>
    <row r="245" spans="1:102" s="4" customFormat="1" hidden="1">
      <c r="A245" s="3">
        <f t="shared" si="15"/>
        <v>244</v>
      </c>
      <c r="B245" s="4" t="s">
        <v>18</v>
      </c>
      <c r="C245" s="4" t="s">
        <v>4</v>
      </c>
      <c r="D245" s="4" t="e">
        <f>INDEX(Employee!E:E,MATCH(AK245,Employee!B:B,0))</f>
        <v>#N/A</v>
      </c>
      <c r="E245" s="4" t="e">
        <f>INDEX(Employee!F:F,MATCH(AK245,Employee!B:B,0))</f>
        <v>#N/A</v>
      </c>
      <c r="F245" s="4" t="e">
        <f>INDEX(Employee!G:G,MATCH(AK245,Employee!B:B,0))</f>
        <v>#N/A</v>
      </c>
      <c r="G245" s="4" t="s">
        <v>15</v>
      </c>
      <c r="I245" s="4" t="s">
        <v>659</v>
      </c>
      <c r="J245" s="4" t="s">
        <v>111</v>
      </c>
      <c r="K245" s="4" t="s">
        <v>112</v>
      </c>
      <c r="N245" s="13" t="b">
        <v>0</v>
      </c>
      <c r="O245" s="13" t="b">
        <v>0</v>
      </c>
      <c r="Q245" s="14">
        <v>45694</v>
      </c>
      <c r="R245" s="4" t="s">
        <v>102</v>
      </c>
      <c r="S245" s="10">
        <v>217273</v>
      </c>
      <c r="T245" s="4" t="e">
        <f>INDEX(Employee!#REF!,MATCH(U245,Employee!#REF!,0))</f>
        <v>#REF!</v>
      </c>
      <c r="U245" s="4" t="s">
        <v>252</v>
      </c>
      <c r="V245" s="4" t="e">
        <f>INDEX(Employee!#REF!,MATCH(U245,Employee!#REF!,0))</f>
        <v>#REF!</v>
      </c>
      <c r="W245" s="4" t="e">
        <f>INDEX(Employee!#REF!,MATCH(U245,Employee!#REF!,0))</f>
        <v>#REF!</v>
      </c>
      <c r="X245" s="4" t="e">
        <f>INDEX(Employee!#REF!,MATCH(U245,Employee!#REF!,0))</f>
        <v>#REF!</v>
      </c>
      <c r="AJ245" s="4" t="e">
        <f>INDEX(Employee!C:C,MATCH(AK245,Employee!B:B,0))</f>
        <v>#N/A</v>
      </c>
      <c r="AL245" s="4" t="e">
        <f>INDEX(Employee!D:D,MATCH(AK245,Employee!B:B,0))</f>
        <v>#N/A</v>
      </c>
      <c r="AM245" s="4" t="e">
        <f>INDEX(Employee!F:F,MATCH(AK245,Employee!B:B,0))</f>
        <v>#N/A</v>
      </c>
      <c r="AN245" s="4" t="e">
        <f>INDEX(Employee!H:H,MATCH(AK245,Employee!B:B,0))</f>
        <v>#N/A</v>
      </c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  <c r="BR245"/>
      <c r="BS245"/>
      <c r="BT245"/>
      <c r="BU245"/>
      <c r="BV245"/>
      <c r="BW245"/>
      <c r="BX245"/>
      <c r="BY245"/>
      <c r="BZ245"/>
      <c r="CA245"/>
      <c r="CB245"/>
      <c r="CC245"/>
      <c r="CD245"/>
      <c r="CE245"/>
      <c r="CF245"/>
      <c r="CG245"/>
      <c r="CH245" s="6"/>
      <c r="CI245"/>
      <c r="CJ245"/>
      <c r="CK245"/>
      <c r="CL245"/>
      <c r="CM245"/>
      <c r="CN245"/>
      <c r="CO245"/>
      <c r="CP245"/>
      <c r="CQ245"/>
      <c r="CR245"/>
      <c r="CS245"/>
      <c r="CT245"/>
      <c r="CU245"/>
      <c r="CV245"/>
      <c r="CW245"/>
      <c r="CX245" s="6"/>
    </row>
    <row r="246" spans="1:102" s="4" customFormat="1" hidden="1">
      <c r="A246" s="3">
        <f t="shared" si="15"/>
        <v>245</v>
      </c>
      <c r="B246" s="4" t="s">
        <v>18</v>
      </c>
      <c r="C246" s="4" t="s">
        <v>4</v>
      </c>
      <c r="D246" s="4" t="str">
        <f>INDEX(Employee!E:E,MATCH(AK246,Employee!B:B,0))</f>
        <v>BO</v>
      </c>
      <c r="E246" s="4" t="str">
        <f>INDEX(Employee!F:F,MATCH(AK246,Employee!B:B,0))</f>
        <v>Business Support</v>
      </c>
      <c r="F246" s="4" t="str">
        <f>INDEX(Employee!G:G,MATCH(AK246,Employee!B:B,0))</f>
        <v>Operation Team</v>
      </c>
      <c r="G246" s="4" t="s">
        <v>15</v>
      </c>
      <c r="I246" s="4" t="s">
        <v>660</v>
      </c>
      <c r="J246" s="4" t="s">
        <v>111</v>
      </c>
      <c r="K246" s="4" t="s">
        <v>112</v>
      </c>
      <c r="N246" s="13" t="b">
        <v>0</v>
      </c>
      <c r="O246" s="13" t="b">
        <v>0</v>
      </c>
      <c r="Q246" s="14">
        <v>45694</v>
      </c>
      <c r="R246" s="4" t="s">
        <v>102</v>
      </c>
      <c r="S246" s="10">
        <v>217273</v>
      </c>
      <c r="T246" s="4" t="e">
        <f>INDEX(Employee!#REF!,MATCH(U246,Employee!#REF!,0))</f>
        <v>#REF!</v>
      </c>
      <c r="U246" s="4" t="s">
        <v>252</v>
      </c>
      <c r="V246" s="4" t="e">
        <f>INDEX(Employee!#REF!,MATCH(U246,Employee!#REF!,0))</f>
        <v>#REF!</v>
      </c>
      <c r="W246" s="4" t="e">
        <f>INDEX(Employee!#REF!,MATCH(U246,Employee!#REF!,0))</f>
        <v>#REF!</v>
      </c>
      <c r="X246" s="4" t="e">
        <f>INDEX(Employee!#REF!,MATCH(U246,Employee!#REF!,0))</f>
        <v>#REF!</v>
      </c>
      <c r="AJ246" s="4" t="str">
        <f>INDEX(Employee!C:C,MATCH(AK246,Employee!B:B,0))</f>
        <v>Nguyễn Việt Trung</v>
      </c>
      <c r="AK246" s="4" t="s">
        <v>303</v>
      </c>
      <c r="AL246" s="4" t="str">
        <f>INDEX(Employee!D:D,MATCH(AK246,Employee!B:B,0))</f>
        <v>Internal Auditor</v>
      </c>
      <c r="AM246" s="4" t="str">
        <f>INDEX(Employee!F:F,MATCH(AK246,Employee!B:B,0))</f>
        <v>Business Support</v>
      </c>
      <c r="AN246" s="4" t="str">
        <f>INDEX(Employee!H:H,MATCH(AK246,Employee!B:B,0))</f>
        <v>Nguyễn Thị My Sa</v>
      </c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  <c r="BR246"/>
      <c r="BS246"/>
      <c r="BT246"/>
      <c r="BU246"/>
      <c r="BV246"/>
      <c r="BW246"/>
      <c r="BX246"/>
      <c r="BY246"/>
      <c r="BZ246"/>
      <c r="CA246"/>
      <c r="CB246"/>
      <c r="CC246"/>
      <c r="CD246"/>
      <c r="CE246"/>
      <c r="CF246"/>
      <c r="CG246"/>
      <c r="CH246" s="6"/>
      <c r="CI246"/>
      <c r="CJ246"/>
      <c r="CK246"/>
      <c r="CL246"/>
      <c r="CM246"/>
      <c r="CN246"/>
      <c r="CO246"/>
      <c r="CP246"/>
      <c r="CQ246"/>
      <c r="CR246"/>
      <c r="CS246"/>
      <c r="CT246"/>
      <c r="CU246"/>
      <c r="CV246"/>
      <c r="CW246"/>
      <c r="CX246" s="6"/>
    </row>
    <row r="247" spans="1:102" s="4" customFormat="1" hidden="1">
      <c r="A247" s="3">
        <f t="shared" si="15"/>
        <v>246</v>
      </c>
      <c r="B247" s="4" t="s">
        <v>18</v>
      </c>
      <c r="C247" s="4" t="s">
        <v>3</v>
      </c>
      <c r="D247" s="4">
        <f>INDEX(Employee!E:E,MATCH(AK247,Employee!B:B,0))</f>
        <v>0</v>
      </c>
      <c r="E247" s="4" t="str">
        <f>INDEX(Employee!F:F,MATCH(AK247,Employee!B:B,0))</f>
        <v>Tech</v>
      </c>
      <c r="F247" s="4">
        <f>INDEX(Employee!G:G,MATCH(AK247,Employee!B:B,0))</f>
        <v>0</v>
      </c>
      <c r="G247" s="4" t="s">
        <v>119</v>
      </c>
      <c r="I247" s="4" t="s">
        <v>661</v>
      </c>
      <c r="J247" s="4" t="s">
        <v>111</v>
      </c>
      <c r="K247" s="4" t="s">
        <v>112</v>
      </c>
      <c r="N247" s="13" t="b">
        <v>0</v>
      </c>
      <c r="O247" s="13" t="b">
        <v>0</v>
      </c>
      <c r="P247" s="4" t="s">
        <v>662</v>
      </c>
      <c r="Q247" s="14">
        <v>45694</v>
      </c>
      <c r="R247" s="4" t="s">
        <v>102</v>
      </c>
      <c r="S247" s="10">
        <v>217259</v>
      </c>
      <c r="T247" s="4" t="e">
        <f>INDEX(Employee!#REF!,MATCH(U247,Employee!#REF!,0))</f>
        <v>#REF!</v>
      </c>
      <c r="U247" s="4" t="s">
        <v>252</v>
      </c>
      <c r="V247" s="4" t="e">
        <f>INDEX(Employee!#REF!,MATCH(U247,Employee!#REF!,0))</f>
        <v>#REF!</v>
      </c>
      <c r="W247" s="4" t="e">
        <f>INDEX(Employee!#REF!,MATCH(U247,Employee!#REF!,0))</f>
        <v>#REF!</v>
      </c>
      <c r="X247" s="4" t="e">
        <f>INDEX(Employee!#REF!,MATCH(U247,Employee!#REF!,0))</f>
        <v>#REF!</v>
      </c>
      <c r="AJ247" s="4" t="str">
        <f>INDEX(Employee!C:C,MATCH(AK247,Employee!B:B,0))</f>
        <v>Nguyễn Công Bảo</v>
      </c>
      <c r="AK247" s="4" t="s">
        <v>290</v>
      </c>
      <c r="AL247" s="4" t="str">
        <f>INDEX(Employee!D:D,MATCH(AK247,Employee!B:B,0))</f>
        <v>Business Analyst</v>
      </c>
      <c r="AM247" s="4" t="str">
        <f>INDEX(Employee!F:F,MATCH(AK247,Employee!B:B,0))</f>
        <v>Tech</v>
      </c>
      <c r="AN247" s="4" t="str">
        <f>INDEX(Employee!H:H,MATCH(AK247,Employee!B:B,0))</f>
        <v>Nguyễn Vân Anh (anhnv5)</v>
      </c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  <c r="BR247"/>
      <c r="BS247"/>
      <c r="BT247"/>
      <c r="BU247"/>
      <c r="BV247"/>
      <c r="BW247"/>
      <c r="BX247"/>
      <c r="BY247"/>
      <c r="BZ247"/>
      <c r="CA247"/>
      <c r="CB247"/>
      <c r="CC247"/>
      <c r="CD247"/>
      <c r="CE247"/>
      <c r="CF247"/>
      <c r="CG247"/>
      <c r="CH247" s="6"/>
      <c r="CI247"/>
      <c r="CJ247"/>
      <c r="CK247"/>
      <c r="CL247"/>
      <c r="CM247"/>
      <c r="CN247"/>
      <c r="CO247"/>
      <c r="CP247"/>
      <c r="CQ247"/>
      <c r="CR247"/>
      <c r="CS247"/>
      <c r="CT247"/>
      <c r="CU247"/>
      <c r="CV247"/>
      <c r="CW247"/>
      <c r="CX247" s="6"/>
    </row>
    <row r="248" spans="1:102" s="4" customFormat="1" hidden="1">
      <c r="A248" s="3">
        <f t="shared" si="15"/>
        <v>247</v>
      </c>
      <c r="B248" s="4" t="s">
        <v>18</v>
      </c>
      <c r="C248" s="4" t="s">
        <v>4</v>
      </c>
      <c r="D248" s="4" t="e">
        <f>INDEX(Employee!E:E,MATCH(AK248,Employee!B:B,0))</f>
        <v>#N/A</v>
      </c>
      <c r="E248" s="4" t="e">
        <f>INDEX(Employee!F:F,MATCH(AK248,Employee!B:B,0))</f>
        <v>#N/A</v>
      </c>
      <c r="F248" s="4" t="e">
        <f>INDEX(Employee!G:G,MATCH(AK248,Employee!B:B,0))</f>
        <v>#N/A</v>
      </c>
      <c r="G248" s="4" t="s">
        <v>15</v>
      </c>
      <c r="I248" s="4" t="s">
        <v>663</v>
      </c>
      <c r="J248" s="4" t="s">
        <v>111</v>
      </c>
      <c r="K248" s="4" t="s">
        <v>642</v>
      </c>
      <c r="N248" s="13" t="b">
        <v>0</v>
      </c>
      <c r="O248" s="13" t="b">
        <v>0</v>
      </c>
      <c r="Q248" s="14">
        <v>43910</v>
      </c>
      <c r="R248" s="4" t="s">
        <v>102</v>
      </c>
      <c r="S248" s="10">
        <v>24273</v>
      </c>
      <c r="T248" s="4" t="e">
        <f>INDEX(Employee!#REF!,MATCH(U248,Employee!#REF!,0))</f>
        <v>#REF!</v>
      </c>
      <c r="U248" s="4" t="s">
        <v>252</v>
      </c>
      <c r="V248" s="4" t="e">
        <f>INDEX(Employee!#REF!,MATCH(U248,Employee!#REF!,0))</f>
        <v>#REF!</v>
      </c>
      <c r="W248" s="4" t="e">
        <f>INDEX(Employee!#REF!,MATCH(U248,Employee!#REF!,0))</f>
        <v>#REF!</v>
      </c>
      <c r="X248" s="4" t="e">
        <f>INDEX(Employee!#REF!,MATCH(U248,Employee!#REF!,0))</f>
        <v>#REF!</v>
      </c>
      <c r="AJ248" s="4" t="e">
        <f>INDEX(Employee!C:C,MATCH(AK248,Employee!B:B,0))</f>
        <v>#N/A</v>
      </c>
      <c r="AL248" s="4" t="e">
        <f>INDEX(Employee!D:D,MATCH(AK248,Employee!B:B,0))</f>
        <v>#N/A</v>
      </c>
      <c r="AM248" s="4" t="e">
        <f>INDEX(Employee!F:F,MATCH(AK248,Employee!B:B,0))</f>
        <v>#N/A</v>
      </c>
      <c r="AN248" s="4" t="e">
        <f>INDEX(Employee!H:H,MATCH(AK248,Employee!B:B,0))</f>
        <v>#N/A</v>
      </c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  <c r="BR248"/>
      <c r="BS248"/>
      <c r="BT248"/>
      <c r="BU248"/>
      <c r="BV248"/>
      <c r="BW248"/>
      <c r="BX248"/>
      <c r="BY248"/>
      <c r="BZ248"/>
      <c r="CA248"/>
      <c r="CB248"/>
      <c r="CC248"/>
      <c r="CD248"/>
      <c r="CE248"/>
      <c r="CF248"/>
      <c r="CG248"/>
      <c r="CH248" s="6"/>
      <c r="CI248"/>
      <c r="CJ248"/>
      <c r="CK248"/>
      <c r="CL248"/>
      <c r="CM248"/>
      <c r="CN248"/>
      <c r="CO248"/>
      <c r="CP248"/>
      <c r="CQ248"/>
      <c r="CR248"/>
      <c r="CS248"/>
      <c r="CT248"/>
      <c r="CU248"/>
      <c r="CV248"/>
      <c r="CW248"/>
      <c r="CX248" s="6"/>
    </row>
    <row r="249" spans="1:102" s="4" customFormat="1" hidden="1">
      <c r="A249" s="3">
        <f t="shared" si="15"/>
        <v>248</v>
      </c>
      <c r="B249" s="4" t="s">
        <v>18</v>
      </c>
      <c r="C249" s="4" t="s">
        <v>4</v>
      </c>
      <c r="D249" s="4" t="e">
        <f>INDEX(Employee!E:E,MATCH(AK249,Employee!B:B,0))</f>
        <v>#N/A</v>
      </c>
      <c r="E249" s="4" t="e">
        <f>INDEX(Employee!F:F,MATCH(AK249,Employee!B:B,0))</f>
        <v>#N/A</v>
      </c>
      <c r="F249" s="4" t="e">
        <f>INDEX(Employee!G:G,MATCH(AK249,Employee!B:B,0))</f>
        <v>#N/A</v>
      </c>
      <c r="G249" s="4" t="s">
        <v>17</v>
      </c>
      <c r="I249" s="4" t="s">
        <v>664</v>
      </c>
      <c r="J249" s="4" t="s">
        <v>111</v>
      </c>
      <c r="K249" s="4" t="s">
        <v>112</v>
      </c>
      <c r="N249" s="13" t="b">
        <v>0</v>
      </c>
      <c r="O249" s="13" t="b">
        <v>0</v>
      </c>
      <c r="Q249" s="14">
        <v>44694</v>
      </c>
      <c r="R249" s="4" t="s">
        <v>102</v>
      </c>
      <c r="S249" s="10">
        <v>22636</v>
      </c>
      <c r="T249" s="4" t="e">
        <f>INDEX(Employee!#REF!,MATCH(U249,Employee!#REF!,0))</f>
        <v>#REF!</v>
      </c>
      <c r="U249" s="4" t="s">
        <v>252</v>
      </c>
      <c r="V249" s="4" t="e">
        <f>INDEX(Employee!#REF!,MATCH(U249,Employee!#REF!,0))</f>
        <v>#REF!</v>
      </c>
      <c r="W249" s="4" t="e">
        <f>INDEX(Employee!#REF!,MATCH(U249,Employee!#REF!,0))</f>
        <v>#REF!</v>
      </c>
      <c r="X249" s="4" t="e">
        <f>INDEX(Employee!#REF!,MATCH(U249,Employee!#REF!,0))</f>
        <v>#REF!</v>
      </c>
      <c r="AJ249" s="4" t="e">
        <f>INDEX(Employee!C:C,MATCH(AK249,Employee!B:B,0))</f>
        <v>#N/A</v>
      </c>
      <c r="AL249" s="4" t="e">
        <f>INDEX(Employee!D:D,MATCH(AK249,Employee!B:B,0))</f>
        <v>#N/A</v>
      </c>
      <c r="AM249" s="4" t="e">
        <f>INDEX(Employee!F:F,MATCH(AK249,Employee!B:B,0))</f>
        <v>#N/A</v>
      </c>
      <c r="AN249" s="4" t="e">
        <f>INDEX(Employee!H:H,MATCH(AK249,Employee!B:B,0))</f>
        <v>#N/A</v>
      </c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  <c r="BR249"/>
      <c r="BS249"/>
      <c r="BT249"/>
      <c r="BU249"/>
      <c r="BV249"/>
      <c r="BW249"/>
      <c r="BX249"/>
      <c r="BY249"/>
      <c r="BZ249"/>
      <c r="CA249"/>
      <c r="CB249"/>
      <c r="CC249"/>
      <c r="CD249"/>
      <c r="CE249"/>
      <c r="CF249"/>
      <c r="CG249"/>
      <c r="CH249" s="6"/>
      <c r="CI249"/>
      <c r="CJ249"/>
      <c r="CK249"/>
      <c r="CL249"/>
      <c r="CM249"/>
      <c r="CN249"/>
      <c r="CO249"/>
      <c r="CP249"/>
      <c r="CQ249"/>
      <c r="CR249"/>
      <c r="CS249"/>
      <c r="CT249"/>
      <c r="CU249"/>
      <c r="CV249"/>
      <c r="CW249"/>
      <c r="CX249" s="6"/>
    </row>
    <row r="250" spans="1:102" s="4" customFormat="1" hidden="1">
      <c r="A250" s="3">
        <f t="shared" si="15"/>
        <v>249</v>
      </c>
      <c r="B250" s="4" t="s">
        <v>18</v>
      </c>
      <c r="C250" s="4" t="s">
        <v>5</v>
      </c>
      <c r="D250" s="4" t="e">
        <f>INDEX(Employee!E:E,MATCH(AK250,Employee!B:B,0))</f>
        <v>#N/A</v>
      </c>
      <c r="E250" s="4" t="e">
        <f>INDEX(Employee!F:F,MATCH(AK250,Employee!B:B,0))</f>
        <v>#N/A</v>
      </c>
      <c r="F250" s="4" t="e">
        <f>INDEX(Employee!G:G,MATCH(AK250,Employee!B:B,0))</f>
        <v>#N/A</v>
      </c>
      <c r="G250" s="4" t="s">
        <v>15</v>
      </c>
      <c r="I250" s="4" t="s">
        <v>665</v>
      </c>
      <c r="J250" s="4" t="s">
        <v>111</v>
      </c>
      <c r="K250" s="4" t="s">
        <v>112</v>
      </c>
      <c r="N250" s="13" t="b">
        <v>0</v>
      </c>
      <c r="O250" s="13" t="b">
        <v>0</v>
      </c>
      <c r="P250" s="4" t="s">
        <v>666</v>
      </c>
      <c r="Q250" s="14">
        <v>45169</v>
      </c>
      <c r="R250" s="4" t="s">
        <v>102</v>
      </c>
      <c r="S250" s="10">
        <v>30000</v>
      </c>
      <c r="T250" s="4" t="e">
        <f>INDEX(Employee!#REF!,MATCH(U250,Employee!#REF!,0))</f>
        <v>#REF!</v>
      </c>
      <c r="U250" s="4" t="s">
        <v>252</v>
      </c>
      <c r="V250" s="4" t="e">
        <f>INDEX(Employee!#REF!,MATCH(U250,Employee!#REF!,0))</f>
        <v>#REF!</v>
      </c>
      <c r="W250" s="4" t="e">
        <f>INDEX(Employee!#REF!,MATCH(U250,Employee!#REF!,0))</f>
        <v>#REF!</v>
      </c>
      <c r="X250" s="4" t="e">
        <f>INDEX(Employee!#REF!,MATCH(U250,Employee!#REF!,0))</f>
        <v>#REF!</v>
      </c>
      <c r="AJ250" s="4" t="e">
        <f>INDEX(Employee!C:C,MATCH(AK250,Employee!B:B,0))</f>
        <v>#N/A</v>
      </c>
      <c r="AL250" s="4" t="e">
        <f>INDEX(Employee!D:D,MATCH(AK250,Employee!B:B,0))</f>
        <v>#N/A</v>
      </c>
      <c r="AM250" s="4" t="e">
        <f>INDEX(Employee!F:F,MATCH(AK250,Employee!B:B,0))</f>
        <v>#N/A</v>
      </c>
      <c r="AN250" s="4" t="e">
        <f>INDEX(Employee!H:H,MATCH(AK250,Employee!B:B,0))</f>
        <v>#N/A</v>
      </c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  <c r="BR250"/>
      <c r="BS250"/>
      <c r="BT250"/>
      <c r="BU250"/>
      <c r="BV250"/>
      <c r="BW250"/>
      <c r="BX250"/>
      <c r="BY250"/>
      <c r="BZ250"/>
      <c r="CA250"/>
      <c r="CB250"/>
      <c r="CC250"/>
      <c r="CD250"/>
      <c r="CE250"/>
      <c r="CF250"/>
      <c r="CG250"/>
      <c r="CH250" s="6"/>
      <c r="CI250"/>
      <c r="CJ250"/>
      <c r="CK250"/>
      <c r="CL250"/>
      <c r="CM250"/>
      <c r="CN250"/>
      <c r="CO250"/>
      <c r="CP250"/>
      <c r="CQ250"/>
      <c r="CR250"/>
      <c r="CS250"/>
      <c r="CT250"/>
      <c r="CU250"/>
      <c r="CV250"/>
      <c r="CW250"/>
      <c r="CX250" s="6"/>
    </row>
    <row r="251" spans="1:102" s="4" customFormat="1" hidden="1">
      <c r="A251" s="3">
        <f t="shared" si="15"/>
        <v>250</v>
      </c>
      <c r="B251" s="4" t="s">
        <v>18</v>
      </c>
      <c r="C251" s="4" t="s">
        <v>4</v>
      </c>
      <c r="D251" s="4" t="e">
        <f>INDEX(Employee!E:E,MATCH(AK251,Employee!B:B,0))</f>
        <v>#N/A</v>
      </c>
      <c r="E251" s="4" t="e">
        <f>INDEX(Employee!F:F,MATCH(AK251,Employee!B:B,0))</f>
        <v>#N/A</v>
      </c>
      <c r="F251" s="4" t="e">
        <f>INDEX(Employee!G:G,MATCH(AK251,Employee!B:B,0))</f>
        <v>#N/A</v>
      </c>
      <c r="G251" s="4" t="s">
        <v>15</v>
      </c>
      <c r="I251" s="4" t="s">
        <v>667</v>
      </c>
      <c r="J251" s="4" t="s">
        <v>111</v>
      </c>
      <c r="K251" s="4" t="s">
        <v>112</v>
      </c>
      <c r="N251" s="13" t="b">
        <v>0</v>
      </c>
      <c r="O251" s="13" t="b">
        <v>0</v>
      </c>
      <c r="P251" s="4" t="s">
        <v>668</v>
      </c>
      <c r="Q251" s="14">
        <v>45369</v>
      </c>
      <c r="R251" s="4" t="s">
        <v>102</v>
      </c>
      <c r="S251" s="10">
        <v>52727</v>
      </c>
      <c r="T251" s="4" t="e">
        <f>INDEX(Employee!#REF!,MATCH(U251,Employee!#REF!,0))</f>
        <v>#REF!</v>
      </c>
      <c r="U251" s="4" t="s">
        <v>252</v>
      </c>
      <c r="V251" s="4" t="e">
        <f>INDEX(Employee!#REF!,MATCH(U251,Employee!#REF!,0))</f>
        <v>#REF!</v>
      </c>
      <c r="W251" s="4" t="e">
        <f>INDEX(Employee!#REF!,MATCH(U251,Employee!#REF!,0))</f>
        <v>#REF!</v>
      </c>
      <c r="X251" s="4" t="e">
        <f>INDEX(Employee!#REF!,MATCH(U251,Employee!#REF!,0))</f>
        <v>#REF!</v>
      </c>
      <c r="AJ251" s="4" t="e">
        <f>INDEX(Employee!C:C,MATCH(AK251,Employee!B:B,0))</f>
        <v>#N/A</v>
      </c>
      <c r="AL251" s="4" t="e">
        <f>INDEX(Employee!D:D,MATCH(AK251,Employee!B:B,0))</f>
        <v>#N/A</v>
      </c>
      <c r="AM251" s="4" t="e">
        <f>INDEX(Employee!F:F,MATCH(AK251,Employee!B:B,0))</f>
        <v>#N/A</v>
      </c>
      <c r="AN251" s="4" t="e">
        <f>INDEX(Employee!H:H,MATCH(AK251,Employee!B:B,0))</f>
        <v>#N/A</v>
      </c>
      <c r="AS251" s="4" t="s">
        <v>268</v>
      </c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  <c r="BR251"/>
      <c r="BS251"/>
      <c r="BT251"/>
      <c r="BU251"/>
      <c r="BV251"/>
      <c r="BW251"/>
      <c r="BX251"/>
      <c r="BY251"/>
      <c r="BZ251"/>
      <c r="CA251"/>
      <c r="CB251"/>
      <c r="CC251"/>
      <c r="CD251"/>
      <c r="CE251"/>
      <c r="CF251"/>
      <c r="CG251"/>
      <c r="CH251" s="6"/>
      <c r="CI251"/>
      <c r="CJ251"/>
      <c r="CK251"/>
      <c r="CL251"/>
      <c r="CM251"/>
      <c r="CN251"/>
      <c r="CO251"/>
      <c r="CP251"/>
      <c r="CQ251"/>
      <c r="CR251"/>
      <c r="CS251"/>
      <c r="CT251"/>
      <c r="CU251"/>
      <c r="CV251"/>
      <c r="CW251"/>
      <c r="CX251" s="6"/>
    </row>
    <row r="252" spans="1:102" s="4" customFormat="1" hidden="1">
      <c r="A252" s="3">
        <f t="shared" si="15"/>
        <v>251</v>
      </c>
      <c r="B252" s="4" t="s">
        <v>18</v>
      </c>
      <c r="C252" s="4" t="s">
        <v>5</v>
      </c>
      <c r="D252" s="4" t="e">
        <f>INDEX(Employee!E:E,MATCH(AK252,Employee!B:B,0))</f>
        <v>#N/A</v>
      </c>
      <c r="E252" s="4" t="e">
        <f>INDEX(Employee!F:F,MATCH(AK252,Employee!B:B,0))</f>
        <v>#N/A</v>
      </c>
      <c r="F252" s="4" t="e">
        <f>INDEX(Employee!G:G,MATCH(AK252,Employee!B:B,0))</f>
        <v>#N/A</v>
      </c>
      <c r="G252" s="4" t="s">
        <v>15</v>
      </c>
      <c r="I252" s="4" t="s">
        <v>669</v>
      </c>
      <c r="J252" s="4" t="s">
        <v>111</v>
      </c>
      <c r="K252" s="4" t="s">
        <v>112</v>
      </c>
      <c r="N252" s="13" t="b">
        <v>0</v>
      </c>
      <c r="O252" s="13" t="b">
        <v>0</v>
      </c>
      <c r="P252" s="4" t="s">
        <v>670</v>
      </c>
      <c r="Q252" s="14">
        <v>45369</v>
      </c>
      <c r="R252" s="4" t="s">
        <v>102</v>
      </c>
      <c r="S252" s="10">
        <v>52727</v>
      </c>
      <c r="T252" s="4" t="e">
        <f>INDEX(Employee!#REF!,MATCH(U252,Employee!#REF!,0))</f>
        <v>#REF!</v>
      </c>
      <c r="U252" s="4" t="s">
        <v>588</v>
      </c>
      <c r="V252" s="4" t="e">
        <f>INDEX(Employee!#REF!,MATCH(U252,Employee!#REF!,0))</f>
        <v>#REF!</v>
      </c>
      <c r="W252" s="4" t="e">
        <f>INDEX(Employee!#REF!,MATCH(U252,Employee!#REF!,0))</f>
        <v>#REF!</v>
      </c>
      <c r="X252" s="4" t="e">
        <f>INDEX(Employee!#REF!,MATCH(U252,Employee!#REF!,0))</f>
        <v>#REF!</v>
      </c>
      <c r="AJ252" s="4" t="e">
        <f>INDEX(Employee!C:C,MATCH(AK252,Employee!B:B,0))</f>
        <v>#N/A</v>
      </c>
      <c r="AL252" s="4" t="e">
        <f>INDEX(Employee!D:D,MATCH(AK252,Employee!B:B,0))</f>
        <v>#N/A</v>
      </c>
      <c r="AM252" s="4" t="e">
        <f>INDEX(Employee!F:F,MATCH(AK252,Employee!B:B,0))</f>
        <v>#N/A</v>
      </c>
      <c r="AN252" s="4" t="e">
        <f>INDEX(Employee!H:H,MATCH(AK252,Employee!B:B,0))</f>
        <v>#N/A</v>
      </c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  <c r="BR252" s="6"/>
      <c r="BS252"/>
      <c r="BT252"/>
      <c r="BU252"/>
      <c r="BV252"/>
      <c r="BW252"/>
      <c r="BX252"/>
      <c r="BY252"/>
      <c r="BZ252"/>
      <c r="CA252"/>
      <c r="CB252"/>
      <c r="CC252"/>
      <c r="CD252"/>
      <c r="CE252"/>
      <c r="CF252"/>
      <c r="CG252"/>
      <c r="CH252" s="6"/>
      <c r="CI252"/>
      <c r="CJ252"/>
      <c r="CK252"/>
      <c r="CL252"/>
      <c r="CM252"/>
      <c r="CN252"/>
      <c r="CO252"/>
      <c r="CP252"/>
      <c r="CQ252"/>
      <c r="CR252"/>
      <c r="CS252"/>
      <c r="CT252"/>
      <c r="CU252"/>
      <c r="CV252"/>
      <c r="CW252"/>
      <c r="CX252" s="6"/>
    </row>
    <row r="253" spans="1:102" s="4" customFormat="1" hidden="1">
      <c r="A253" s="3">
        <f t="shared" si="15"/>
        <v>252</v>
      </c>
      <c r="B253" s="4" t="s">
        <v>18</v>
      </c>
      <c r="C253" s="4" t="s">
        <v>4</v>
      </c>
      <c r="D253" s="4" t="e">
        <f>INDEX(Employee!E:E,MATCH(AK253,Employee!B:B,0))</f>
        <v>#N/A</v>
      </c>
      <c r="E253" s="4" t="e">
        <f>INDEX(Employee!F:F,MATCH(AK253,Employee!B:B,0))</f>
        <v>#N/A</v>
      </c>
      <c r="F253" s="4" t="e">
        <f>INDEX(Employee!G:G,MATCH(AK253,Employee!B:B,0))</f>
        <v>#N/A</v>
      </c>
      <c r="G253" s="4" t="s">
        <v>15</v>
      </c>
      <c r="I253" s="4" t="s">
        <v>671</v>
      </c>
      <c r="J253" s="4" t="s">
        <v>111</v>
      </c>
      <c r="K253" s="4" t="s">
        <v>642</v>
      </c>
      <c r="N253" s="13" t="b">
        <v>0</v>
      </c>
      <c r="O253" s="13" t="b">
        <v>0</v>
      </c>
      <c r="Q253" s="14">
        <v>45369</v>
      </c>
      <c r="R253" s="4" t="s">
        <v>102</v>
      </c>
      <c r="S253" s="10">
        <v>20500</v>
      </c>
      <c r="T253" s="4" t="e">
        <f>INDEX(Employee!#REF!,MATCH(U253,Employee!#REF!,0))</f>
        <v>#REF!</v>
      </c>
      <c r="U253" s="4" t="s">
        <v>588</v>
      </c>
      <c r="V253" s="4" t="e">
        <f>INDEX(Employee!#REF!,MATCH(U253,Employee!#REF!,0))</f>
        <v>#REF!</v>
      </c>
      <c r="W253" s="4" t="e">
        <f>INDEX(Employee!#REF!,MATCH(U253,Employee!#REF!,0))</f>
        <v>#REF!</v>
      </c>
      <c r="X253" s="4" t="e">
        <f>INDEX(Employee!#REF!,MATCH(U253,Employee!#REF!,0))</f>
        <v>#REF!</v>
      </c>
      <c r="AJ253" s="4" t="e">
        <f>INDEX(Employee!C:C,MATCH(AK253,Employee!B:B,0))</f>
        <v>#N/A</v>
      </c>
      <c r="AL253" s="4" t="e">
        <f>INDEX(Employee!D:D,MATCH(AK253,Employee!B:B,0))</f>
        <v>#N/A</v>
      </c>
      <c r="AM253" s="4" t="e">
        <f>INDEX(Employee!F:F,MATCH(AK253,Employee!B:B,0))</f>
        <v>#N/A</v>
      </c>
      <c r="AN253" s="4" t="e">
        <f>INDEX(Employee!H:H,MATCH(AK253,Employee!B:B,0))</f>
        <v>#N/A</v>
      </c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  <c r="BR253" s="6"/>
      <c r="BS253"/>
      <c r="BT253"/>
      <c r="BU253"/>
      <c r="BV253"/>
      <c r="BW253"/>
      <c r="BX253"/>
      <c r="BY253"/>
      <c r="BZ253"/>
      <c r="CA253"/>
      <c r="CB253"/>
      <c r="CC253"/>
      <c r="CD253"/>
      <c r="CE253"/>
      <c r="CF253"/>
      <c r="CG253"/>
      <c r="CH253" s="6"/>
      <c r="CI253"/>
      <c r="CJ253"/>
      <c r="CK253"/>
      <c r="CL253"/>
      <c r="CM253"/>
      <c r="CN253"/>
      <c r="CO253"/>
      <c r="CP253"/>
      <c r="CQ253"/>
      <c r="CR253"/>
      <c r="CS253"/>
      <c r="CT253"/>
      <c r="CU253"/>
      <c r="CV253"/>
      <c r="CW253"/>
      <c r="CX253" s="6"/>
    </row>
    <row r="254" spans="1:102" s="4" customFormat="1" hidden="1">
      <c r="A254" s="3">
        <f t="shared" si="15"/>
        <v>253</v>
      </c>
      <c r="B254" s="4" t="s">
        <v>18</v>
      </c>
      <c r="C254" s="4" t="s">
        <v>4</v>
      </c>
      <c r="D254" s="4" t="e">
        <f>INDEX(Employee!E:E,MATCH(AK254,Employee!B:B,0))</f>
        <v>#N/A</v>
      </c>
      <c r="E254" s="4" t="e">
        <f>INDEX(Employee!F:F,MATCH(AK254,Employee!B:B,0))</f>
        <v>#N/A</v>
      </c>
      <c r="F254" s="4" t="e">
        <f>INDEX(Employee!G:G,MATCH(AK254,Employee!B:B,0))</f>
        <v>#N/A</v>
      </c>
      <c r="G254" s="4" t="s">
        <v>15</v>
      </c>
      <c r="I254" s="4" t="s">
        <v>672</v>
      </c>
      <c r="J254" s="4" t="s">
        <v>111</v>
      </c>
      <c r="K254" s="4" t="s">
        <v>642</v>
      </c>
      <c r="N254" s="13" t="b">
        <v>0</v>
      </c>
      <c r="O254" s="13" t="b">
        <v>0</v>
      </c>
      <c r="Q254" s="14">
        <v>45369</v>
      </c>
      <c r="R254" s="4" t="s">
        <v>102</v>
      </c>
      <c r="S254" s="10">
        <v>20545.5</v>
      </c>
      <c r="T254" s="4" t="e">
        <f>INDEX(Employee!#REF!,MATCH(U254,Employee!#REF!,0))</f>
        <v>#REF!</v>
      </c>
      <c r="U254" s="4" t="s">
        <v>588</v>
      </c>
      <c r="V254" s="4" t="e">
        <f>INDEX(Employee!#REF!,MATCH(U254,Employee!#REF!,0))</f>
        <v>#REF!</v>
      </c>
      <c r="W254" s="4" t="e">
        <f>INDEX(Employee!#REF!,MATCH(U254,Employee!#REF!,0))</f>
        <v>#REF!</v>
      </c>
      <c r="X254" s="4" t="e">
        <f>INDEX(Employee!#REF!,MATCH(U254,Employee!#REF!,0))</f>
        <v>#REF!</v>
      </c>
      <c r="AJ254" s="4" t="e">
        <f>INDEX(Employee!C:C,MATCH(AK254,Employee!B:B,0))</f>
        <v>#N/A</v>
      </c>
      <c r="AL254" s="4" t="e">
        <f>INDEX(Employee!D:D,MATCH(AK254,Employee!B:B,0))</f>
        <v>#N/A</v>
      </c>
      <c r="AM254" s="4" t="e">
        <f>INDEX(Employee!F:F,MATCH(AK254,Employee!B:B,0))</f>
        <v>#N/A</v>
      </c>
      <c r="AN254" s="4" t="e">
        <f>INDEX(Employee!H:H,MATCH(AK254,Employee!B:B,0))</f>
        <v>#N/A</v>
      </c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  <c r="BR254" s="6"/>
      <c r="BS254"/>
      <c r="BT254"/>
      <c r="BU254"/>
      <c r="BV254"/>
      <c r="BW254"/>
      <c r="BX254"/>
      <c r="BY254"/>
      <c r="BZ254"/>
      <c r="CA254"/>
      <c r="CB254"/>
      <c r="CC254"/>
      <c r="CD254"/>
      <c r="CE254"/>
      <c r="CF254"/>
      <c r="CG254"/>
      <c r="CH254" s="6"/>
      <c r="CI254"/>
      <c r="CJ254"/>
      <c r="CK254"/>
      <c r="CL254"/>
      <c r="CM254"/>
      <c r="CN254"/>
      <c r="CO254"/>
      <c r="CP254"/>
      <c r="CQ254"/>
      <c r="CR254"/>
      <c r="CS254"/>
      <c r="CT254"/>
      <c r="CU254"/>
      <c r="CV254"/>
      <c r="CW254"/>
      <c r="CX254" s="6"/>
    </row>
    <row r="255" spans="1:102" s="4" customFormat="1" hidden="1">
      <c r="A255" s="3">
        <f t="shared" si="15"/>
        <v>254</v>
      </c>
      <c r="B255" s="4" t="s">
        <v>22</v>
      </c>
      <c r="C255" s="4" t="s">
        <v>3</v>
      </c>
      <c r="D255" s="4">
        <f>INDEX(Employee!E:E,MATCH(AK255,Employee!B:B,0))</f>
        <v>0</v>
      </c>
      <c r="E255" s="4" t="str">
        <f>INDEX(Employee!F:F,MATCH(AK255,Employee!B:B,0))</f>
        <v>Tech</v>
      </c>
      <c r="F255" s="4">
        <f>INDEX(Employee!G:G,MATCH(AK255,Employee!B:B,0))</f>
        <v>0</v>
      </c>
      <c r="G255" s="4" t="s">
        <v>119</v>
      </c>
      <c r="I255" s="4" t="s">
        <v>673</v>
      </c>
      <c r="J255" s="4" t="s">
        <v>99</v>
      </c>
      <c r="K255" s="4" t="s">
        <v>674</v>
      </c>
      <c r="N255" s="13" t="b">
        <v>0</v>
      </c>
      <c r="O255" s="13" t="b">
        <v>0</v>
      </c>
      <c r="Q255" s="14">
        <v>43686</v>
      </c>
      <c r="R255" s="4" t="s">
        <v>102</v>
      </c>
      <c r="S255" s="10">
        <v>126000</v>
      </c>
      <c r="T255" s="4" t="e">
        <f>INDEX(Employee!#REF!,MATCH(U255,Employee!#REF!,0))</f>
        <v>#REF!</v>
      </c>
      <c r="U255" s="4" t="s">
        <v>104</v>
      </c>
      <c r="V255" s="4" t="e">
        <f>INDEX(Employee!#REF!,MATCH(U255,Employee!#REF!,0))</f>
        <v>#REF!</v>
      </c>
      <c r="W255" s="4" t="e">
        <f>INDEX(Employee!#REF!,MATCH(U255,Employee!#REF!,0))</f>
        <v>#REF!</v>
      </c>
      <c r="X255" s="4" t="e">
        <f>INDEX(Employee!#REF!,MATCH(U255,Employee!#REF!,0))</f>
        <v>#REF!</v>
      </c>
      <c r="AJ255" s="4" t="str">
        <f>INDEX(Employee!C:C,MATCH(AK255,Employee!B:B,0))</f>
        <v>Nguyễn Hải Đăng</v>
      </c>
      <c r="AK255" s="4" t="s">
        <v>248</v>
      </c>
      <c r="AL255" s="4" t="str">
        <f>INDEX(Employee!D:D,MATCH(AK255,Employee!B:B,0))</f>
        <v>Associate QC Engineer</v>
      </c>
      <c r="AM255" s="4" t="str">
        <f>INDEX(Employee!F:F,MATCH(AK255,Employee!B:B,0))</f>
        <v>Tech</v>
      </c>
      <c r="AN255" s="4" t="str">
        <f>INDEX(Employee!H:H,MATCH(AK255,Employee!B:B,0))</f>
        <v>Trịnh Trần Minh Tuấn (tuanttm)</v>
      </c>
      <c r="AS255" s="4" t="s">
        <v>127</v>
      </c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  <c r="BR255"/>
      <c r="BS255"/>
      <c r="BT255"/>
      <c r="BU255"/>
      <c r="BV255"/>
      <c r="BW255"/>
      <c r="BX255"/>
      <c r="BY255"/>
      <c r="BZ255"/>
      <c r="CA255"/>
      <c r="CB255"/>
      <c r="CC255"/>
      <c r="CD255"/>
      <c r="CE255"/>
      <c r="CF255"/>
      <c r="CG255"/>
      <c r="CH255" s="6"/>
      <c r="CI255"/>
      <c r="CJ255"/>
      <c r="CK255"/>
      <c r="CL255"/>
      <c r="CM255"/>
      <c r="CN255"/>
      <c r="CO255"/>
      <c r="CP255"/>
      <c r="CQ255"/>
      <c r="CR255"/>
      <c r="CS255"/>
      <c r="CT255"/>
      <c r="CU255"/>
      <c r="CV255"/>
      <c r="CW255"/>
      <c r="CX255" s="6"/>
    </row>
    <row r="256" spans="1:102" s="4" customFormat="1" hidden="1">
      <c r="A256" s="3">
        <f t="shared" si="15"/>
        <v>255</v>
      </c>
      <c r="B256" s="4" t="s">
        <v>22</v>
      </c>
      <c r="C256" s="4" t="s">
        <v>3</v>
      </c>
      <c r="D256" s="4" t="str">
        <f>INDEX(Employee!E:E,MATCH(AK256,Employee!B:B,0))</f>
        <v>Project</v>
      </c>
      <c r="E256" s="4" t="str">
        <f>INDEX(Employee!F:F,MATCH(AK256,Employee!B:B,0))</f>
        <v>Tech</v>
      </c>
      <c r="F256" s="4" t="str">
        <f>INDEX(Employee!G:G,MATCH(AK256,Employee!B:B,0))</f>
        <v>Venture</v>
      </c>
      <c r="G256" s="4" t="s">
        <v>15</v>
      </c>
      <c r="I256" s="4" t="str">
        <f t="shared" ref="I256:I291" si="16">IF(I255="","", "CAB"&amp;TEXT(VALUE(RIGHT(I255,4))+1,"0000"))</f>
        <v>CAB0002</v>
      </c>
      <c r="J256" s="4" t="s">
        <v>99</v>
      </c>
      <c r="K256" s="4" t="s">
        <v>674</v>
      </c>
      <c r="N256" s="13" t="b">
        <v>0</v>
      </c>
      <c r="O256" s="13" t="b">
        <v>0</v>
      </c>
      <c r="Q256" s="14">
        <v>43790</v>
      </c>
      <c r="R256" s="4" t="s">
        <v>102</v>
      </c>
      <c r="S256" s="10">
        <v>124546</v>
      </c>
      <c r="T256" s="4" t="e">
        <f>INDEX(Employee!#REF!,MATCH(U256,Employee!#REF!,0))</f>
        <v>#REF!</v>
      </c>
      <c r="U256" s="4" t="s">
        <v>127</v>
      </c>
      <c r="V256" s="4" t="e">
        <f>INDEX(Employee!#REF!,MATCH(U256,Employee!#REF!,0))</f>
        <v>#REF!</v>
      </c>
      <c r="W256" s="4" t="e">
        <f>INDEX(Employee!#REF!,MATCH(U256,Employee!#REF!,0))</f>
        <v>#REF!</v>
      </c>
      <c r="X256" s="4" t="e">
        <f>INDEX(Employee!#REF!,MATCH(U256,Employee!#REF!,0))</f>
        <v>#REF!</v>
      </c>
      <c r="AJ256" s="4" t="str">
        <f>INDEX(Employee!C:C,MATCH(AK256,Employee!B:B,0))</f>
        <v>Nguyễn Hồ Quốc Thịnh</v>
      </c>
      <c r="AK256" s="4" t="s">
        <v>296</v>
      </c>
      <c r="AL256" s="4" t="str">
        <f>INDEX(Employee!D:D,MATCH(AK256,Employee!B:B,0))</f>
        <v>Senior Software Engineer, Team Leader</v>
      </c>
      <c r="AM256" s="4" t="str">
        <f>INDEX(Employee!F:F,MATCH(AK256,Employee!B:B,0))</f>
        <v>Tech</v>
      </c>
      <c r="AN256" s="4" t="str">
        <f>INDEX(Employee!H:H,MATCH(AK256,Employee!B:B,0))</f>
        <v>Đoàn Nhật Duẩn</v>
      </c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  <c r="BR256"/>
      <c r="BS256"/>
      <c r="BT256"/>
      <c r="BU256"/>
      <c r="BV256"/>
      <c r="BW256"/>
      <c r="BX256"/>
      <c r="BY256"/>
      <c r="BZ256"/>
      <c r="CA256"/>
      <c r="CB256"/>
      <c r="CC256"/>
      <c r="CD256"/>
      <c r="CE256"/>
      <c r="CF256"/>
      <c r="CG256"/>
      <c r="CH256" s="6"/>
      <c r="CI256"/>
      <c r="CJ256"/>
      <c r="CK256"/>
      <c r="CL256"/>
      <c r="CM256"/>
      <c r="CN256"/>
      <c r="CO256"/>
      <c r="CP256"/>
      <c r="CQ256"/>
      <c r="CR256"/>
      <c r="CS256"/>
      <c r="CT256"/>
      <c r="CU256"/>
      <c r="CV256"/>
      <c r="CW256"/>
      <c r="CX256" s="6"/>
    </row>
    <row r="257" spans="1:102" s="4" customFormat="1" hidden="1">
      <c r="A257" s="3">
        <f t="shared" si="15"/>
        <v>256</v>
      </c>
      <c r="B257" s="4" t="s">
        <v>22</v>
      </c>
      <c r="C257" s="4" t="s">
        <v>3</v>
      </c>
      <c r="D257" s="4">
        <f>INDEX(Employee!E:E,MATCH(AK257,Employee!B:B,0))</f>
        <v>0</v>
      </c>
      <c r="E257" s="4" t="str">
        <f>INDEX(Employee!F:F,MATCH(AK257,Employee!B:B,0))</f>
        <v>Tech</v>
      </c>
      <c r="F257" s="4">
        <f>INDEX(Employee!G:G,MATCH(AK257,Employee!B:B,0))</f>
        <v>0</v>
      </c>
      <c r="G257" s="4" t="s">
        <v>119</v>
      </c>
      <c r="I257" s="4" t="str">
        <f t="shared" si="16"/>
        <v>CAB0003</v>
      </c>
      <c r="J257" s="4" t="s">
        <v>99</v>
      </c>
      <c r="K257" s="4" t="s">
        <v>674</v>
      </c>
      <c r="N257" s="13" t="b">
        <v>0</v>
      </c>
      <c r="O257" s="13" t="b">
        <v>0</v>
      </c>
      <c r="Q257" s="14">
        <v>43873</v>
      </c>
      <c r="R257" s="4" t="s">
        <v>102</v>
      </c>
      <c r="S257" s="10">
        <v>125000</v>
      </c>
      <c r="T257" s="4" t="e">
        <f>INDEX(Employee!#REF!,MATCH(U257,Employee!#REF!,0))</f>
        <v>#REF!</v>
      </c>
      <c r="U257" s="4" t="s">
        <v>296</v>
      </c>
      <c r="V257" s="4" t="e">
        <f>INDEX(Employee!#REF!,MATCH(U257,Employee!#REF!,0))</f>
        <v>#REF!</v>
      </c>
      <c r="W257" s="4" t="e">
        <f>INDEX(Employee!#REF!,MATCH(U257,Employee!#REF!,0))</f>
        <v>#REF!</v>
      </c>
      <c r="X257" s="4" t="e">
        <f>INDEX(Employee!#REF!,MATCH(U257,Employee!#REF!,0))</f>
        <v>#REF!</v>
      </c>
      <c r="AJ257" s="4" t="str">
        <f>INDEX(Employee!C:C,MATCH(AK257,Employee!B:B,0))</f>
        <v>Nguyễn Ngọc Châu Sang</v>
      </c>
      <c r="AK257" s="4" t="s">
        <v>135</v>
      </c>
      <c r="AL257" s="4" t="str">
        <f>INDEX(Employee!D:D,MATCH(AK257,Employee!B:B,0))</f>
        <v>Solutions Architect</v>
      </c>
      <c r="AM257" s="4" t="str">
        <f>INDEX(Employee!F:F,MATCH(AK257,Employee!B:B,0))</f>
        <v>Tech</v>
      </c>
      <c r="AN257" s="4" t="str">
        <f>INDEX(Employee!H:H,MATCH(AK257,Employee!B:B,0))</f>
        <v>Dương Huỳnh Nghĩa (nghiadh)</v>
      </c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  <c r="BR257"/>
      <c r="BS257"/>
      <c r="BT257"/>
      <c r="BU257"/>
      <c r="BV257"/>
      <c r="BW257"/>
      <c r="BX257"/>
      <c r="BY257"/>
      <c r="BZ257"/>
      <c r="CA257"/>
      <c r="CB257"/>
      <c r="CC257"/>
      <c r="CD257"/>
      <c r="CE257"/>
      <c r="CF257"/>
      <c r="CG257"/>
      <c r="CH257" s="6"/>
      <c r="CI257"/>
      <c r="CJ257"/>
      <c r="CK257"/>
      <c r="CL257"/>
      <c r="CM257"/>
      <c r="CN257"/>
      <c r="CO257"/>
      <c r="CP257"/>
      <c r="CQ257"/>
      <c r="CR257"/>
      <c r="CS257"/>
      <c r="CT257"/>
      <c r="CU257"/>
      <c r="CV257"/>
      <c r="CW257"/>
      <c r="CX257" s="6"/>
    </row>
    <row r="258" spans="1:102" s="4" customFormat="1" hidden="1">
      <c r="A258" s="3">
        <f t="shared" si="15"/>
        <v>257</v>
      </c>
      <c r="B258" s="4" t="s">
        <v>22</v>
      </c>
      <c r="C258" s="4" t="s">
        <v>3</v>
      </c>
      <c r="D258" s="4">
        <f>INDEX(Employee!E:E,MATCH(AK258,Employee!B:B,0))</f>
        <v>0</v>
      </c>
      <c r="E258" s="4" t="str">
        <f>INDEX(Employee!F:F,MATCH(AK258,Employee!B:B,0))</f>
        <v>Tech</v>
      </c>
      <c r="F258" s="4">
        <f>INDEX(Employee!G:G,MATCH(AK258,Employee!B:B,0))</f>
        <v>0</v>
      </c>
      <c r="G258" s="4" t="s">
        <v>119</v>
      </c>
      <c r="I258" s="4" t="str">
        <f t="shared" si="16"/>
        <v>CAB0004</v>
      </c>
      <c r="J258" s="4" t="s">
        <v>99</v>
      </c>
      <c r="K258" s="4" t="s">
        <v>674</v>
      </c>
      <c r="N258" s="13" t="b">
        <v>0</v>
      </c>
      <c r="O258" s="13" t="b">
        <v>0</v>
      </c>
      <c r="Q258" s="14">
        <v>43979</v>
      </c>
      <c r="R258" s="4" t="s">
        <v>102</v>
      </c>
      <c r="S258" s="10">
        <v>139500</v>
      </c>
      <c r="T258" s="4" t="e">
        <f>INDEX(Employee!#REF!,MATCH(U258,Employee!#REF!,0))</f>
        <v>#REF!</v>
      </c>
      <c r="U258" s="4" t="s">
        <v>155</v>
      </c>
      <c r="V258" s="4" t="e">
        <f>INDEX(Employee!#REF!,MATCH(U258,Employee!#REF!,0))</f>
        <v>#REF!</v>
      </c>
      <c r="W258" s="4" t="e">
        <f>INDEX(Employee!#REF!,MATCH(U258,Employee!#REF!,0))</f>
        <v>#REF!</v>
      </c>
      <c r="X258" s="4" t="e">
        <f>INDEX(Employee!#REF!,MATCH(U258,Employee!#REF!,0))</f>
        <v>#REF!</v>
      </c>
      <c r="AJ258" s="4" t="str">
        <f>INDEX(Employee!C:C,MATCH(AK258,Employee!B:B,0))</f>
        <v>Đào Xuân Tùng</v>
      </c>
      <c r="AK258" s="4" t="s">
        <v>155</v>
      </c>
      <c r="AL258" s="4" t="str">
        <f>INDEX(Employee!D:D,MATCH(AK258,Employee!B:B,0))</f>
        <v>Software Engineer</v>
      </c>
      <c r="AM258" s="4" t="str">
        <f>INDEX(Employee!F:F,MATCH(AK258,Employee!B:B,0))</f>
        <v>Tech</v>
      </c>
      <c r="AN258" s="4" t="str">
        <f>INDEX(Employee!H:H,MATCH(AK258,Employee!B:B,0))</f>
        <v>Trần Triệu Dương (duongtt5)</v>
      </c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  <c r="BR258"/>
      <c r="BS258"/>
      <c r="BT258"/>
      <c r="BU258"/>
      <c r="BV258"/>
      <c r="BW258"/>
      <c r="BX258"/>
      <c r="BY258"/>
      <c r="BZ258"/>
      <c r="CA258"/>
      <c r="CB258"/>
      <c r="CC258"/>
      <c r="CD258"/>
      <c r="CE258"/>
      <c r="CF258"/>
      <c r="CG258"/>
      <c r="CH258" s="6"/>
      <c r="CI258"/>
      <c r="CJ258"/>
      <c r="CK258"/>
      <c r="CL258"/>
      <c r="CM258"/>
      <c r="CN258"/>
      <c r="CO258"/>
      <c r="CP258"/>
      <c r="CQ258"/>
      <c r="CR258"/>
      <c r="CS258"/>
      <c r="CT258"/>
      <c r="CU258"/>
      <c r="CV258"/>
      <c r="CW258"/>
      <c r="CX258" s="6"/>
    </row>
    <row r="259" spans="1:102" s="4" customFormat="1" hidden="1">
      <c r="A259" s="3">
        <f t="shared" si="15"/>
        <v>258</v>
      </c>
      <c r="B259" s="4" t="s">
        <v>22</v>
      </c>
      <c r="C259" s="4" t="s">
        <v>3</v>
      </c>
      <c r="D259" s="4" t="str">
        <f>INDEX(Employee!E:E,MATCH(AK259,Employee!B:B,0))</f>
        <v>Project</v>
      </c>
      <c r="E259" s="4" t="str">
        <f>INDEX(Employee!F:F,MATCH(AK259,Employee!B:B,0))</f>
        <v>Tech</v>
      </c>
      <c r="F259" s="4" t="str">
        <f>INDEX(Employee!G:G,MATCH(AK259,Employee!B:B,0))</f>
        <v>Venture</v>
      </c>
      <c r="G259" s="4" t="s">
        <v>15</v>
      </c>
      <c r="I259" s="4" t="str">
        <f t="shared" si="16"/>
        <v>CAB0005</v>
      </c>
      <c r="J259" s="4" t="s">
        <v>99</v>
      </c>
      <c r="K259" s="4" t="s">
        <v>674</v>
      </c>
      <c r="N259" s="13" t="b">
        <v>0</v>
      </c>
      <c r="O259" s="13" t="b">
        <v>0</v>
      </c>
      <c r="Q259" s="14">
        <v>44215</v>
      </c>
      <c r="R259" s="4" t="s">
        <v>102</v>
      </c>
      <c r="S259" s="10">
        <v>142000</v>
      </c>
      <c r="T259" s="4" t="e">
        <f>INDEX(Employee!#REF!,MATCH(U259,Employee!#REF!,0))</f>
        <v>#REF!</v>
      </c>
      <c r="U259" s="4" t="s">
        <v>539</v>
      </c>
      <c r="V259" s="4" t="e">
        <f>INDEX(Employee!#REF!,MATCH(U259,Employee!#REF!,0))</f>
        <v>#REF!</v>
      </c>
      <c r="W259" s="4" t="e">
        <f>INDEX(Employee!#REF!,MATCH(U259,Employee!#REF!,0))</f>
        <v>#REF!</v>
      </c>
      <c r="X259" s="4" t="e">
        <f>INDEX(Employee!#REF!,MATCH(U259,Employee!#REF!,0))</f>
        <v>#REF!</v>
      </c>
      <c r="AJ259" s="4" t="str">
        <f>INDEX(Employee!C:C,MATCH(AK259,Employee!B:B,0))</f>
        <v>Trịnh Minh Toàn</v>
      </c>
      <c r="AK259" s="4" t="s">
        <v>215</v>
      </c>
      <c r="AL259" s="4" t="str">
        <f>INDEX(Employee!D:D,MATCH(AK259,Employee!B:B,0))</f>
        <v>Senior Software Engineer</v>
      </c>
      <c r="AM259" s="4" t="str">
        <f>INDEX(Employee!F:F,MATCH(AK259,Employee!B:B,0))</f>
        <v>Tech</v>
      </c>
      <c r="AN259" s="4" t="str">
        <f>INDEX(Employee!H:H,MATCH(AK259,Employee!B:B,0))</f>
        <v>Đoàn Nhật Duẩn (duandn)</v>
      </c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  <c r="BR259"/>
      <c r="BS259"/>
      <c r="BT259"/>
      <c r="BU259"/>
      <c r="BV259"/>
      <c r="BW259"/>
      <c r="BX259"/>
      <c r="BY259"/>
      <c r="BZ259"/>
      <c r="CA259"/>
      <c r="CB259"/>
      <c r="CC259"/>
      <c r="CD259"/>
      <c r="CE259"/>
      <c r="CF259"/>
      <c r="CG259"/>
      <c r="CH259" s="6"/>
      <c r="CI259"/>
      <c r="CJ259"/>
      <c r="CK259"/>
      <c r="CL259"/>
      <c r="CM259"/>
      <c r="CN259"/>
      <c r="CO259"/>
      <c r="CP259"/>
      <c r="CQ259"/>
      <c r="CR259"/>
      <c r="CS259"/>
      <c r="CT259"/>
      <c r="CU259"/>
      <c r="CV259"/>
      <c r="CW259"/>
      <c r="CX259" s="6"/>
    </row>
    <row r="260" spans="1:102" s="4" customFormat="1" hidden="1">
      <c r="A260" s="3">
        <f t="shared" si="15"/>
        <v>259</v>
      </c>
      <c r="B260" s="4" t="s">
        <v>22</v>
      </c>
      <c r="C260" s="4" t="s">
        <v>3</v>
      </c>
      <c r="D260" s="4" t="str">
        <f>INDEX(Employee!E:E,MATCH(AK260,Employee!B:B,0))</f>
        <v>Project</v>
      </c>
      <c r="E260" s="4" t="str">
        <f>INDEX(Employee!F:F,MATCH(AK260,Employee!B:B,0))</f>
        <v>Tech</v>
      </c>
      <c r="F260" s="4" t="str">
        <f>INDEX(Employee!G:G,MATCH(AK260,Employee!B:B,0))</f>
        <v>Venture</v>
      </c>
      <c r="G260" s="4" t="s">
        <v>15</v>
      </c>
      <c r="I260" s="4" t="str">
        <f t="shared" si="16"/>
        <v>CAB0006</v>
      </c>
      <c r="J260" s="4" t="s">
        <v>99</v>
      </c>
      <c r="K260" s="4" t="s">
        <v>674</v>
      </c>
      <c r="N260" s="13" t="b">
        <v>0</v>
      </c>
      <c r="O260" s="13" t="b">
        <v>0</v>
      </c>
      <c r="Q260" s="14">
        <v>44211</v>
      </c>
      <c r="R260" s="4" t="s">
        <v>102</v>
      </c>
      <c r="S260" s="10">
        <v>142000</v>
      </c>
      <c r="T260" s="4" t="e">
        <f>INDEX(Employee!#REF!,MATCH(U260,Employee!#REF!,0))</f>
        <v>#REF!</v>
      </c>
      <c r="U260" s="4" t="s">
        <v>258</v>
      </c>
      <c r="V260" s="4" t="e">
        <f>INDEX(Employee!#REF!,MATCH(U260,Employee!#REF!,0))</f>
        <v>#REF!</v>
      </c>
      <c r="W260" s="4" t="e">
        <f>INDEX(Employee!#REF!,MATCH(U260,Employee!#REF!,0))</f>
        <v>#REF!</v>
      </c>
      <c r="X260" s="4" t="e">
        <f>INDEX(Employee!#REF!,MATCH(U260,Employee!#REF!,0))</f>
        <v>#REF!</v>
      </c>
      <c r="AJ260" s="4" t="str">
        <f>INDEX(Employee!C:C,MATCH(AK260,Employee!B:B,0))</f>
        <v>Lại Thế Cường</v>
      </c>
      <c r="AK260" s="4" t="s">
        <v>539</v>
      </c>
      <c r="AL260" s="4" t="str">
        <f>INDEX(Employee!D:D,MATCH(AK260,Employee!B:B,0))</f>
        <v>Senior Software Engineer</v>
      </c>
      <c r="AM260" s="4" t="str">
        <f>INDEX(Employee!F:F,MATCH(AK260,Employee!B:B,0))</f>
        <v>Tech</v>
      </c>
      <c r="AN260" s="4" t="str">
        <f>INDEX(Employee!H:H,MATCH(AK260,Employee!B:B,0))</f>
        <v>Nguyễn Văn Bình (binhnv5)</v>
      </c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  <c r="BR260"/>
      <c r="BS260"/>
      <c r="BT260"/>
      <c r="BU260"/>
      <c r="BV260"/>
      <c r="BW260"/>
      <c r="BX260"/>
      <c r="BY260"/>
      <c r="BZ260"/>
      <c r="CA260"/>
      <c r="CB260"/>
      <c r="CC260"/>
      <c r="CD260"/>
      <c r="CE260"/>
      <c r="CF260"/>
      <c r="CG260"/>
      <c r="CH260" s="6"/>
      <c r="CI260"/>
      <c r="CJ260"/>
      <c r="CK260"/>
      <c r="CL260"/>
      <c r="CM260"/>
      <c r="CN260"/>
      <c r="CO260"/>
      <c r="CP260"/>
      <c r="CQ260"/>
      <c r="CR260"/>
      <c r="CS260"/>
      <c r="CT260"/>
      <c r="CU260"/>
      <c r="CV260"/>
      <c r="CW260"/>
      <c r="CX260" s="6"/>
    </row>
    <row r="261" spans="1:102" s="4" customFormat="1" hidden="1">
      <c r="A261" s="3">
        <f t="shared" si="15"/>
        <v>260</v>
      </c>
      <c r="B261" s="4" t="s">
        <v>22</v>
      </c>
      <c r="C261" s="4" t="s">
        <v>3</v>
      </c>
      <c r="D261" s="4" t="str">
        <f>INDEX(Employee!E:E,MATCH(AK261,Employee!B:B,0))</f>
        <v>Undirect IT Staff</v>
      </c>
      <c r="E261" s="4" t="str">
        <f>INDEX(Employee!F:F,MATCH(AK261,Employee!B:B,0))</f>
        <v>Tech</v>
      </c>
      <c r="F261" s="4" t="str">
        <f>INDEX(Employee!G:G,MATCH(AK261,Employee!B:B,0))</f>
        <v>Odoo</v>
      </c>
      <c r="G261" s="4" t="s">
        <v>15</v>
      </c>
      <c r="I261" s="4" t="str">
        <f t="shared" si="16"/>
        <v>CAB0007</v>
      </c>
      <c r="J261" s="4" t="s">
        <v>99</v>
      </c>
      <c r="K261" s="4" t="s">
        <v>674</v>
      </c>
      <c r="N261" s="13" t="b">
        <v>0</v>
      </c>
      <c r="O261" s="13" t="b">
        <v>0</v>
      </c>
      <c r="Q261" s="14">
        <v>44308</v>
      </c>
      <c r="R261" s="4" t="s">
        <v>102</v>
      </c>
      <c r="S261" s="10">
        <v>142000</v>
      </c>
      <c r="T261" s="4" t="e">
        <f>INDEX(Employee!#REF!,MATCH(U261,Employee!#REF!,0))</f>
        <v>#REF!</v>
      </c>
      <c r="U261" s="4" t="s">
        <v>292</v>
      </c>
      <c r="V261" s="4" t="e">
        <f>INDEX(Employee!#REF!,MATCH(U261,Employee!#REF!,0))</f>
        <v>#REF!</v>
      </c>
      <c r="W261" s="4" t="e">
        <f>INDEX(Employee!#REF!,MATCH(U261,Employee!#REF!,0))</f>
        <v>#REF!</v>
      </c>
      <c r="X261" s="4" t="e">
        <f>INDEX(Employee!#REF!,MATCH(U261,Employee!#REF!,0))</f>
        <v>#REF!</v>
      </c>
      <c r="AJ261" s="4" t="str">
        <f>INDEX(Employee!C:C,MATCH(AK261,Employee!B:B,0))</f>
        <v>Đặng Thành Thái</v>
      </c>
      <c r="AK261" s="4" t="s">
        <v>252</v>
      </c>
      <c r="AL261" s="4" t="str">
        <f>INDEX(Employee!D:D,MATCH(AK261,Employee!B:B,0))</f>
        <v>Software Engineer</v>
      </c>
      <c r="AM261" s="4" t="str">
        <f>INDEX(Employee!F:F,MATCH(AK261,Employee!B:B,0))</f>
        <v>Tech</v>
      </c>
      <c r="AN261" s="4" t="str">
        <f>INDEX(Employee!H:H,MATCH(AK261,Employee!B:B,0))</f>
        <v>Dương Phạm Thành Công (congdpt)</v>
      </c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  <c r="BR261"/>
      <c r="BS261"/>
      <c r="BT261"/>
      <c r="BU261"/>
      <c r="BV261"/>
      <c r="BW261"/>
      <c r="BX261"/>
      <c r="BY261"/>
      <c r="BZ261"/>
      <c r="CA261"/>
      <c r="CB261"/>
      <c r="CC261"/>
      <c r="CD261"/>
      <c r="CE261"/>
      <c r="CF261"/>
      <c r="CG261"/>
      <c r="CH261" s="6"/>
      <c r="CI261"/>
      <c r="CJ261"/>
      <c r="CK261"/>
      <c r="CL261"/>
      <c r="CM261"/>
      <c r="CN261"/>
      <c r="CO261"/>
      <c r="CP261"/>
      <c r="CQ261"/>
      <c r="CR261"/>
      <c r="CS261"/>
      <c r="CT261"/>
      <c r="CU261"/>
      <c r="CV261"/>
      <c r="CW261"/>
      <c r="CX261" s="6"/>
    </row>
    <row r="262" spans="1:102" s="4" customFormat="1" hidden="1">
      <c r="A262" s="3">
        <f t="shared" si="15"/>
        <v>261</v>
      </c>
      <c r="B262" s="4" t="s">
        <v>22</v>
      </c>
      <c r="C262" s="4" t="s">
        <v>4</v>
      </c>
      <c r="D262" s="4" t="e">
        <f>INDEX(Employee!E:E,MATCH(AK262,Employee!B:B,0))</f>
        <v>#N/A</v>
      </c>
      <c r="E262" s="4" t="e">
        <f>INDEX(Employee!F:F,MATCH(AK262,Employee!B:B,0))</f>
        <v>#N/A</v>
      </c>
      <c r="F262" s="4" t="e">
        <f>INDEX(Employee!G:G,MATCH(AK262,Employee!B:B,0))</f>
        <v>#N/A</v>
      </c>
      <c r="G262" s="4" t="s">
        <v>15</v>
      </c>
      <c r="H262" s="4" t="s">
        <v>675</v>
      </c>
      <c r="I262" s="4" t="str">
        <f t="shared" si="16"/>
        <v>CAB0008</v>
      </c>
      <c r="J262" s="4" t="s">
        <v>99</v>
      </c>
      <c r="K262" s="4" t="s">
        <v>674</v>
      </c>
      <c r="N262" s="13" t="b">
        <v>0</v>
      </c>
      <c r="O262" s="13" t="b">
        <v>0</v>
      </c>
      <c r="Q262" s="14">
        <v>44329</v>
      </c>
      <c r="R262" s="4" t="s">
        <v>102</v>
      </c>
      <c r="S262" s="10">
        <v>142000</v>
      </c>
      <c r="T262" s="4" t="e">
        <f>INDEX(Employee!#REF!,MATCH(U262,Employee!#REF!,0))</f>
        <v>#REF!</v>
      </c>
      <c r="U262" s="4" t="s">
        <v>292</v>
      </c>
      <c r="V262" s="4" t="e">
        <f>INDEX(Employee!#REF!,MATCH(U262,Employee!#REF!,0))</f>
        <v>#REF!</v>
      </c>
      <c r="W262" s="4" t="e">
        <f>INDEX(Employee!#REF!,MATCH(U262,Employee!#REF!,0))</f>
        <v>#REF!</v>
      </c>
      <c r="X262" s="4" t="e">
        <f>INDEX(Employee!#REF!,MATCH(U262,Employee!#REF!,0))</f>
        <v>#REF!</v>
      </c>
      <c r="AJ262" s="4" t="e">
        <f>INDEX(Employee!C:C,MATCH(AK262,Employee!B:B,0))</f>
        <v>#N/A</v>
      </c>
      <c r="AL262" s="4" t="e">
        <f>INDEX(Employee!D:D,MATCH(AK262,Employee!B:B,0))</f>
        <v>#N/A</v>
      </c>
      <c r="AM262" s="4" t="e">
        <f>INDEX(Employee!F:F,MATCH(AK262,Employee!B:B,0))</f>
        <v>#N/A</v>
      </c>
      <c r="AN262" s="4" t="e">
        <f>INDEX(Employee!H:H,MATCH(AK262,Employee!B:B,0))</f>
        <v>#N/A</v>
      </c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  <c r="BR262"/>
      <c r="BS262"/>
      <c r="BT262"/>
      <c r="BU262"/>
      <c r="BV262"/>
      <c r="BW262"/>
      <c r="BX262"/>
      <c r="BY262"/>
      <c r="BZ262"/>
      <c r="CA262"/>
      <c r="CB262"/>
      <c r="CC262"/>
      <c r="CD262"/>
      <c r="CE262"/>
      <c r="CF262"/>
      <c r="CG262"/>
      <c r="CH262" s="6"/>
      <c r="CI262"/>
      <c r="CJ262"/>
      <c r="CK262"/>
      <c r="CL262"/>
      <c r="CM262"/>
      <c r="CN262"/>
      <c r="CO262"/>
      <c r="CP262"/>
      <c r="CQ262"/>
      <c r="CR262"/>
      <c r="CS262"/>
      <c r="CT262"/>
      <c r="CU262"/>
      <c r="CV262"/>
      <c r="CW262"/>
      <c r="CX262" s="6"/>
    </row>
    <row r="263" spans="1:102" s="4" customFormat="1" hidden="1">
      <c r="A263" s="3">
        <f t="shared" si="15"/>
        <v>262</v>
      </c>
      <c r="B263" s="4" t="s">
        <v>22</v>
      </c>
      <c r="C263" s="4" t="s">
        <v>3</v>
      </c>
      <c r="D263" s="4" t="str">
        <f>INDEX(Employee!E:E,MATCH(AK263,Employee!B:B,0))</f>
        <v>Project</v>
      </c>
      <c r="E263" s="4" t="str">
        <f>INDEX(Employee!F:F,MATCH(AK263,Employee!B:B,0))</f>
        <v>Tech</v>
      </c>
      <c r="F263" s="4" t="str">
        <f>INDEX(Employee!G:G,MATCH(AK263,Employee!B:B,0))</f>
        <v>Venture</v>
      </c>
      <c r="G263" s="4" t="s">
        <v>15</v>
      </c>
      <c r="I263" s="4" t="str">
        <f t="shared" si="16"/>
        <v>CAB0009</v>
      </c>
      <c r="J263" s="4" t="s">
        <v>99</v>
      </c>
      <c r="K263" s="4" t="s">
        <v>674</v>
      </c>
      <c r="N263" s="13" t="b">
        <v>0</v>
      </c>
      <c r="O263" s="13" t="b">
        <v>0</v>
      </c>
      <c r="Q263" s="14">
        <v>44477</v>
      </c>
      <c r="R263" s="4" t="s">
        <v>102</v>
      </c>
      <c r="S263" s="10">
        <v>142000</v>
      </c>
      <c r="T263" s="4" t="e">
        <f>INDEX(Employee!#REF!,MATCH(U263,Employee!#REF!,0))</f>
        <v>#REF!</v>
      </c>
      <c r="U263" s="4" t="s">
        <v>292</v>
      </c>
      <c r="V263" s="4" t="e">
        <f>INDEX(Employee!#REF!,MATCH(U263,Employee!#REF!,0))</f>
        <v>#REF!</v>
      </c>
      <c r="W263" s="4" t="e">
        <f>INDEX(Employee!#REF!,MATCH(U263,Employee!#REF!,0))</f>
        <v>#REF!</v>
      </c>
      <c r="X263" s="4" t="e">
        <f>INDEX(Employee!#REF!,MATCH(U263,Employee!#REF!,0))</f>
        <v>#REF!</v>
      </c>
      <c r="AJ263" s="4" t="str">
        <f>INDEX(Employee!C:C,MATCH(AK263,Employee!B:B,0))</f>
        <v>Phùng Thanh Huy</v>
      </c>
      <c r="AK263" s="4" t="s">
        <v>422</v>
      </c>
      <c r="AL263" s="4" t="str">
        <f>INDEX(Employee!D:D,MATCH(AK263,Employee!B:B,0))</f>
        <v>Senior Software Engineer</v>
      </c>
      <c r="AM263" s="4" t="str">
        <f>INDEX(Employee!F:F,MATCH(AK263,Employee!B:B,0))</f>
        <v>Tech</v>
      </c>
      <c r="AN263" s="4" t="str">
        <f>INDEX(Employee!H:H,MATCH(AK263,Employee!B:B,0))</f>
        <v>Đoàn Nhật Duẩn (duandn)</v>
      </c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  <c r="BR263"/>
      <c r="BS263"/>
      <c r="BT263"/>
      <c r="BU263"/>
      <c r="BV263"/>
      <c r="BW263"/>
      <c r="BX263"/>
      <c r="BY263"/>
      <c r="BZ263"/>
      <c r="CA263"/>
      <c r="CB263"/>
      <c r="CC263"/>
      <c r="CD263"/>
      <c r="CE263"/>
      <c r="CF263"/>
      <c r="CG263"/>
      <c r="CH263" s="6"/>
      <c r="CI263"/>
      <c r="CJ263"/>
      <c r="CK263"/>
      <c r="CL263"/>
      <c r="CM263"/>
      <c r="CN263"/>
      <c r="CO263"/>
      <c r="CP263"/>
      <c r="CQ263"/>
      <c r="CR263"/>
      <c r="CS263"/>
      <c r="CT263"/>
      <c r="CU263"/>
      <c r="CV263"/>
      <c r="CW263"/>
      <c r="CX263" s="6"/>
    </row>
    <row r="264" spans="1:102" s="4" customFormat="1" hidden="1">
      <c r="A264" s="3">
        <f t="shared" si="15"/>
        <v>263</v>
      </c>
      <c r="B264" s="4" t="s">
        <v>22</v>
      </c>
      <c r="C264" s="4" t="s">
        <v>3</v>
      </c>
      <c r="D264" s="4">
        <f>INDEX(Employee!E:E,MATCH(AK264,Employee!B:B,0))</f>
        <v>0</v>
      </c>
      <c r="E264" s="4" t="str">
        <f>INDEX(Employee!F:F,MATCH(AK264,Employee!B:B,0))</f>
        <v>Data</v>
      </c>
      <c r="F264" s="4">
        <f>INDEX(Employee!G:G,MATCH(AK264,Employee!B:B,0))</f>
        <v>0</v>
      </c>
      <c r="G264" s="4" t="s">
        <v>119</v>
      </c>
      <c r="I264" s="4" t="str">
        <f t="shared" si="16"/>
        <v>CAB0010</v>
      </c>
      <c r="J264" s="4" t="s">
        <v>99</v>
      </c>
      <c r="K264" s="4" t="s">
        <v>674</v>
      </c>
      <c r="N264" s="13" t="b">
        <v>0</v>
      </c>
      <c r="O264" s="13" t="b">
        <v>0</v>
      </c>
      <c r="Q264" s="14">
        <v>44617</v>
      </c>
      <c r="R264" s="4" t="s">
        <v>102</v>
      </c>
      <c r="S264" s="10">
        <v>142000</v>
      </c>
      <c r="T264" s="4" t="e">
        <f>INDEX(Employee!#REF!,MATCH(U264,Employee!#REF!,0))</f>
        <v>#REF!</v>
      </c>
      <c r="U264" s="4" t="s">
        <v>292</v>
      </c>
      <c r="V264" s="4" t="e">
        <f>INDEX(Employee!#REF!,MATCH(U264,Employee!#REF!,0))</f>
        <v>#REF!</v>
      </c>
      <c r="W264" s="4" t="e">
        <f>INDEX(Employee!#REF!,MATCH(U264,Employee!#REF!,0))</f>
        <v>#REF!</v>
      </c>
      <c r="X264" s="4" t="e">
        <f>INDEX(Employee!#REF!,MATCH(U264,Employee!#REF!,0))</f>
        <v>#REF!</v>
      </c>
      <c r="AJ264" s="4" t="str">
        <f>INDEX(Employee!C:C,MATCH(AK264,Employee!B:B,0))</f>
        <v>Nguyễn Huỳnh Thanh Phong</v>
      </c>
      <c r="AK264" s="4" t="s">
        <v>384</v>
      </c>
      <c r="AL264" s="4" t="str">
        <f>INDEX(Employee!D:D,MATCH(AK264,Employee!B:B,0))</f>
        <v>Senior Data Engineer</v>
      </c>
      <c r="AM264" s="4" t="str">
        <f>INDEX(Employee!F:F,MATCH(AK264,Employee!B:B,0))</f>
        <v>Data</v>
      </c>
      <c r="AN264" s="4" t="str">
        <f>INDEX(Employee!H:H,MATCH(AK264,Employee!B:B,0))</f>
        <v>Dương Huỳnh Nghĩa (nghiadh)</v>
      </c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  <c r="BR264"/>
      <c r="BS264"/>
      <c r="BT264"/>
      <c r="BU264"/>
      <c r="BV264"/>
      <c r="BW264"/>
      <c r="BX264"/>
      <c r="BY264"/>
      <c r="BZ264"/>
      <c r="CA264"/>
      <c r="CB264"/>
      <c r="CC264"/>
      <c r="CD264"/>
      <c r="CE264"/>
      <c r="CF264"/>
      <c r="CG264"/>
      <c r="CH264" s="6"/>
      <c r="CI264"/>
      <c r="CJ264"/>
      <c r="CK264"/>
      <c r="CL264"/>
      <c r="CM264"/>
      <c r="CN264"/>
      <c r="CO264"/>
      <c r="CP264"/>
      <c r="CQ264"/>
      <c r="CR264"/>
      <c r="CS264"/>
      <c r="CT264"/>
      <c r="CU264"/>
      <c r="CV264"/>
      <c r="CW264"/>
      <c r="CX264" s="6"/>
    </row>
    <row r="265" spans="1:102" s="4" customFormat="1" hidden="1">
      <c r="A265" s="3">
        <f t="shared" si="15"/>
        <v>264</v>
      </c>
      <c r="B265" s="4" t="s">
        <v>22</v>
      </c>
      <c r="C265" s="4" t="s">
        <v>5</v>
      </c>
      <c r="D265" s="4" t="str">
        <f>INDEX(Employee!E:E,MATCH(AK265,Employee!B:B,0))</f>
        <v>Project</v>
      </c>
      <c r="E265" s="4" t="str">
        <f>INDEX(Employee!F:F,MATCH(AK265,Employee!B:B,0))</f>
        <v>Tech</v>
      </c>
      <c r="F265" s="4" t="str">
        <f>INDEX(Employee!G:G,MATCH(AK265,Employee!B:B,0))</f>
        <v>Venture</v>
      </c>
      <c r="G265" s="4" t="s">
        <v>15</v>
      </c>
      <c r="I265" s="4" t="str">
        <f t="shared" si="16"/>
        <v>CAB0011</v>
      </c>
      <c r="J265" s="4" t="s">
        <v>99</v>
      </c>
      <c r="K265" s="4" t="s">
        <v>674</v>
      </c>
      <c r="N265" s="13" t="b">
        <v>0</v>
      </c>
      <c r="O265" s="13" t="b">
        <v>0</v>
      </c>
      <c r="Q265" s="14">
        <v>44617</v>
      </c>
      <c r="R265" s="4" t="s">
        <v>102</v>
      </c>
      <c r="S265" s="10">
        <v>142000</v>
      </c>
      <c r="T265" s="4" t="e">
        <f>INDEX(Employee!#REF!,MATCH(U265,Employee!#REF!,0))</f>
        <v>#REF!</v>
      </c>
      <c r="U265" s="4" t="s">
        <v>292</v>
      </c>
      <c r="V265" s="4" t="e">
        <f>INDEX(Employee!#REF!,MATCH(U265,Employee!#REF!,0))</f>
        <v>#REF!</v>
      </c>
      <c r="W265" s="4" t="e">
        <f>INDEX(Employee!#REF!,MATCH(U265,Employee!#REF!,0))</f>
        <v>#REF!</v>
      </c>
      <c r="X265" s="4" t="e">
        <f>INDEX(Employee!#REF!,MATCH(U265,Employee!#REF!,0))</f>
        <v>#REF!</v>
      </c>
      <c r="AJ265" s="4" t="str">
        <f>INDEX(Employee!C:C,MATCH(AK265,Employee!B:B,0))</f>
        <v>Nguyễn Hoàng Tâm</v>
      </c>
      <c r="AK265" s="4" t="s">
        <v>523</v>
      </c>
      <c r="AL265" s="4" t="str">
        <f>INDEX(Employee!D:D,MATCH(AK265,Employee!B:B,0))</f>
        <v>Senior Software Engineer</v>
      </c>
      <c r="AM265" s="4" t="str">
        <f>INDEX(Employee!F:F,MATCH(AK265,Employee!B:B,0))</f>
        <v>Tech</v>
      </c>
      <c r="AN265" s="4" t="str">
        <f>INDEX(Employee!H:H,MATCH(AK265,Employee!B:B,0))</f>
        <v>Phùng Thanh Huy (huypt3)</v>
      </c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  <c r="BR265"/>
      <c r="BS265"/>
      <c r="BT265"/>
      <c r="BU265"/>
      <c r="BV265"/>
      <c r="BW265"/>
      <c r="BX265"/>
      <c r="BY265"/>
      <c r="BZ265"/>
      <c r="CA265"/>
      <c r="CB265"/>
      <c r="CC265"/>
      <c r="CD265"/>
      <c r="CE265"/>
      <c r="CF265"/>
      <c r="CG265"/>
      <c r="CH265" s="6"/>
      <c r="CI265"/>
      <c r="CJ265"/>
      <c r="CK265"/>
      <c r="CL265"/>
      <c r="CM265"/>
      <c r="CN265"/>
      <c r="CO265"/>
      <c r="CP265"/>
      <c r="CQ265"/>
      <c r="CR265"/>
      <c r="CS265"/>
      <c r="CT265"/>
      <c r="CU265"/>
      <c r="CV265"/>
      <c r="CW265"/>
      <c r="CX265" s="6"/>
    </row>
    <row r="266" spans="1:102" s="4" customFormat="1" hidden="1">
      <c r="A266" s="3">
        <f t="shared" si="15"/>
        <v>265</v>
      </c>
      <c r="B266" s="4" t="s">
        <v>22</v>
      </c>
      <c r="C266" s="4" t="s">
        <v>3</v>
      </c>
      <c r="D266" s="4" t="str">
        <f>INDEX(Employee!E:E,MATCH(AK266,Employee!B:B,0))</f>
        <v>Undirect IT Staff</v>
      </c>
      <c r="E266" s="4" t="str">
        <f>INDEX(Employee!F:F,MATCH(AK266,Employee!B:B,0))</f>
        <v>Tech</v>
      </c>
      <c r="F266" s="4" t="str">
        <f>INDEX(Employee!G:G,MATCH(AK266,Employee!B:B,0))</f>
        <v>Odoo</v>
      </c>
      <c r="G266" s="4" t="s">
        <v>15</v>
      </c>
      <c r="I266" s="4" t="str">
        <f t="shared" si="16"/>
        <v>CAB0012</v>
      </c>
      <c r="J266" s="4" t="s">
        <v>99</v>
      </c>
      <c r="K266" s="4" t="s">
        <v>674</v>
      </c>
      <c r="N266" s="13" t="b">
        <v>0</v>
      </c>
      <c r="O266" s="13" t="b">
        <v>0</v>
      </c>
      <c r="Q266" s="14">
        <v>44617</v>
      </c>
      <c r="R266" s="4" t="s">
        <v>102</v>
      </c>
      <c r="S266" s="10">
        <v>142000</v>
      </c>
      <c r="T266" s="4" t="e">
        <f>INDEX(Employee!#REF!,MATCH(U266,Employee!#REF!,0))</f>
        <v>#REF!</v>
      </c>
      <c r="U266" s="4" t="s">
        <v>292</v>
      </c>
      <c r="V266" s="4" t="e">
        <f>INDEX(Employee!#REF!,MATCH(U266,Employee!#REF!,0))</f>
        <v>#REF!</v>
      </c>
      <c r="W266" s="4" t="e">
        <f>INDEX(Employee!#REF!,MATCH(U266,Employee!#REF!,0))</f>
        <v>#REF!</v>
      </c>
      <c r="X266" s="4" t="e">
        <f>INDEX(Employee!#REF!,MATCH(U266,Employee!#REF!,0))</f>
        <v>#REF!</v>
      </c>
      <c r="AJ266" s="4" t="str">
        <f>INDEX(Employee!C:C,MATCH(AK266,Employee!B:B,0))</f>
        <v>Nguyễn Ngọc Trinh</v>
      </c>
      <c r="AK266" s="4" t="s">
        <v>457</v>
      </c>
      <c r="AL266" s="4" t="str">
        <f>INDEX(Employee!D:D,MATCH(AK266,Employee!B:B,0))</f>
        <v>Fresher QC Engineer</v>
      </c>
      <c r="AM266" s="4" t="str">
        <f>INDEX(Employee!F:F,MATCH(AK266,Employee!B:B,0))</f>
        <v>Tech</v>
      </c>
      <c r="AN266" s="4" t="str">
        <f>INDEX(Employee!H:H,MATCH(AK266,Employee!B:B,0))</f>
        <v>Dương Phạm Thành Công (congdpt)</v>
      </c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  <c r="BR266"/>
      <c r="BS266"/>
      <c r="BT266"/>
      <c r="BU266"/>
      <c r="BV266"/>
      <c r="BW266"/>
      <c r="BX266"/>
      <c r="BY266"/>
      <c r="BZ266"/>
      <c r="CA266"/>
      <c r="CB266"/>
      <c r="CC266"/>
      <c r="CD266"/>
      <c r="CE266"/>
      <c r="CF266"/>
      <c r="CG266"/>
      <c r="CH266" s="6"/>
      <c r="CI266"/>
      <c r="CJ266"/>
      <c r="CK266"/>
      <c r="CL266"/>
      <c r="CM266"/>
      <c r="CN266"/>
      <c r="CO266"/>
      <c r="CP266"/>
      <c r="CQ266"/>
      <c r="CR266"/>
      <c r="CS266"/>
      <c r="CT266"/>
      <c r="CU266"/>
      <c r="CV266"/>
      <c r="CW266"/>
      <c r="CX266" s="6"/>
    </row>
    <row r="267" spans="1:102" s="4" customFormat="1" hidden="1">
      <c r="A267" s="3">
        <f t="shared" si="15"/>
        <v>266</v>
      </c>
      <c r="B267" s="4" t="s">
        <v>22</v>
      </c>
      <c r="C267" s="4" t="s">
        <v>3</v>
      </c>
      <c r="D267" s="4">
        <f>INDEX(Employee!E:E,MATCH(AK267,Employee!B:B,0))</f>
        <v>0</v>
      </c>
      <c r="E267" s="4" t="str">
        <f>INDEX(Employee!F:F,MATCH(AK267,Employee!B:B,0))</f>
        <v>OP</v>
      </c>
      <c r="F267" s="4">
        <f>INDEX(Employee!G:G,MATCH(AK267,Employee!B:B,0))</f>
        <v>0</v>
      </c>
      <c r="G267" s="4" t="s">
        <v>119</v>
      </c>
      <c r="I267" s="4" t="str">
        <f t="shared" si="16"/>
        <v>CAB0013</v>
      </c>
      <c r="J267" s="4" t="s">
        <v>99</v>
      </c>
      <c r="K267" s="4" t="s">
        <v>674</v>
      </c>
      <c r="N267" s="13" t="b">
        <v>0</v>
      </c>
      <c r="O267" s="13" t="b">
        <v>0</v>
      </c>
      <c r="Q267" s="14">
        <v>44638</v>
      </c>
      <c r="R267" s="4" t="s">
        <v>102</v>
      </c>
      <c r="S267" s="10">
        <v>142000</v>
      </c>
      <c r="T267" s="4" t="e">
        <f>INDEX(Employee!#REF!,MATCH(U267,Employee!#REF!,0))</f>
        <v>#REF!</v>
      </c>
      <c r="U267" s="4" t="s">
        <v>292</v>
      </c>
      <c r="V267" s="4" t="e">
        <f>INDEX(Employee!#REF!,MATCH(U267,Employee!#REF!,0))</f>
        <v>#REF!</v>
      </c>
      <c r="W267" s="4" t="e">
        <f>INDEX(Employee!#REF!,MATCH(U267,Employee!#REF!,0))</f>
        <v>#REF!</v>
      </c>
      <c r="X267" s="4" t="e">
        <f>INDEX(Employee!#REF!,MATCH(U267,Employee!#REF!,0))</f>
        <v>#REF!</v>
      </c>
      <c r="AJ267" s="4" t="str">
        <f>INDEX(Employee!C:C,MATCH(AK267,Employee!B:B,0))</f>
        <v>Nguyễn Cao Bách</v>
      </c>
      <c r="AK267" s="4" t="s">
        <v>258</v>
      </c>
      <c r="AL267" s="4" t="str">
        <f>INDEX(Employee!D:D,MATCH(AK267,Employee!B:B,0))</f>
        <v>Site Reliability Engineer</v>
      </c>
      <c r="AM267" s="4" t="str">
        <f>INDEX(Employee!F:F,MATCH(AK267,Employee!B:B,0))</f>
        <v>OP</v>
      </c>
      <c r="AN267" s="4" t="str">
        <f>INDEX(Employee!H:H,MATCH(AK267,Employee!B:B,0))</f>
        <v>Trần Triệu Dương (duongtt5)</v>
      </c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  <c r="BR267"/>
      <c r="BS267"/>
      <c r="BT267"/>
      <c r="BU267"/>
      <c r="BV267"/>
      <c r="BW267"/>
      <c r="BX267"/>
      <c r="BY267"/>
      <c r="BZ267"/>
      <c r="CA267"/>
      <c r="CB267"/>
      <c r="CC267"/>
      <c r="CD267"/>
      <c r="CE267"/>
      <c r="CF267"/>
      <c r="CG267"/>
      <c r="CH267" s="6"/>
      <c r="CI267"/>
      <c r="CJ267"/>
      <c r="CK267"/>
      <c r="CL267"/>
      <c r="CM267"/>
      <c r="CN267"/>
      <c r="CO267"/>
      <c r="CP267"/>
      <c r="CQ267"/>
      <c r="CR267"/>
      <c r="CS267"/>
      <c r="CT267"/>
      <c r="CU267"/>
      <c r="CV267"/>
      <c r="CW267"/>
      <c r="CX267" s="6"/>
    </row>
    <row r="268" spans="1:102" s="4" customFormat="1" hidden="1">
      <c r="A268" s="3">
        <f t="shared" si="15"/>
        <v>267</v>
      </c>
      <c r="B268" s="4" t="s">
        <v>22</v>
      </c>
      <c r="C268" s="4" t="s">
        <v>4</v>
      </c>
      <c r="D268" s="4" t="e">
        <f>INDEX(Employee!E:E,MATCH(AK268,Employee!B:B,0))</f>
        <v>#N/A</v>
      </c>
      <c r="E268" s="4" t="e">
        <f>INDEX(Employee!F:F,MATCH(AK268,Employee!B:B,0))</f>
        <v>#N/A</v>
      </c>
      <c r="F268" s="4" t="e">
        <f>INDEX(Employee!G:G,MATCH(AK268,Employee!B:B,0))</f>
        <v>#N/A</v>
      </c>
      <c r="G268" s="4" t="s">
        <v>15</v>
      </c>
      <c r="I268" s="4" t="str">
        <f t="shared" si="16"/>
        <v>CAB0014</v>
      </c>
      <c r="J268" s="4" t="s">
        <v>99</v>
      </c>
      <c r="K268" s="4" t="s">
        <v>674</v>
      </c>
      <c r="N268" s="13" t="b">
        <v>0</v>
      </c>
      <c r="O268" s="13" t="b">
        <v>0</v>
      </c>
      <c r="Q268" s="14">
        <v>44638</v>
      </c>
      <c r="R268" s="4" t="s">
        <v>102</v>
      </c>
      <c r="S268" s="10">
        <v>142000</v>
      </c>
      <c r="T268" s="4" t="e">
        <f>INDEX(Employee!#REF!,MATCH(U268,Employee!#REF!,0))</f>
        <v>#REF!</v>
      </c>
      <c r="U268" s="4" t="s">
        <v>292</v>
      </c>
      <c r="V268" s="4" t="e">
        <f>INDEX(Employee!#REF!,MATCH(U268,Employee!#REF!,0))</f>
        <v>#REF!</v>
      </c>
      <c r="W268" s="4" t="e">
        <f>INDEX(Employee!#REF!,MATCH(U268,Employee!#REF!,0))</f>
        <v>#REF!</v>
      </c>
      <c r="X268" s="4" t="e">
        <f>INDEX(Employee!#REF!,MATCH(U268,Employee!#REF!,0))</f>
        <v>#REF!</v>
      </c>
      <c r="AJ268" s="4" t="e">
        <f>INDEX(Employee!C:C,MATCH(AK268,Employee!B:B,0))</f>
        <v>#N/A</v>
      </c>
      <c r="AL268" s="4" t="e">
        <f>INDEX(Employee!D:D,MATCH(AK268,Employee!B:B,0))</f>
        <v>#N/A</v>
      </c>
      <c r="AM268" s="4" t="e">
        <f>INDEX(Employee!F:F,MATCH(AK268,Employee!B:B,0))</f>
        <v>#N/A</v>
      </c>
      <c r="AN268" s="4" t="e">
        <f>INDEX(Employee!H:H,MATCH(AK268,Employee!B:B,0))</f>
        <v>#N/A</v>
      </c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/>
      <c r="BK268"/>
      <c r="BL268"/>
      <c r="BM268"/>
      <c r="BN268"/>
      <c r="BO268"/>
      <c r="BP268"/>
      <c r="BQ268"/>
      <c r="BR268"/>
      <c r="BS268"/>
      <c r="BT268"/>
      <c r="BU268"/>
      <c r="BV268"/>
      <c r="BW268"/>
      <c r="BX268"/>
      <c r="BY268"/>
      <c r="BZ268"/>
      <c r="CA268"/>
      <c r="CB268"/>
      <c r="CC268"/>
      <c r="CD268"/>
      <c r="CE268"/>
      <c r="CF268"/>
      <c r="CG268"/>
      <c r="CH268" s="6"/>
      <c r="CI268"/>
      <c r="CJ268"/>
      <c r="CK268"/>
      <c r="CL268"/>
      <c r="CM268"/>
      <c r="CN268"/>
      <c r="CO268"/>
      <c r="CP268"/>
      <c r="CQ268"/>
      <c r="CR268"/>
      <c r="CS268"/>
      <c r="CT268"/>
      <c r="CU268"/>
      <c r="CV268"/>
      <c r="CW268"/>
      <c r="CX268" s="6"/>
    </row>
    <row r="269" spans="1:102" s="4" customFormat="1" hidden="1">
      <c r="A269" s="3">
        <f t="shared" si="15"/>
        <v>268</v>
      </c>
      <c r="B269" s="4" t="s">
        <v>22</v>
      </c>
      <c r="C269" s="4" t="s">
        <v>3</v>
      </c>
      <c r="D269" s="4" t="str">
        <f>INDEX(Employee!E:E,MATCH(AK269,Employee!B:B,0))</f>
        <v>Undirect IT Staff</v>
      </c>
      <c r="E269" s="4" t="str">
        <f>INDEX(Employee!F:F,MATCH(AK269,Employee!B:B,0))</f>
        <v>Tech</v>
      </c>
      <c r="F269" s="4" t="str">
        <f>INDEX(Employee!G:G,MATCH(AK269,Employee!B:B,0))</f>
        <v>Odoo</v>
      </c>
      <c r="G269" s="4" t="s">
        <v>15</v>
      </c>
      <c r="I269" s="4" t="str">
        <f t="shared" si="16"/>
        <v>CAB0015</v>
      </c>
      <c r="J269" s="4" t="s">
        <v>99</v>
      </c>
      <c r="K269" s="4" t="s">
        <v>674</v>
      </c>
      <c r="N269" s="13" t="b">
        <v>0</v>
      </c>
      <c r="O269" s="13" t="b">
        <v>0</v>
      </c>
      <c r="Q269" s="14">
        <v>44645</v>
      </c>
      <c r="R269" s="4" t="s">
        <v>102</v>
      </c>
      <c r="S269" s="10">
        <v>142000</v>
      </c>
      <c r="T269" s="4" t="e">
        <f>INDEX(Employee!#REF!,MATCH(U269,Employee!#REF!,0))</f>
        <v>#REF!</v>
      </c>
      <c r="U269" s="4" t="s">
        <v>292</v>
      </c>
      <c r="V269" s="4" t="e">
        <f>INDEX(Employee!#REF!,MATCH(U269,Employee!#REF!,0))</f>
        <v>#REF!</v>
      </c>
      <c r="W269" s="4" t="e">
        <f>INDEX(Employee!#REF!,MATCH(U269,Employee!#REF!,0))</f>
        <v>#REF!</v>
      </c>
      <c r="X269" s="4" t="e">
        <f>INDEX(Employee!#REF!,MATCH(U269,Employee!#REF!,0))</f>
        <v>#REF!</v>
      </c>
      <c r="AJ269" s="4" t="str">
        <f>INDEX(Employee!C:C,MATCH(AK269,Employee!B:B,0))</f>
        <v>Nguyễn Quốc Trung</v>
      </c>
      <c r="AK269" s="4" t="s">
        <v>496</v>
      </c>
      <c r="AL269" s="4" t="str">
        <f>INDEX(Employee!D:D,MATCH(AK269,Employee!B:B,0))</f>
        <v>Fresher Software Engineer</v>
      </c>
      <c r="AM269" s="4" t="str">
        <f>INDEX(Employee!F:F,MATCH(AK269,Employee!B:B,0))</f>
        <v>Tech</v>
      </c>
      <c r="AN269" s="4" t="str">
        <f>INDEX(Employee!H:H,MATCH(AK269,Employee!B:B,0))</f>
        <v>Dương Phạm Thành Công (congdpt)</v>
      </c>
      <c r="AS269" s="4" t="s">
        <v>268</v>
      </c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  <c r="BR269"/>
      <c r="BS269"/>
      <c r="BT269"/>
      <c r="BU269"/>
      <c r="BV269"/>
      <c r="BW269"/>
      <c r="BX269"/>
      <c r="BY269"/>
      <c r="BZ269"/>
      <c r="CA269"/>
      <c r="CB269"/>
      <c r="CC269"/>
      <c r="CD269"/>
      <c r="CE269"/>
      <c r="CF269"/>
      <c r="CG269"/>
      <c r="CH269" s="6"/>
      <c r="CI269"/>
      <c r="CJ269"/>
      <c r="CK269"/>
      <c r="CL269"/>
      <c r="CM269"/>
      <c r="CN269"/>
      <c r="CO269"/>
      <c r="CP269"/>
      <c r="CQ269"/>
      <c r="CR269"/>
      <c r="CS269"/>
      <c r="CT269"/>
      <c r="CU269"/>
      <c r="CV269"/>
      <c r="CW269"/>
      <c r="CX269" s="6"/>
    </row>
    <row r="270" spans="1:102" s="4" customFormat="1" hidden="1">
      <c r="A270" s="3">
        <f t="shared" si="15"/>
        <v>269</v>
      </c>
      <c r="B270" s="4" t="s">
        <v>22</v>
      </c>
      <c r="C270" s="4" t="s">
        <v>4</v>
      </c>
      <c r="D270" s="4" t="e">
        <f>INDEX(Employee!E:E,MATCH(AK270,Employee!B:B,0))</f>
        <v>#N/A</v>
      </c>
      <c r="E270" s="4" t="e">
        <f>INDEX(Employee!F:F,MATCH(AK270,Employee!B:B,0))</f>
        <v>#N/A</v>
      </c>
      <c r="F270" s="4" t="e">
        <f>INDEX(Employee!G:G,MATCH(AK270,Employee!B:B,0))</f>
        <v>#N/A</v>
      </c>
      <c r="G270" s="4" t="s">
        <v>15</v>
      </c>
      <c r="H270" s="4" t="s">
        <v>676</v>
      </c>
      <c r="I270" s="4" t="str">
        <f t="shared" si="16"/>
        <v>CAB0016</v>
      </c>
      <c r="J270" s="4" t="s">
        <v>99</v>
      </c>
      <c r="K270" s="4" t="s">
        <v>674</v>
      </c>
      <c r="N270" s="13" t="b">
        <v>0</v>
      </c>
      <c r="O270" s="13" t="b">
        <v>0</v>
      </c>
      <c r="Q270" s="14">
        <v>44701</v>
      </c>
      <c r="R270" s="4" t="s">
        <v>102</v>
      </c>
      <c r="S270" s="10">
        <v>142000</v>
      </c>
      <c r="T270" s="4" t="e">
        <f>INDEX(Employee!#REF!,MATCH(U270,Employee!#REF!,0))</f>
        <v>#REF!</v>
      </c>
      <c r="U270" s="4" t="s">
        <v>292</v>
      </c>
      <c r="V270" s="4" t="e">
        <f>INDEX(Employee!#REF!,MATCH(U270,Employee!#REF!,0))</f>
        <v>#REF!</v>
      </c>
      <c r="W270" s="4" t="e">
        <f>INDEX(Employee!#REF!,MATCH(U270,Employee!#REF!,0))</f>
        <v>#REF!</v>
      </c>
      <c r="X270" s="4" t="e">
        <f>INDEX(Employee!#REF!,MATCH(U270,Employee!#REF!,0))</f>
        <v>#REF!</v>
      </c>
      <c r="AJ270" s="4" t="e">
        <f>INDEX(Employee!C:C,MATCH(AK270,Employee!B:B,0))</f>
        <v>#N/A</v>
      </c>
      <c r="AL270" s="4" t="e">
        <f>INDEX(Employee!D:D,MATCH(AK270,Employee!B:B,0))</f>
        <v>#N/A</v>
      </c>
      <c r="AM270" s="4" t="e">
        <f>INDEX(Employee!F:F,MATCH(AK270,Employee!B:B,0))</f>
        <v>#N/A</v>
      </c>
      <c r="AN270" s="4" t="e">
        <f>INDEX(Employee!H:H,MATCH(AK270,Employee!B:B,0))</f>
        <v>#N/A</v>
      </c>
      <c r="AT270"/>
      <c r="AU270"/>
      <c r="AV270"/>
      <c r="AW270"/>
      <c r="AX270"/>
      <c r="AY270"/>
      <c r="AZ270"/>
      <c r="BA270"/>
      <c r="BB270"/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Q270"/>
      <c r="BR270"/>
      <c r="BS270"/>
      <c r="BT270"/>
      <c r="BU270"/>
      <c r="BV270"/>
      <c r="BW270"/>
      <c r="BX270"/>
      <c r="BY270"/>
      <c r="BZ270"/>
      <c r="CA270"/>
      <c r="CB270"/>
      <c r="CC270"/>
      <c r="CD270"/>
      <c r="CE270"/>
      <c r="CF270"/>
      <c r="CG270"/>
      <c r="CH270" s="6"/>
      <c r="CI270"/>
      <c r="CJ270"/>
      <c r="CK270"/>
      <c r="CL270"/>
      <c r="CM270"/>
      <c r="CN270"/>
      <c r="CO270"/>
      <c r="CP270"/>
      <c r="CQ270"/>
      <c r="CR270"/>
      <c r="CS270"/>
      <c r="CT270"/>
      <c r="CU270"/>
      <c r="CV270"/>
      <c r="CW270"/>
      <c r="CX270" s="6"/>
    </row>
    <row r="271" spans="1:102" s="4" customFormat="1" hidden="1">
      <c r="A271" s="3">
        <f t="shared" si="15"/>
        <v>270</v>
      </c>
      <c r="B271" s="4" t="s">
        <v>22</v>
      </c>
      <c r="C271" s="4" t="s">
        <v>3</v>
      </c>
      <c r="D271" s="4">
        <f>INDEX(Employee!E:E,MATCH(AK271,Employee!B:B,0))</f>
        <v>0</v>
      </c>
      <c r="E271" s="4" t="str">
        <f>INDEX(Employee!F:F,MATCH(AK271,Employee!B:B,0))</f>
        <v>OP</v>
      </c>
      <c r="F271" s="4">
        <f>INDEX(Employee!G:G,MATCH(AK271,Employee!B:B,0))</f>
        <v>0</v>
      </c>
      <c r="G271" s="4" t="s">
        <v>119</v>
      </c>
      <c r="I271" s="4" t="str">
        <f t="shared" si="16"/>
        <v>CAB0017</v>
      </c>
      <c r="J271" s="4" t="s">
        <v>99</v>
      </c>
      <c r="K271" s="4" t="s">
        <v>674</v>
      </c>
      <c r="N271" s="13" t="b">
        <v>0</v>
      </c>
      <c r="O271" s="13" t="b">
        <v>0</v>
      </c>
      <c r="Q271" s="14">
        <v>44701</v>
      </c>
      <c r="R271" s="4" t="s">
        <v>102</v>
      </c>
      <c r="S271" s="10">
        <v>142000</v>
      </c>
      <c r="T271" s="4" t="e">
        <f>INDEX(Employee!#REF!,MATCH(U271,Employee!#REF!,0))</f>
        <v>#REF!</v>
      </c>
      <c r="U271" s="4" t="s">
        <v>292</v>
      </c>
      <c r="V271" s="4" t="e">
        <f>INDEX(Employee!#REF!,MATCH(U271,Employee!#REF!,0))</f>
        <v>#REF!</v>
      </c>
      <c r="W271" s="4" t="e">
        <f>INDEX(Employee!#REF!,MATCH(U271,Employee!#REF!,0))</f>
        <v>#REF!</v>
      </c>
      <c r="X271" s="4" t="e">
        <f>INDEX(Employee!#REF!,MATCH(U271,Employee!#REF!,0))</f>
        <v>#REF!</v>
      </c>
      <c r="AJ271" s="4" t="str">
        <f>INDEX(Employee!C:C,MATCH(AK271,Employee!B:B,0))</f>
        <v>Nguyễn Thị Việt Hà</v>
      </c>
      <c r="AK271" s="4" t="s">
        <v>470</v>
      </c>
      <c r="AL271" s="4" t="str">
        <f>INDEX(Employee!D:D,MATCH(AK271,Employee!B:B,0))</f>
        <v>Incident Manager</v>
      </c>
      <c r="AM271" s="4" t="str">
        <f>INDEX(Employee!F:F,MATCH(AK271,Employee!B:B,0))</f>
        <v>OP</v>
      </c>
      <c r="AN271" s="4" t="str">
        <f>INDEX(Employee!H:H,MATCH(AK271,Employee!B:B,0))</f>
        <v>Chu Văn Toàn (ToanCV)</v>
      </c>
      <c r="AT271"/>
      <c r="AU271"/>
      <c r="AV271"/>
      <c r="AW271"/>
      <c r="AX271"/>
      <c r="AY271"/>
      <c r="AZ271"/>
      <c r="BA271"/>
      <c r="BB271"/>
      <c r="BC271"/>
      <c r="BD271"/>
      <c r="BE271"/>
      <c r="BF271"/>
      <c r="BG271"/>
      <c r="BH271"/>
      <c r="BI271"/>
      <c r="BJ271"/>
      <c r="BK271"/>
      <c r="BL271"/>
      <c r="BM271"/>
      <c r="BN271"/>
      <c r="BO271"/>
      <c r="BP271"/>
      <c r="BQ271"/>
      <c r="BR271"/>
      <c r="BS271"/>
      <c r="BT271"/>
      <c r="BU271"/>
      <c r="BV271"/>
      <c r="BW271"/>
      <c r="BX271"/>
      <c r="BY271"/>
      <c r="BZ271"/>
      <c r="CA271"/>
      <c r="CB271"/>
      <c r="CC271"/>
      <c r="CD271"/>
      <c r="CE271"/>
      <c r="CF271"/>
      <c r="CG271"/>
      <c r="CH271" s="6"/>
      <c r="CI271"/>
      <c r="CJ271"/>
      <c r="CK271"/>
      <c r="CL271"/>
      <c r="CM271"/>
      <c r="CN271"/>
      <c r="CO271"/>
      <c r="CP271"/>
      <c r="CQ271"/>
      <c r="CR271"/>
      <c r="CS271"/>
      <c r="CT271"/>
      <c r="CU271"/>
      <c r="CV271"/>
      <c r="CW271"/>
      <c r="CX271" s="6"/>
    </row>
    <row r="272" spans="1:102" s="4" customFormat="1" hidden="1">
      <c r="A272" s="3">
        <f t="shared" si="15"/>
        <v>271</v>
      </c>
      <c r="B272" s="4" t="s">
        <v>22</v>
      </c>
      <c r="C272" s="4" t="s">
        <v>3</v>
      </c>
      <c r="D272" s="4">
        <f>INDEX(Employee!E:E,MATCH(AK272,Employee!B:B,0))</f>
        <v>0</v>
      </c>
      <c r="E272" s="4" t="str">
        <f>INDEX(Employee!F:F,MATCH(AK272,Employee!B:B,0))</f>
        <v>COO</v>
      </c>
      <c r="F272" s="4">
        <f>INDEX(Employee!G:G,MATCH(AK272,Employee!B:B,0))</f>
        <v>0</v>
      </c>
      <c r="G272" s="4" t="s">
        <v>119</v>
      </c>
      <c r="I272" s="4" t="str">
        <f t="shared" si="16"/>
        <v>CAB0018</v>
      </c>
      <c r="J272" s="4" t="s">
        <v>99</v>
      </c>
      <c r="K272" s="4" t="s">
        <v>674</v>
      </c>
      <c r="N272" s="13" t="b">
        <v>0</v>
      </c>
      <c r="O272" s="13" t="b">
        <v>0</v>
      </c>
      <c r="Q272" s="14">
        <v>44701</v>
      </c>
      <c r="R272" s="4" t="s">
        <v>102</v>
      </c>
      <c r="S272" s="10">
        <v>142000</v>
      </c>
      <c r="T272" s="4" t="e">
        <f>INDEX(Employee!#REF!,MATCH(U272,Employee!#REF!,0))</f>
        <v>#REF!</v>
      </c>
      <c r="U272" s="4" t="s">
        <v>292</v>
      </c>
      <c r="V272" s="4" t="e">
        <f>INDEX(Employee!#REF!,MATCH(U272,Employee!#REF!,0))</f>
        <v>#REF!</v>
      </c>
      <c r="W272" s="4" t="e">
        <f>INDEX(Employee!#REF!,MATCH(U272,Employee!#REF!,0))</f>
        <v>#REF!</v>
      </c>
      <c r="X272" s="4" t="e">
        <f>INDEX(Employee!#REF!,MATCH(U272,Employee!#REF!,0))</f>
        <v>#REF!</v>
      </c>
      <c r="AJ272" s="4" t="str">
        <f>INDEX(Employee!C:C,MATCH(AK272,Employee!B:B,0))</f>
        <v>Trần Triệu Dương</v>
      </c>
      <c r="AK272" s="4" t="s">
        <v>397</v>
      </c>
      <c r="AL272" s="4" t="str">
        <f>INDEX(Employee!D:D,MATCH(AK272,Employee!B:B,0))</f>
        <v>COO</v>
      </c>
      <c r="AM272" s="4" t="str">
        <f>INDEX(Employee!F:F,MATCH(AK272,Employee!B:B,0))</f>
        <v>COO</v>
      </c>
      <c r="AN272" s="4" t="str">
        <f>INDEX(Employee!H:H,MATCH(AK272,Employee!B:B,0))</f>
        <v>Aleksandar Jelic (jelica)</v>
      </c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  <c r="BR272"/>
      <c r="BS272"/>
      <c r="BT272"/>
      <c r="BU272"/>
      <c r="BV272"/>
      <c r="BW272"/>
      <c r="BX272"/>
      <c r="BY272"/>
      <c r="BZ272"/>
      <c r="CA272"/>
      <c r="CB272"/>
      <c r="CC272"/>
      <c r="CD272"/>
      <c r="CE272"/>
      <c r="CF272"/>
      <c r="CG272"/>
      <c r="CH272" s="6"/>
      <c r="CI272"/>
      <c r="CJ272"/>
      <c r="CK272"/>
      <c r="CL272"/>
      <c r="CM272"/>
      <c r="CN272"/>
      <c r="CO272"/>
      <c r="CP272"/>
      <c r="CQ272"/>
      <c r="CR272"/>
      <c r="CS272"/>
      <c r="CT272"/>
      <c r="CU272"/>
      <c r="CV272"/>
      <c r="CW272"/>
      <c r="CX272" s="6"/>
    </row>
    <row r="273" spans="1:102" s="4" customFormat="1" hidden="1">
      <c r="A273" s="3">
        <f t="shared" si="15"/>
        <v>272</v>
      </c>
      <c r="B273" s="4" t="s">
        <v>22</v>
      </c>
      <c r="C273" s="4" t="s">
        <v>3</v>
      </c>
      <c r="D273" s="4">
        <f>INDEX(Employee!E:E,MATCH(AK273,Employee!B:B,0))</f>
        <v>0</v>
      </c>
      <c r="E273" s="4" t="str">
        <f>INDEX(Employee!F:F,MATCH(AK273,Employee!B:B,0))</f>
        <v>Tech</v>
      </c>
      <c r="F273" s="4">
        <f>INDEX(Employee!G:G,MATCH(AK273,Employee!B:B,0))</f>
        <v>0</v>
      </c>
      <c r="G273" s="4" t="s">
        <v>119</v>
      </c>
      <c r="I273" s="4" t="str">
        <f t="shared" si="16"/>
        <v>CAB0019</v>
      </c>
      <c r="J273" s="4" t="s">
        <v>99</v>
      </c>
      <c r="K273" s="4" t="s">
        <v>674</v>
      </c>
      <c r="N273" s="13" t="b">
        <v>0</v>
      </c>
      <c r="O273" s="13" t="b">
        <v>0</v>
      </c>
      <c r="Q273" s="14">
        <v>44748</v>
      </c>
      <c r="R273" s="4" t="s">
        <v>102</v>
      </c>
      <c r="S273" s="10">
        <v>184000</v>
      </c>
      <c r="T273" s="4" t="e">
        <f>INDEX(Employee!#REF!,MATCH(U273,Employee!#REF!,0))</f>
        <v>#REF!</v>
      </c>
      <c r="U273" s="4" t="s">
        <v>292</v>
      </c>
      <c r="V273" s="4" t="e">
        <f>INDEX(Employee!#REF!,MATCH(U273,Employee!#REF!,0))</f>
        <v>#REF!</v>
      </c>
      <c r="W273" s="4" t="e">
        <f>INDEX(Employee!#REF!,MATCH(U273,Employee!#REF!,0))</f>
        <v>#REF!</v>
      </c>
      <c r="X273" s="4" t="e">
        <f>INDEX(Employee!#REF!,MATCH(U273,Employee!#REF!,0))</f>
        <v>#REF!</v>
      </c>
      <c r="AJ273" s="4" t="str">
        <f>INDEX(Employee!C:C,MATCH(AK273,Employee!B:B,0))</f>
        <v>Nguyễn Văn Lân</v>
      </c>
      <c r="AK273" s="4" t="s">
        <v>536</v>
      </c>
      <c r="AL273" s="4" t="str">
        <f>INDEX(Employee!D:D,MATCH(AK273,Employee!B:B,0))</f>
        <v>Software Engineer</v>
      </c>
      <c r="AM273" s="4" t="str">
        <f>INDEX(Employee!F:F,MATCH(AK273,Employee!B:B,0))</f>
        <v>Tech</v>
      </c>
      <c r="AN273" s="4" t="str">
        <f>INDEX(Employee!H:H,MATCH(AK273,Employee!B:B,0))</f>
        <v>Trần Triệu Dương (duongtt5)</v>
      </c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  <c r="BR273"/>
      <c r="BS273"/>
      <c r="BT273"/>
      <c r="BU273"/>
      <c r="BV273"/>
      <c r="BW273"/>
      <c r="BX273"/>
      <c r="BY273"/>
      <c r="BZ273"/>
      <c r="CA273"/>
      <c r="CB273"/>
      <c r="CC273"/>
      <c r="CD273"/>
      <c r="CE273"/>
      <c r="CF273"/>
      <c r="CG273"/>
      <c r="CH273" s="6"/>
      <c r="CI273"/>
      <c r="CJ273"/>
      <c r="CK273"/>
      <c r="CL273"/>
      <c r="CM273"/>
      <c r="CN273"/>
      <c r="CO273"/>
      <c r="CP273"/>
      <c r="CQ273"/>
      <c r="CR273"/>
      <c r="CS273"/>
      <c r="CT273"/>
      <c r="CU273"/>
      <c r="CV273"/>
      <c r="CW273"/>
      <c r="CX273" s="6"/>
    </row>
    <row r="274" spans="1:102" s="4" customFormat="1" hidden="1">
      <c r="A274" s="3">
        <f t="shared" si="15"/>
        <v>273</v>
      </c>
      <c r="B274" s="4" t="s">
        <v>22</v>
      </c>
      <c r="C274" s="4" t="s">
        <v>3</v>
      </c>
      <c r="D274" s="4">
        <f>INDEX(Employee!E:E,MATCH(AK274,Employee!B:B,0))</f>
        <v>0</v>
      </c>
      <c r="E274" s="4" t="str">
        <f>INDEX(Employee!F:F,MATCH(AK274,Employee!B:B,0))</f>
        <v>OP</v>
      </c>
      <c r="F274" s="4">
        <f>INDEX(Employee!G:G,MATCH(AK274,Employee!B:B,0))</f>
        <v>0</v>
      </c>
      <c r="G274" s="4" t="s">
        <v>119</v>
      </c>
      <c r="I274" s="4" t="str">
        <f t="shared" si="16"/>
        <v>CAB0020</v>
      </c>
      <c r="J274" s="4" t="s">
        <v>99</v>
      </c>
      <c r="K274" s="4" t="s">
        <v>674</v>
      </c>
      <c r="N274" s="13" t="b">
        <v>0</v>
      </c>
      <c r="O274" s="13" t="b">
        <v>0</v>
      </c>
      <c r="Q274" s="14">
        <v>44748</v>
      </c>
      <c r="R274" s="4" t="s">
        <v>102</v>
      </c>
      <c r="S274" s="10">
        <v>184000</v>
      </c>
      <c r="T274" s="4" t="e">
        <f>INDEX(Employee!#REF!,MATCH(U274,Employee!#REF!,0))</f>
        <v>#REF!</v>
      </c>
      <c r="U274" s="4" t="s">
        <v>292</v>
      </c>
      <c r="V274" s="4" t="e">
        <f>INDEX(Employee!#REF!,MATCH(U274,Employee!#REF!,0))</f>
        <v>#REF!</v>
      </c>
      <c r="W274" s="4" t="e">
        <f>INDEX(Employee!#REF!,MATCH(U274,Employee!#REF!,0))</f>
        <v>#REF!</v>
      </c>
      <c r="X274" s="4" t="e">
        <f>INDEX(Employee!#REF!,MATCH(U274,Employee!#REF!,0))</f>
        <v>#REF!</v>
      </c>
      <c r="AJ274" s="4" t="str">
        <f>INDEX(Employee!C:C,MATCH(AK274,Employee!B:B,0))</f>
        <v>Nguyễn Thành Trung</v>
      </c>
      <c r="AK274" s="4" t="s">
        <v>503</v>
      </c>
      <c r="AL274" s="4" t="str">
        <f>INDEX(Employee!D:D,MATCH(AK274,Employee!B:B,0))</f>
        <v>IT Service Management Specialist II</v>
      </c>
      <c r="AM274" s="4" t="str">
        <f>INDEX(Employee!F:F,MATCH(AK274,Employee!B:B,0))</f>
        <v>OP</v>
      </c>
      <c r="AN274" s="4" t="str">
        <f>INDEX(Employee!H:H,MATCH(AK274,Employee!B:B,0))</f>
        <v>Chu Văn Toàn (ToanCV)</v>
      </c>
      <c r="AT274"/>
      <c r="AU274"/>
      <c r="AV274"/>
      <c r="AW274"/>
      <c r="AX274"/>
      <c r="AY274"/>
      <c r="AZ274"/>
      <c r="BA274"/>
      <c r="BB274"/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Q274"/>
      <c r="BR274"/>
      <c r="BS274"/>
      <c r="BT274"/>
      <c r="BU274"/>
      <c r="BV274"/>
      <c r="BW274"/>
      <c r="BX274"/>
      <c r="BY274"/>
      <c r="BZ274"/>
      <c r="CA274"/>
      <c r="CB274"/>
      <c r="CC274"/>
      <c r="CD274"/>
      <c r="CE274"/>
      <c r="CF274"/>
      <c r="CG274"/>
      <c r="CH274" s="6"/>
      <c r="CI274"/>
      <c r="CJ274"/>
      <c r="CK274"/>
      <c r="CL274"/>
      <c r="CM274"/>
      <c r="CN274"/>
      <c r="CO274"/>
      <c r="CP274"/>
      <c r="CQ274"/>
      <c r="CR274"/>
      <c r="CS274"/>
      <c r="CT274"/>
      <c r="CU274"/>
      <c r="CV274"/>
      <c r="CW274"/>
      <c r="CX274" s="6"/>
    </row>
    <row r="275" spans="1:102" s="4" customFormat="1" hidden="1">
      <c r="A275" s="3">
        <f t="shared" si="15"/>
        <v>274</v>
      </c>
      <c r="B275" s="4" t="s">
        <v>22</v>
      </c>
      <c r="C275" s="4" t="s">
        <v>3</v>
      </c>
      <c r="D275" s="4">
        <f>INDEX(Employee!E:E,MATCH(AK275,Employee!B:B,0))</f>
        <v>0</v>
      </c>
      <c r="E275" s="4" t="str">
        <f>INDEX(Employee!F:F,MATCH(AK275,Employee!B:B,0))</f>
        <v>Tech</v>
      </c>
      <c r="F275" s="4">
        <f>INDEX(Employee!G:G,MATCH(AK275,Employee!B:B,0))</f>
        <v>0</v>
      </c>
      <c r="G275" s="4" t="s">
        <v>119</v>
      </c>
      <c r="I275" s="4" t="str">
        <f t="shared" si="16"/>
        <v>CAB0021</v>
      </c>
      <c r="J275" s="4" t="s">
        <v>99</v>
      </c>
      <c r="K275" s="4" t="s">
        <v>674</v>
      </c>
      <c r="N275" s="13" t="b">
        <v>0</v>
      </c>
      <c r="O275" s="13" t="b">
        <v>0</v>
      </c>
      <c r="Q275" s="14">
        <v>44748</v>
      </c>
      <c r="R275" s="4" t="s">
        <v>102</v>
      </c>
      <c r="S275" s="10">
        <v>184000</v>
      </c>
      <c r="T275" s="4" t="e">
        <f>INDEX(Employee!#REF!,MATCH(U275,Employee!#REF!,0))</f>
        <v>#REF!</v>
      </c>
      <c r="U275" s="4" t="s">
        <v>292</v>
      </c>
      <c r="V275" s="4" t="e">
        <f>INDEX(Employee!#REF!,MATCH(U275,Employee!#REF!,0))</f>
        <v>#REF!</v>
      </c>
      <c r="W275" s="4" t="e">
        <f>INDEX(Employee!#REF!,MATCH(U275,Employee!#REF!,0))</f>
        <v>#REF!</v>
      </c>
      <c r="X275" s="4" t="e">
        <f>INDEX(Employee!#REF!,MATCH(U275,Employee!#REF!,0))</f>
        <v>#REF!</v>
      </c>
      <c r="AJ275" s="4" t="str">
        <f>INDEX(Employee!C:C,MATCH(AK275,Employee!B:B,0))</f>
        <v>Trịnh Xuân Vượng</v>
      </c>
      <c r="AK275" s="4" t="s">
        <v>389</v>
      </c>
      <c r="AL275" s="4" t="str">
        <f>INDEX(Employee!D:D,MATCH(AK275,Employee!B:B,0))</f>
        <v>Solutions Architect</v>
      </c>
      <c r="AM275" s="4" t="str">
        <f>INDEX(Employee!F:F,MATCH(AK275,Employee!B:B,0))</f>
        <v>Tech</v>
      </c>
      <c r="AN275" s="4" t="str">
        <f>INDEX(Employee!H:H,MATCH(AK275,Employee!B:B,0))</f>
        <v>Dương Huỳnh Nghĩa (nghiadh)</v>
      </c>
      <c r="AS275" s="4" t="s">
        <v>104</v>
      </c>
      <c r="AT275"/>
      <c r="AU275"/>
      <c r="AV275"/>
      <c r="AW275"/>
      <c r="AX275"/>
      <c r="AY275"/>
      <c r="AZ275"/>
      <c r="BA275"/>
      <c r="BB275"/>
      <c r="BC275"/>
      <c r="BD275"/>
      <c r="BE275"/>
      <c r="BF275"/>
      <c r="BG275"/>
      <c r="BH275"/>
      <c r="BI275"/>
      <c r="BJ275"/>
      <c r="BK275"/>
      <c r="BL275"/>
      <c r="BM275"/>
      <c r="BN275"/>
      <c r="BO275"/>
      <c r="BP275"/>
      <c r="BQ275"/>
      <c r="BR275"/>
      <c r="BS275"/>
      <c r="BT275"/>
      <c r="BU275"/>
      <c r="BV275"/>
      <c r="BW275"/>
      <c r="BX275"/>
      <c r="BY275"/>
      <c r="BZ275"/>
      <c r="CA275"/>
      <c r="CB275"/>
      <c r="CC275"/>
      <c r="CD275"/>
      <c r="CE275"/>
      <c r="CF275"/>
      <c r="CG275"/>
      <c r="CH275" s="6"/>
      <c r="CI275"/>
      <c r="CJ275"/>
      <c r="CK275"/>
      <c r="CL275"/>
      <c r="CM275"/>
      <c r="CN275"/>
      <c r="CO275"/>
      <c r="CP275"/>
      <c r="CQ275"/>
      <c r="CR275"/>
      <c r="CS275"/>
      <c r="CT275"/>
      <c r="CU275"/>
      <c r="CV275"/>
      <c r="CW275"/>
      <c r="CX275" s="6"/>
    </row>
    <row r="276" spans="1:102" s="4" customFormat="1" hidden="1">
      <c r="A276" s="3">
        <f t="shared" si="15"/>
        <v>275</v>
      </c>
      <c r="B276" s="4" t="s">
        <v>22</v>
      </c>
      <c r="C276" s="4" t="s">
        <v>4</v>
      </c>
      <c r="D276" s="4" t="e">
        <f>INDEX(Employee!E:E,MATCH(AK276,Employee!B:B,0))</f>
        <v>#N/A</v>
      </c>
      <c r="E276" s="4" t="e">
        <f>INDEX(Employee!F:F,MATCH(AK276,Employee!B:B,0))</f>
        <v>#N/A</v>
      </c>
      <c r="F276" s="4" t="e">
        <f>INDEX(Employee!G:G,MATCH(AK276,Employee!B:B,0))</f>
        <v>#N/A</v>
      </c>
      <c r="G276" s="4" t="s">
        <v>15</v>
      </c>
      <c r="I276" s="4" t="str">
        <f t="shared" si="16"/>
        <v>CAB0022</v>
      </c>
      <c r="J276" s="4" t="s">
        <v>99</v>
      </c>
      <c r="K276" s="4" t="s">
        <v>674</v>
      </c>
      <c r="N276" s="13" t="b">
        <v>0</v>
      </c>
      <c r="O276" s="13" t="b">
        <v>0</v>
      </c>
      <c r="Q276" s="14">
        <v>44785</v>
      </c>
      <c r="R276" s="4" t="s">
        <v>102</v>
      </c>
      <c r="S276" s="10">
        <v>184000</v>
      </c>
      <c r="T276" s="4" t="e">
        <f>INDEX(Employee!#REF!,MATCH(U276,Employee!#REF!,0))</f>
        <v>#REF!</v>
      </c>
      <c r="U276" s="4" t="s">
        <v>292</v>
      </c>
      <c r="V276" s="4" t="e">
        <f>INDEX(Employee!#REF!,MATCH(U276,Employee!#REF!,0))</f>
        <v>#REF!</v>
      </c>
      <c r="W276" s="4" t="e">
        <f>INDEX(Employee!#REF!,MATCH(U276,Employee!#REF!,0))</f>
        <v>#REF!</v>
      </c>
      <c r="X276" s="4" t="e">
        <f>INDEX(Employee!#REF!,MATCH(U276,Employee!#REF!,0))</f>
        <v>#REF!</v>
      </c>
      <c r="AJ276" s="4" t="e">
        <f>INDEX(Employee!C:C,MATCH(AK276,Employee!B:B,0))</f>
        <v>#N/A</v>
      </c>
      <c r="AL276" s="4" t="e">
        <f>INDEX(Employee!D:D,MATCH(AK276,Employee!B:B,0))</f>
        <v>#N/A</v>
      </c>
      <c r="AM276" s="4" t="e">
        <f>INDEX(Employee!F:F,MATCH(AK276,Employee!B:B,0))</f>
        <v>#N/A</v>
      </c>
      <c r="AN276" s="4" t="e">
        <f>INDEX(Employee!H:H,MATCH(AK276,Employee!B:B,0))</f>
        <v>#N/A</v>
      </c>
      <c r="AS276" s="4" t="s">
        <v>292</v>
      </c>
      <c r="AT276"/>
      <c r="AU276"/>
      <c r="AV276"/>
      <c r="AW276"/>
      <c r="AX276"/>
      <c r="AY276"/>
      <c r="AZ276"/>
      <c r="BA276"/>
      <c r="BB276"/>
      <c r="BC276"/>
      <c r="BD276"/>
      <c r="BE276"/>
      <c r="BF276"/>
      <c r="BG276"/>
      <c r="BH276"/>
      <c r="BI276"/>
      <c r="BJ276"/>
      <c r="BK276"/>
      <c r="BL276"/>
      <c r="BM276"/>
      <c r="BN276"/>
      <c r="BO276"/>
      <c r="BP276"/>
      <c r="BQ276"/>
      <c r="BR276"/>
      <c r="BS276"/>
      <c r="BT276"/>
      <c r="BU276"/>
      <c r="BV276"/>
      <c r="BW276"/>
      <c r="BX276"/>
      <c r="BY276"/>
      <c r="BZ276"/>
      <c r="CA276"/>
      <c r="CB276"/>
      <c r="CC276"/>
      <c r="CD276"/>
      <c r="CE276"/>
      <c r="CF276"/>
      <c r="CG276"/>
      <c r="CH276" s="6"/>
      <c r="CI276"/>
      <c r="CJ276"/>
      <c r="CK276"/>
      <c r="CL276"/>
      <c r="CM276"/>
      <c r="CN276"/>
      <c r="CO276"/>
      <c r="CP276"/>
      <c r="CQ276"/>
      <c r="CR276"/>
      <c r="CS276"/>
      <c r="CT276"/>
      <c r="CU276"/>
      <c r="CV276"/>
      <c r="CW276"/>
      <c r="CX276" s="6"/>
    </row>
    <row r="277" spans="1:102" s="4" customFormat="1" hidden="1">
      <c r="A277" s="3">
        <f t="shared" si="15"/>
        <v>276</v>
      </c>
      <c r="B277" s="4" t="s">
        <v>22</v>
      </c>
      <c r="C277" s="4" t="s">
        <v>4</v>
      </c>
      <c r="D277" s="4" t="e">
        <f>INDEX(Employee!E:E,MATCH(AK277,Employee!B:B,0))</f>
        <v>#N/A</v>
      </c>
      <c r="E277" s="4" t="e">
        <f>INDEX(Employee!F:F,MATCH(AK277,Employee!B:B,0))</f>
        <v>#N/A</v>
      </c>
      <c r="F277" s="4" t="e">
        <f>INDEX(Employee!G:G,MATCH(AK277,Employee!B:B,0))</f>
        <v>#N/A</v>
      </c>
      <c r="G277" s="4" t="s">
        <v>17</v>
      </c>
      <c r="I277" s="4" t="str">
        <f t="shared" si="16"/>
        <v>CAB0023</v>
      </c>
      <c r="J277" s="4" t="s">
        <v>99</v>
      </c>
      <c r="K277" s="4" t="s">
        <v>674</v>
      </c>
      <c r="N277" s="13" t="b">
        <v>0</v>
      </c>
      <c r="O277" s="13" t="b">
        <v>0</v>
      </c>
      <c r="Q277" s="14">
        <v>44841</v>
      </c>
      <c r="R277" s="4" t="s">
        <v>102</v>
      </c>
      <c r="S277" s="10">
        <v>165000</v>
      </c>
      <c r="T277" s="4" t="e">
        <f>INDEX(Employee!#REF!,MATCH(U277,Employee!#REF!,0))</f>
        <v>#REF!</v>
      </c>
      <c r="U277" s="4" t="s">
        <v>292</v>
      </c>
      <c r="V277" s="4" t="e">
        <f>INDEX(Employee!#REF!,MATCH(U277,Employee!#REF!,0))</f>
        <v>#REF!</v>
      </c>
      <c r="W277" s="4" t="e">
        <f>INDEX(Employee!#REF!,MATCH(U277,Employee!#REF!,0))</f>
        <v>#REF!</v>
      </c>
      <c r="X277" s="4" t="e">
        <f>INDEX(Employee!#REF!,MATCH(U277,Employee!#REF!,0))</f>
        <v>#REF!</v>
      </c>
      <c r="AJ277" s="4" t="e">
        <f>INDEX(Employee!C:C,MATCH(AK277,Employee!B:B,0))</f>
        <v>#N/A</v>
      </c>
      <c r="AL277" s="4" t="e">
        <f>INDEX(Employee!D:D,MATCH(AK277,Employee!B:B,0))</f>
        <v>#N/A</v>
      </c>
      <c r="AM277" s="4" t="e">
        <f>INDEX(Employee!F:F,MATCH(AK277,Employee!B:B,0))</f>
        <v>#N/A</v>
      </c>
      <c r="AN277" s="4" t="e">
        <f>INDEX(Employee!H:H,MATCH(AK277,Employee!B:B,0))</f>
        <v>#N/A</v>
      </c>
      <c r="AS277" s="4" t="s">
        <v>588</v>
      </c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/>
      <c r="BM277"/>
      <c r="BN277"/>
      <c r="BO277"/>
      <c r="BP277"/>
      <c r="BQ277"/>
      <c r="BR277"/>
      <c r="BS277"/>
      <c r="BT277"/>
      <c r="BU277"/>
      <c r="BV277"/>
      <c r="BW277"/>
      <c r="BX277"/>
      <c r="BY277"/>
      <c r="BZ277"/>
      <c r="CA277"/>
      <c r="CB277"/>
      <c r="CC277"/>
      <c r="CD277"/>
      <c r="CE277"/>
      <c r="CF277"/>
      <c r="CG277"/>
      <c r="CH277" s="6"/>
      <c r="CI277"/>
      <c r="CJ277"/>
      <c r="CK277"/>
      <c r="CL277"/>
      <c r="CM277"/>
      <c r="CN277"/>
      <c r="CO277"/>
      <c r="CP277"/>
      <c r="CQ277"/>
      <c r="CR277"/>
      <c r="CS277"/>
      <c r="CT277"/>
      <c r="CU277"/>
      <c r="CV277"/>
      <c r="CW277"/>
      <c r="CX277" s="6"/>
    </row>
    <row r="278" spans="1:102" s="4" customFormat="1" hidden="1">
      <c r="A278" s="3">
        <f t="shared" si="15"/>
        <v>277</v>
      </c>
      <c r="B278" s="4" t="s">
        <v>22</v>
      </c>
      <c r="C278" s="4" t="s">
        <v>3</v>
      </c>
      <c r="D278" s="4" t="str">
        <f>INDEX(Employee!E:E,MATCH(AK278,Employee!B:B,0))</f>
        <v>Project</v>
      </c>
      <c r="E278" s="4" t="str">
        <f>INDEX(Employee!F:F,MATCH(AK278,Employee!B:B,0))</f>
        <v>Tech</v>
      </c>
      <c r="F278" s="4" t="str">
        <f>INDEX(Employee!G:G,MATCH(AK278,Employee!B:B,0))</f>
        <v>Resource Pool</v>
      </c>
      <c r="G278" s="4" t="s">
        <v>15</v>
      </c>
      <c r="I278" s="4" t="str">
        <f t="shared" si="16"/>
        <v>CAB0024</v>
      </c>
      <c r="J278" s="4" t="s">
        <v>99</v>
      </c>
      <c r="K278" s="4" t="s">
        <v>674</v>
      </c>
      <c r="N278" s="13" t="b">
        <v>0</v>
      </c>
      <c r="O278" s="13" t="b">
        <v>0</v>
      </c>
      <c r="Q278" s="14">
        <v>44876</v>
      </c>
      <c r="R278" s="4" t="s">
        <v>102</v>
      </c>
      <c r="S278" s="10">
        <v>165000</v>
      </c>
      <c r="T278" s="4" t="e">
        <f>INDEX(Employee!#REF!,MATCH(U278,Employee!#REF!,0))</f>
        <v>#REF!</v>
      </c>
      <c r="U278" s="4" t="s">
        <v>292</v>
      </c>
      <c r="V278" s="4" t="e">
        <f>INDEX(Employee!#REF!,MATCH(U278,Employee!#REF!,0))</f>
        <v>#REF!</v>
      </c>
      <c r="W278" s="4" t="e">
        <f>INDEX(Employee!#REF!,MATCH(U278,Employee!#REF!,0))</f>
        <v>#REF!</v>
      </c>
      <c r="X278" s="4" t="e">
        <f>INDEX(Employee!#REF!,MATCH(U278,Employee!#REF!,0))</f>
        <v>#REF!</v>
      </c>
      <c r="AJ278" s="4" t="str">
        <f>INDEX(Employee!C:C,MATCH(AK278,Employee!B:B,0))</f>
        <v>Nguyễn Lê Thanh Trúc</v>
      </c>
      <c r="AK278" s="4" t="s">
        <v>317</v>
      </c>
      <c r="AL278" s="4" t="str">
        <f>INDEX(Employee!D:D,MATCH(AK278,Employee!B:B,0))</f>
        <v>Fresher QC Engineer</v>
      </c>
      <c r="AM278" s="4" t="str">
        <f>INDEX(Employee!F:F,MATCH(AK278,Employee!B:B,0))</f>
        <v>Tech</v>
      </c>
      <c r="AN278" s="4" t="str">
        <f>INDEX(Employee!H:H,MATCH(AK278,Employee!B:B,0))</f>
        <v>Đoàn Hải Nam</v>
      </c>
      <c r="AT278"/>
      <c r="AU278"/>
      <c r="AV278"/>
      <c r="AW278"/>
      <c r="AX278"/>
      <c r="AY278"/>
      <c r="AZ278"/>
      <c r="BA278"/>
      <c r="BB278"/>
      <c r="BC278"/>
      <c r="BD278"/>
      <c r="BE278"/>
      <c r="BF278"/>
      <c r="BG278"/>
      <c r="BH278"/>
      <c r="BI278"/>
      <c r="BJ278"/>
      <c r="BK278"/>
      <c r="BL278"/>
      <c r="BM278"/>
      <c r="BN278"/>
      <c r="BO278"/>
      <c r="BP278"/>
      <c r="BQ278"/>
      <c r="BR278"/>
      <c r="BS278"/>
      <c r="BT278"/>
      <c r="BU278"/>
      <c r="BV278"/>
      <c r="BW278"/>
      <c r="BX278"/>
      <c r="BY278"/>
      <c r="BZ278"/>
      <c r="CA278"/>
      <c r="CB278"/>
      <c r="CC278"/>
      <c r="CD278"/>
      <c r="CE278"/>
      <c r="CF278"/>
      <c r="CG278"/>
      <c r="CH278" s="6"/>
      <c r="CI278"/>
      <c r="CJ278"/>
      <c r="CK278"/>
      <c r="CL278"/>
      <c r="CM278"/>
      <c r="CN278"/>
      <c r="CO278"/>
      <c r="CP278"/>
      <c r="CQ278"/>
      <c r="CR278"/>
      <c r="CS278"/>
      <c r="CT278"/>
      <c r="CU278"/>
      <c r="CV278"/>
      <c r="CW278"/>
      <c r="CX278" s="6"/>
    </row>
    <row r="279" spans="1:102" s="4" customFormat="1" hidden="1">
      <c r="A279" s="3">
        <f t="shared" si="15"/>
        <v>278</v>
      </c>
      <c r="B279" s="4" t="s">
        <v>22</v>
      </c>
      <c r="C279" s="4" t="s">
        <v>3</v>
      </c>
      <c r="D279" s="4">
        <f>INDEX(Employee!E:E,MATCH(AK279,Employee!B:B,0))</f>
        <v>0</v>
      </c>
      <c r="E279" s="4" t="str">
        <f>INDEX(Employee!F:F,MATCH(AK279,Employee!B:B,0))</f>
        <v>Tech</v>
      </c>
      <c r="F279" s="4">
        <f>INDEX(Employee!G:G,MATCH(AK279,Employee!B:B,0))</f>
        <v>0</v>
      </c>
      <c r="G279" s="4" t="s">
        <v>119</v>
      </c>
      <c r="I279" s="4" t="str">
        <f t="shared" si="16"/>
        <v>CAB0025</v>
      </c>
      <c r="J279" s="4" t="s">
        <v>99</v>
      </c>
      <c r="K279" s="4" t="s">
        <v>674</v>
      </c>
      <c r="N279" s="13" t="b">
        <v>0</v>
      </c>
      <c r="O279" s="13" t="b">
        <v>0</v>
      </c>
      <c r="Q279" s="14">
        <v>45499</v>
      </c>
      <c r="R279" s="4" t="s">
        <v>102</v>
      </c>
      <c r="S279" s="10">
        <v>178000</v>
      </c>
      <c r="T279" s="4" t="e">
        <f>INDEX(Employee!#REF!,MATCH(U279,Employee!#REF!,0))</f>
        <v>#REF!</v>
      </c>
      <c r="U279" s="4" t="s">
        <v>292</v>
      </c>
      <c r="V279" s="4" t="e">
        <f>INDEX(Employee!#REF!,MATCH(U279,Employee!#REF!,0))</f>
        <v>#REF!</v>
      </c>
      <c r="W279" s="4" t="e">
        <f>INDEX(Employee!#REF!,MATCH(U279,Employee!#REF!,0))</f>
        <v>#REF!</v>
      </c>
      <c r="X279" s="4" t="e">
        <f>INDEX(Employee!#REF!,MATCH(U279,Employee!#REF!,0))</f>
        <v>#REF!</v>
      </c>
      <c r="AJ279" s="4" t="str">
        <f>INDEX(Employee!C:C,MATCH(AK279,Employee!B:B,0))</f>
        <v>Đinh Hiểu Văn</v>
      </c>
      <c r="AK279" s="4" t="s">
        <v>329</v>
      </c>
      <c r="AL279" s="4" t="str">
        <f>INDEX(Employee!D:D,MATCH(AK279,Employee!B:B,0))</f>
        <v>Software Engineer</v>
      </c>
      <c r="AM279" s="4" t="str">
        <f>INDEX(Employee!F:F,MATCH(AK279,Employee!B:B,0))</f>
        <v>Tech</v>
      </c>
      <c r="AN279" s="4" t="str">
        <f>INDEX(Employee!H:H,MATCH(AK279,Employee!B:B,0))</f>
        <v>Trần Triệu Dương (duongtt5)</v>
      </c>
      <c r="AT279"/>
      <c r="AU279"/>
      <c r="AV279"/>
      <c r="AW279"/>
      <c r="AX279"/>
      <c r="AY279"/>
      <c r="AZ279"/>
      <c r="BA279"/>
      <c r="BB279"/>
      <c r="BC279"/>
      <c r="BD279"/>
      <c r="BE279"/>
      <c r="BF279"/>
      <c r="BG279"/>
      <c r="BH279"/>
      <c r="BI279"/>
      <c r="BJ279"/>
      <c r="BK279"/>
      <c r="BL279"/>
      <c r="BM279"/>
      <c r="BN279"/>
      <c r="BO279"/>
      <c r="BP279"/>
      <c r="BQ279"/>
      <c r="BR279"/>
      <c r="BS279"/>
      <c r="BT279"/>
      <c r="BU279"/>
      <c r="BV279"/>
      <c r="BW279"/>
      <c r="BX279"/>
      <c r="BY279"/>
      <c r="BZ279"/>
      <c r="CA279"/>
      <c r="CB279"/>
      <c r="CC279"/>
      <c r="CD279"/>
      <c r="CE279"/>
      <c r="CF279"/>
      <c r="CG279"/>
      <c r="CH279" s="6"/>
      <c r="CI279"/>
      <c r="CJ279"/>
      <c r="CK279"/>
      <c r="CL279"/>
      <c r="CM279"/>
      <c r="CN279"/>
      <c r="CO279"/>
      <c r="CP279"/>
      <c r="CQ279"/>
      <c r="CR279"/>
      <c r="CS279"/>
      <c r="CT279"/>
      <c r="CU279"/>
      <c r="CV279"/>
      <c r="CW279"/>
      <c r="CX279" s="6"/>
    </row>
    <row r="280" spans="1:102" hidden="1">
      <c r="A280" s="3">
        <f t="shared" si="15"/>
        <v>279</v>
      </c>
      <c r="B280" s="4" t="s">
        <v>22</v>
      </c>
      <c r="C280" s="4" t="s">
        <v>4</v>
      </c>
      <c r="D280" s="4" t="e">
        <f>INDEX(Employee!E:E,MATCH(AK280,Employee!B:B,0))</f>
        <v>#N/A</v>
      </c>
      <c r="E280" s="4" t="e">
        <f>INDEX(Employee!F:F,MATCH(AK280,Employee!B:B,0))</f>
        <v>#N/A</v>
      </c>
      <c r="F280" s="4" t="e">
        <f>INDEX(Employee!G:G,MATCH(AK280,Employee!B:B,0))</f>
        <v>#N/A</v>
      </c>
      <c r="G280" s="4" t="s">
        <v>15</v>
      </c>
      <c r="H280" s="4"/>
      <c r="I280" s="4" t="str">
        <f t="shared" si="16"/>
        <v>CAB0026</v>
      </c>
      <c r="J280" s="4" t="s">
        <v>99</v>
      </c>
      <c r="K280" s="4" t="s">
        <v>674</v>
      </c>
      <c r="L280" s="4"/>
      <c r="M280" s="4"/>
      <c r="N280" s="13" t="b">
        <v>0</v>
      </c>
      <c r="O280" s="13" t="b">
        <v>0</v>
      </c>
      <c r="P280" s="4"/>
      <c r="Q280" s="14">
        <v>45499</v>
      </c>
      <c r="R280" s="4" t="s">
        <v>102</v>
      </c>
      <c r="S280" s="10">
        <v>178000</v>
      </c>
      <c r="T280" s="4" t="e">
        <f>INDEX(Employee!#REF!,MATCH(U280,Employee!#REF!,0))</f>
        <v>#REF!</v>
      </c>
      <c r="U280" s="4" t="s">
        <v>292</v>
      </c>
      <c r="V280" s="4" t="e">
        <f>INDEX(Employee!#REF!,MATCH(U280,Employee!#REF!,0))</f>
        <v>#REF!</v>
      </c>
      <c r="W280" s="4" t="e">
        <f>INDEX(Employee!#REF!,MATCH(U280,Employee!#REF!,0))</f>
        <v>#REF!</v>
      </c>
      <c r="X280" s="4" t="e">
        <f>INDEX(Employee!#REF!,MATCH(U280,Employee!#REF!,0))</f>
        <v>#REF!</v>
      </c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 t="e">
        <f>INDEX(Employee!C:C,MATCH(AK280,Employee!B:B,0))</f>
        <v>#N/A</v>
      </c>
      <c r="AK280" s="4"/>
      <c r="AL280" s="4" t="e">
        <f>INDEX(Employee!D:D,MATCH(AK280,Employee!B:B,0))</f>
        <v>#N/A</v>
      </c>
      <c r="AM280" s="4" t="e">
        <f>INDEX(Employee!F:F,MATCH(AK280,Employee!B:B,0))</f>
        <v>#N/A</v>
      </c>
      <c r="AN280" s="4" t="e">
        <f>INDEX(Employee!H:H,MATCH(AK280,Employee!B:B,0))</f>
        <v>#N/A</v>
      </c>
      <c r="AO280" s="4"/>
      <c r="AP280" s="4"/>
      <c r="AQ280" s="4"/>
      <c r="AR280" s="4"/>
      <c r="AS280" s="4"/>
      <c r="CH280" s="6"/>
      <c r="CX280" s="6"/>
    </row>
    <row r="281" spans="1:102" hidden="1">
      <c r="A281" s="3">
        <f t="shared" si="15"/>
        <v>280</v>
      </c>
      <c r="B281" s="4" t="s">
        <v>22</v>
      </c>
      <c r="C281" s="4" t="s">
        <v>5</v>
      </c>
      <c r="D281" s="4" t="e">
        <f>INDEX(Employee!E:E,MATCH(AK281,Employee!B:B,0))</f>
        <v>#N/A</v>
      </c>
      <c r="E281" s="4" t="e">
        <f>INDEX(Employee!F:F,MATCH(AK281,Employee!B:B,0))</f>
        <v>#N/A</v>
      </c>
      <c r="F281" s="4" t="e">
        <f>INDEX(Employee!G:G,MATCH(AK281,Employee!B:B,0))</f>
        <v>#N/A</v>
      </c>
      <c r="G281" s="4" t="s">
        <v>15</v>
      </c>
      <c r="H281" s="4"/>
      <c r="I281" s="4" t="str">
        <f t="shared" si="16"/>
        <v>CAB0027</v>
      </c>
      <c r="J281" s="4" t="s">
        <v>99</v>
      </c>
      <c r="K281" s="4" t="s">
        <v>674</v>
      </c>
      <c r="L281" s="4"/>
      <c r="M281" s="4"/>
      <c r="N281" s="13" t="b">
        <v>0</v>
      </c>
      <c r="O281" s="13" t="b">
        <v>0</v>
      </c>
      <c r="P281" s="4"/>
      <c r="Q281" s="14">
        <v>45499</v>
      </c>
      <c r="R281" s="4" t="s">
        <v>102</v>
      </c>
      <c r="S281" s="10">
        <v>178000</v>
      </c>
      <c r="T281" s="4" t="e">
        <f>INDEX(Employee!#REF!,MATCH(U281,Employee!#REF!,0))</f>
        <v>#REF!</v>
      </c>
      <c r="U281" s="4" t="s">
        <v>292</v>
      </c>
      <c r="V281" s="4" t="e">
        <f>INDEX(Employee!#REF!,MATCH(U281,Employee!#REF!,0))</f>
        <v>#REF!</v>
      </c>
      <c r="W281" s="4" t="e">
        <f>INDEX(Employee!#REF!,MATCH(U281,Employee!#REF!,0))</f>
        <v>#REF!</v>
      </c>
      <c r="X281" s="4" t="e">
        <f>INDEX(Employee!#REF!,MATCH(U281,Employee!#REF!,0))</f>
        <v>#REF!</v>
      </c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 t="e">
        <f>INDEX(Employee!C:C,MATCH(AK281,Employee!B:B,0))</f>
        <v>#N/A</v>
      </c>
      <c r="AK281" s="4"/>
      <c r="AL281" s="4" t="e">
        <f>INDEX(Employee!D:D,MATCH(AK281,Employee!B:B,0))</f>
        <v>#N/A</v>
      </c>
      <c r="AM281" s="4" t="e">
        <f>INDEX(Employee!F:F,MATCH(AK281,Employee!B:B,0))</f>
        <v>#N/A</v>
      </c>
      <c r="AN281" s="4" t="e">
        <f>INDEX(Employee!H:H,MATCH(AK281,Employee!B:B,0))</f>
        <v>#N/A</v>
      </c>
      <c r="AO281" s="4"/>
      <c r="AP281" s="4"/>
      <c r="AQ281" s="4"/>
      <c r="AR281" s="4"/>
      <c r="AS281" s="4"/>
      <c r="CH281" s="6"/>
      <c r="CX281" s="6"/>
    </row>
    <row r="282" spans="1:102" hidden="1">
      <c r="A282" s="3">
        <f t="shared" si="15"/>
        <v>281</v>
      </c>
      <c r="B282" s="4" t="s">
        <v>22</v>
      </c>
      <c r="C282" s="4" t="s">
        <v>4</v>
      </c>
      <c r="D282" s="4" t="e">
        <f>INDEX(Employee!E:E,MATCH(AK282,Employee!B:B,0))</f>
        <v>#N/A</v>
      </c>
      <c r="E282" s="4" t="e">
        <f>INDEX(Employee!F:F,MATCH(AK282,Employee!B:B,0))</f>
        <v>#N/A</v>
      </c>
      <c r="F282" s="4" t="e">
        <f>INDEX(Employee!G:G,MATCH(AK282,Employee!B:B,0))</f>
        <v>#N/A</v>
      </c>
      <c r="G282" s="4" t="s">
        <v>119</v>
      </c>
      <c r="H282" s="4"/>
      <c r="I282" s="4" t="str">
        <f t="shared" si="16"/>
        <v>CAB0028</v>
      </c>
      <c r="J282" s="4" t="s">
        <v>99</v>
      </c>
      <c r="K282" s="4" t="s">
        <v>674</v>
      </c>
      <c r="L282" s="4"/>
      <c r="M282" s="4"/>
      <c r="N282" s="13" t="b">
        <v>0</v>
      </c>
      <c r="O282" s="13" t="b">
        <v>0</v>
      </c>
      <c r="P282" s="4"/>
      <c r="Q282" s="14">
        <v>45499</v>
      </c>
      <c r="R282" s="4" t="s">
        <v>102</v>
      </c>
      <c r="S282" s="10">
        <v>1780000</v>
      </c>
      <c r="T282" s="4" t="e">
        <f>INDEX(Employee!#REF!,MATCH(U282,Employee!#REF!,0))</f>
        <v>#REF!</v>
      </c>
      <c r="U282" s="4" t="s">
        <v>292</v>
      </c>
      <c r="V282" s="4" t="e">
        <f>INDEX(Employee!#REF!,MATCH(U282,Employee!#REF!,0))</f>
        <v>#REF!</v>
      </c>
      <c r="W282" s="4" t="e">
        <f>INDEX(Employee!#REF!,MATCH(U282,Employee!#REF!,0))</f>
        <v>#REF!</v>
      </c>
      <c r="X282" s="4" t="e">
        <f>INDEX(Employee!#REF!,MATCH(U282,Employee!#REF!,0))</f>
        <v>#REF!</v>
      </c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 t="e">
        <f>INDEX(Employee!C:C,MATCH(AK282,Employee!B:B,0))</f>
        <v>#N/A</v>
      </c>
      <c r="AK282" s="4"/>
      <c r="AL282" s="4" t="e">
        <f>INDEX(Employee!D:D,MATCH(AK282,Employee!B:B,0))</f>
        <v>#N/A</v>
      </c>
      <c r="AM282" s="4" t="e">
        <f>INDEX(Employee!F:F,MATCH(AK282,Employee!B:B,0))</f>
        <v>#N/A</v>
      </c>
      <c r="AN282" s="4" t="e">
        <f>INDEX(Employee!H:H,MATCH(AK282,Employee!B:B,0))</f>
        <v>#N/A</v>
      </c>
      <c r="AO282" s="4"/>
      <c r="AP282" s="4"/>
      <c r="AQ282" s="4"/>
      <c r="AR282" s="4"/>
      <c r="AS282" s="4"/>
      <c r="CH282" s="6"/>
      <c r="CX282" s="6"/>
    </row>
    <row r="283" spans="1:102" hidden="1">
      <c r="A283" s="3">
        <f t="shared" si="15"/>
        <v>282</v>
      </c>
      <c r="B283" s="4" t="s">
        <v>22</v>
      </c>
      <c r="C283" s="4" t="s">
        <v>3</v>
      </c>
      <c r="D283" s="4" t="str">
        <f>INDEX(Employee!E:E,MATCH(AK283,Employee!B:B,0))</f>
        <v>BO</v>
      </c>
      <c r="E283" s="4" t="str">
        <f>INDEX(Employee!F:F,MATCH(AK283,Employee!B:B,0))</f>
        <v>Business Support</v>
      </c>
      <c r="F283" s="4" t="str">
        <f>INDEX(Employee!G:G,MATCH(AK283,Employee!B:B,0))</f>
        <v>Operation Team</v>
      </c>
      <c r="G283" s="4" t="s">
        <v>15</v>
      </c>
      <c r="H283" s="4"/>
      <c r="I283" s="4" t="str">
        <f t="shared" si="16"/>
        <v>CAB0029</v>
      </c>
      <c r="J283" s="4" t="s">
        <v>99</v>
      </c>
      <c r="K283" s="4" t="s">
        <v>674</v>
      </c>
      <c r="L283" s="4"/>
      <c r="M283" s="4"/>
      <c r="N283" s="13" t="b">
        <v>0</v>
      </c>
      <c r="O283" s="13" t="b">
        <v>0</v>
      </c>
      <c r="P283" s="4"/>
      <c r="Q283" s="14">
        <v>45499</v>
      </c>
      <c r="R283" s="4" t="s">
        <v>102</v>
      </c>
      <c r="S283" s="10">
        <v>1780000</v>
      </c>
      <c r="T283" s="4" t="e">
        <f>INDEX(Employee!#REF!,MATCH(U283,Employee!#REF!,0))</f>
        <v>#REF!</v>
      </c>
      <c r="U283" s="4" t="s">
        <v>292</v>
      </c>
      <c r="V283" s="4" t="e">
        <f>INDEX(Employee!#REF!,MATCH(U283,Employee!#REF!,0))</f>
        <v>#REF!</v>
      </c>
      <c r="W283" s="4" t="e">
        <f>INDEX(Employee!#REF!,MATCH(U283,Employee!#REF!,0))</f>
        <v>#REF!</v>
      </c>
      <c r="X283" s="4" t="e">
        <f>INDEX(Employee!#REF!,MATCH(U283,Employee!#REF!,0))</f>
        <v>#REF!</v>
      </c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 t="str">
        <f>INDEX(Employee!C:C,MATCH(AK283,Employee!B:B,0))</f>
        <v>Mai Thị Cẩm Hà</v>
      </c>
      <c r="AK283" s="4" t="s">
        <v>223</v>
      </c>
      <c r="AL283" s="4" t="str">
        <f>INDEX(Employee!D:D,MATCH(AK283,Employee!B:B,0))</f>
        <v>Associate GRC Analyst</v>
      </c>
      <c r="AM283" s="4" t="str">
        <f>INDEX(Employee!F:F,MATCH(AK283,Employee!B:B,0))</f>
        <v>Business Support</v>
      </c>
      <c r="AN283" s="4" t="str">
        <f>INDEX(Employee!H:H,MATCH(AK283,Employee!B:B,0))</f>
        <v>Nguyễn Thị My Sa</v>
      </c>
      <c r="AO283" s="4"/>
      <c r="AP283" s="4"/>
      <c r="AQ283" s="4"/>
      <c r="AR283" s="4"/>
      <c r="AS283" s="4"/>
      <c r="CH283" s="6"/>
      <c r="CX283" s="6"/>
    </row>
    <row r="284" spans="1:102" hidden="1">
      <c r="A284" s="3">
        <f t="shared" si="15"/>
        <v>283</v>
      </c>
      <c r="B284" s="4" t="s">
        <v>22</v>
      </c>
      <c r="C284" s="4" t="s">
        <v>4</v>
      </c>
      <c r="D284" s="4" t="e">
        <f>INDEX(Employee!E:E,MATCH(AK284,Employee!B:B,0))</f>
        <v>#N/A</v>
      </c>
      <c r="E284" s="4" t="e">
        <f>INDEX(Employee!F:F,MATCH(AK284,Employee!B:B,0))</f>
        <v>#N/A</v>
      </c>
      <c r="F284" s="4" t="e">
        <f>INDEX(Employee!G:G,MATCH(AK284,Employee!B:B,0))</f>
        <v>#N/A</v>
      </c>
      <c r="G284" s="4" t="s">
        <v>17</v>
      </c>
      <c r="H284" s="4"/>
      <c r="I284" s="4" t="str">
        <f t="shared" si="16"/>
        <v>CAB0030</v>
      </c>
      <c r="J284" s="4" t="s">
        <v>99</v>
      </c>
      <c r="K284" s="4" t="s">
        <v>674</v>
      </c>
      <c r="L284" s="4"/>
      <c r="M284" s="4"/>
      <c r="N284" s="13" t="b">
        <v>0</v>
      </c>
      <c r="O284" s="13" t="b">
        <v>0</v>
      </c>
      <c r="P284" s="4"/>
      <c r="Q284" s="14">
        <v>43535</v>
      </c>
      <c r="R284" s="4" t="s">
        <v>102</v>
      </c>
      <c r="S284" s="10">
        <v>204546</v>
      </c>
      <c r="T284" s="4" t="e">
        <f>INDEX(Employee!#REF!,MATCH(U284,Employee!#REF!,0))</f>
        <v>#REF!</v>
      </c>
      <c r="U284" s="4" t="s">
        <v>292</v>
      </c>
      <c r="V284" s="4" t="e">
        <f>INDEX(Employee!#REF!,MATCH(U284,Employee!#REF!,0))</f>
        <v>#REF!</v>
      </c>
      <c r="W284" s="4" t="e">
        <f>INDEX(Employee!#REF!,MATCH(U284,Employee!#REF!,0))</f>
        <v>#REF!</v>
      </c>
      <c r="X284" s="4" t="e">
        <f>INDEX(Employee!#REF!,MATCH(U284,Employee!#REF!,0))</f>
        <v>#REF!</v>
      </c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 t="e">
        <f>INDEX(Employee!C:C,MATCH(AK284,Employee!B:B,0))</f>
        <v>#N/A</v>
      </c>
      <c r="AK284" s="4"/>
      <c r="AL284" s="4" t="e">
        <f>INDEX(Employee!D:D,MATCH(AK284,Employee!B:B,0))</f>
        <v>#N/A</v>
      </c>
      <c r="AM284" s="4" t="e">
        <f>INDEX(Employee!F:F,MATCH(AK284,Employee!B:B,0))</f>
        <v>#N/A</v>
      </c>
      <c r="AN284" s="4" t="e">
        <f>INDEX(Employee!H:H,MATCH(AK284,Employee!B:B,0))</f>
        <v>#N/A</v>
      </c>
      <c r="AO284" s="4"/>
      <c r="AP284" s="4"/>
      <c r="AQ284" s="4"/>
      <c r="AR284" s="4"/>
      <c r="AS284" s="4"/>
      <c r="CH284" s="6"/>
      <c r="CX284" s="6"/>
    </row>
    <row r="285" spans="1:102" hidden="1">
      <c r="A285" s="3">
        <f t="shared" si="15"/>
        <v>284</v>
      </c>
      <c r="B285" s="4" t="s">
        <v>22</v>
      </c>
      <c r="C285" s="4" t="s">
        <v>4</v>
      </c>
      <c r="D285" s="4" t="e">
        <f>INDEX(Employee!E:E,MATCH(AK285,Employee!B:B,0))</f>
        <v>#N/A</v>
      </c>
      <c r="E285" s="4" t="e">
        <f>INDEX(Employee!F:F,MATCH(AK285,Employee!B:B,0))</f>
        <v>#N/A</v>
      </c>
      <c r="F285" s="4" t="e">
        <f>INDEX(Employee!G:G,MATCH(AK285,Employee!B:B,0))</f>
        <v>#N/A</v>
      </c>
      <c r="G285" s="4" t="s">
        <v>15</v>
      </c>
      <c r="H285" s="4" t="s">
        <v>677</v>
      </c>
      <c r="I285" s="4" t="str">
        <f t="shared" si="16"/>
        <v>CAB0031</v>
      </c>
      <c r="J285" s="4" t="s">
        <v>99</v>
      </c>
      <c r="K285" s="4" t="s">
        <v>674</v>
      </c>
      <c r="L285" s="4"/>
      <c r="M285" s="4"/>
      <c r="N285" s="13" t="b">
        <v>0</v>
      </c>
      <c r="O285" s="13" t="b">
        <v>0</v>
      </c>
      <c r="P285" s="4"/>
      <c r="Q285" s="14">
        <v>44147</v>
      </c>
      <c r="R285" s="4" t="s">
        <v>102</v>
      </c>
      <c r="S285" s="10">
        <v>181727</v>
      </c>
      <c r="T285" s="4" t="e">
        <f>INDEX(Employee!#REF!,MATCH(U285,Employee!#REF!,0))</f>
        <v>#REF!</v>
      </c>
      <c r="U285" s="4" t="s">
        <v>292</v>
      </c>
      <c r="V285" s="4" t="e">
        <f>INDEX(Employee!#REF!,MATCH(U285,Employee!#REF!,0))</f>
        <v>#REF!</v>
      </c>
      <c r="W285" s="4" t="e">
        <f>INDEX(Employee!#REF!,MATCH(U285,Employee!#REF!,0))</f>
        <v>#REF!</v>
      </c>
      <c r="X285" s="4" t="e">
        <f>INDEX(Employee!#REF!,MATCH(U285,Employee!#REF!,0))</f>
        <v>#REF!</v>
      </c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 t="e">
        <f>INDEX(Employee!C:C,MATCH(AK285,Employee!B:B,0))</f>
        <v>#N/A</v>
      </c>
      <c r="AK285" s="4"/>
      <c r="AL285" s="4" t="e">
        <f>INDEX(Employee!D:D,MATCH(AK285,Employee!B:B,0))</f>
        <v>#N/A</v>
      </c>
      <c r="AM285" s="4" t="e">
        <f>INDEX(Employee!F:F,MATCH(AK285,Employee!B:B,0))</f>
        <v>#N/A</v>
      </c>
      <c r="AN285" s="4" t="e">
        <f>INDEX(Employee!H:H,MATCH(AK285,Employee!B:B,0))</f>
        <v>#N/A</v>
      </c>
      <c r="AO285" s="4"/>
      <c r="AP285" s="4"/>
      <c r="AQ285" s="4"/>
      <c r="AR285" s="4"/>
      <c r="AS285" s="4"/>
      <c r="CH285" s="6"/>
      <c r="CX285" s="6"/>
    </row>
    <row r="286" spans="1:102" hidden="1">
      <c r="A286" s="3">
        <f t="shared" si="15"/>
        <v>285</v>
      </c>
      <c r="B286" s="4" t="s">
        <v>22</v>
      </c>
      <c r="C286" s="4" t="s">
        <v>3</v>
      </c>
      <c r="D286" s="4" t="str">
        <f>INDEX(Employee!E:E,MATCH(AK286,Employee!B:B,0))</f>
        <v>BO</v>
      </c>
      <c r="E286" s="4" t="str">
        <f>INDEX(Employee!F:F,MATCH(AK286,Employee!B:B,0))</f>
        <v>Business Support</v>
      </c>
      <c r="F286" s="4" t="str">
        <f>INDEX(Employee!G:G,MATCH(AK286,Employee!B:B,0))</f>
        <v>Operation Team</v>
      </c>
      <c r="G286" s="4" t="s">
        <v>15</v>
      </c>
      <c r="H286" s="4"/>
      <c r="I286" s="4" t="str">
        <f t="shared" si="16"/>
        <v>CAB0032</v>
      </c>
      <c r="J286" s="4" t="s">
        <v>99</v>
      </c>
      <c r="K286" s="4" t="s">
        <v>674</v>
      </c>
      <c r="L286" s="4"/>
      <c r="M286" s="4"/>
      <c r="N286" s="13" t="b">
        <v>0</v>
      </c>
      <c r="O286" s="13" t="b">
        <v>0</v>
      </c>
      <c r="P286" s="4"/>
      <c r="Q286" s="14">
        <v>44289</v>
      </c>
      <c r="R286" s="4" t="s">
        <v>102</v>
      </c>
      <c r="S286" s="10">
        <v>181818</v>
      </c>
      <c r="T286" s="4" t="e">
        <f>INDEX(Employee!#REF!,MATCH(U286,Employee!#REF!,0))</f>
        <v>#REF!</v>
      </c>
      <c r="U286" s="4" t="s">
        <v>292</v>
      </c>
      <c r="V286" s="4" t="e">
        <f>INDEX(Employee!#REF!,MATCH(U286,Employee!#REF!,0))</f>
        <v>#REF!</v>
      </c>
      <c r="W286" s="4" t="e">
        <f>INDEX(Employee!#REF!,MATCH(U286,Employee!#REF!,0))</f>
        <v>#REF!</v>
      </c>
      <c r="X286" s="4" t="e">
        <f>INDEX(Employee!#REF!,MATCH(U286,Employee!#REF!,0))</f>
        <v>#REF!</v>
      </c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 t="str">
        <f>INDEX(Employee!C:C,MATCH(AK286,Employee!B:B,0))</f>
        <v>Đoàn Hà Mi</v>
      </c>
      <c r="AK286" s="4" t="s">
        <v>345</v>
      </c>
      <c r="AL286" s="4" t="str">
        <f>INDEX(Employee!D:D,MATCH(AK286,Employee!B:B,0))</f>
        <v>Admin &amp; Office Manager</v>
      </c>
      <c r="AM286" s="4" t="str">
        <f>INDEX(Employee!F:F,MATCH(AK286,Employee!B:B,0))</f>
        <v>Business Support</v>
      </c>
      <c r="AN286" s="4" t="str">
        <f>INDEX(Employee!H:H,MATCH(AK286,Employee!B:B,0))</f>
        <v>Trần Huyền Thanh (thanhth5)</v>
      </c>
      <c r="AO286" s="4"/>
      <c r="AP286" s="4"/>
      <c r="AQ286" s="4"/>
      <c r="AR286" s="4"/>
      <c r="AS286" s="4"/>
      <c r="CH286" s="6"/>
      <c r="CX286" s="6"/>
    </row>
    <row r="287" spans="1:102" hidden="1">
      <c r="A287" s="3">
        <f t="shared" si="15"/>
        <v>286</v>
      </c>
      <c r="B287" s="4" t="s">
        <v>22</v>
      </c>
      <c r="C287" s="4" t="s">
        <v>5</v>
      </c>
      <c r="D287" s="4" t="e">
        <f>INDEX(Employee!E:E,MATCH(AK287,Employee!B:B,0))</f>
        <v>#N/A</v>
      </c>
      <c r="E287" s="4" t="e">
        <f>INDEX(Employee!F:F,MATCH(AK287,Employee!B:B,0))</f>
        <v>#N/A</v>
      </c>
      <c r="F287" s="4" t="e">
        <f>INDEX(Employee!G:G,MATCH(AK287,Employee!B:B,0))</f>
        <v>#N/A</v>
      </c>
      <c r="G287" s="4" t="s">
        <v>15</v>
      </c>
      <c r="H287" s="4"/>
      <c r="I287" s="4" t="str">
        <f t="shared" si="16"/>
        <v>CAB0033</v>
      </c>
      <c r="J287" s="4" t="s">
        <v>99</v>
      </c>
      <c r="K287" s="4" t="s">
        <v>674</v>
      </c>
      <c r="L287" s="4"/>
      <c r="M287" s="4"/>
      <c r="N287" s="13" t="b">
        <v>0</v>
      </c>
      <c r="O287" s="13" t="b">
        <v>0</v>
      </c>
      <c r="P287" s="4"/>
      <c r="Q287" s="14">
        <v>45169</v>
      </c>
      <c r="R287" s="4" t="s">
        <v>102</v>
      </c>
      <c r="S287" s="10">
        <v>180909</v>
      </c>
      <c r="T287" s="4" t="e">
        <f>INDEX(Employee!#REF!,MATCH(U287,Employee!#REF!,0))</f>
        <v>#REF!</v>
      </c>
      <c r="U287" s="4" t="s">
        <v>292</v>
      </c>
      <c r="V287" s="4" t="e">
        <f>INDEX(Employee!#REF!,MATCH(U287,Employee!#REF!,0))</f>
        <v>#REF!</v>
      </c>
      <c r="W287" s="4" t="e">
        <f>INDEX(Employee!#REF!,MATCH(U287,Employee!#REF!,0))</f>
        <v>#REF!</v>
      </c>
      <c r="X287" s="4" t="e">
        <f>INDEX(Employee!#REF!,MATCH(U287,Employee!#REF!,0))</f>
        <v>#REF!</v>
      </c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 t="e">
        <f>INDEX(Employee!C:C,MATCH(AK287,Employee!B:B,0))</f>
        <v>#N/A</v>
      </c>
      <c r="AK287" s="4"/>
      <c r="AL287" s="4" t="e">
        <f>INDEX(Employee!D:D,MATCH(AK287,Employee!B:B,0))</f>
        <v>#N/A</v>
      </c>
      <c r="AM287" s="4" t="e">
        <f>INDEX(Employee!F:F,MATCH(AK287,Employee!B:B,0))</f>
        <v>#N/A</v>
      </c>
      <c r="AN287" s="4" t="e">
        <f>INDEX(Employee!H:H,MATCH(AK287,Employee!B:B,0))</f>
        <v>#N/A</v>
      </c>
      <c r="AO287" s="4"/>
      <c r="AP287" s="4"/>
      <c r="AQ287" s="4"/>
      <c r="AR287" s="4"/>
      <c r="AS287" s="4"/>
      <c r="CH287" s="6"/>
      <c r="CX287" s="6"/>
    </row>
    <row r="288" spans="1:102" hidden="1">
      <c r="A288" s="3">
        <f t="shared" si="15"/>
        <v>287</v>
      </c>
      <c r="B288" s="4" t="s">
        <v>22</v>
      </c>
      <c r="C288" s="4" t="s">
        <v>3</v>
      </c>
      <c r="D288" s="4">
        <f>INDEX(Employee!E:E,MATCH(AK288,Employee!B:B,0))</f>
        <v>0</v>
      </c>
      <c r="E288" s="4" t="str">
        <f>INDEX(Employee!F:F,MATCH(AK288,Employee!B:B,0))</f>
        <v>Tech</v>
      </c>
      <c r="F288" s="4">
        <f>INDEX(Employee!G:G,MATCH(AK288,Employee!B:B,0))</f>
        <v>0</v>
      </c>
      <c r="G288" s="4" t="s">
        <v>119</v>
      </c>
      <c r="H288" s="4"/>
      <c r="I288" s="4" t="str">
        <f t="shared" si="16"/>
        <v>CAB0034</v>
      </c>
      <c r="J288" s="4" t="s">
        <v>99</v>
      </c>
      <c r="K288" s="4" t="s">
        <v>674</v>
      </c>
      <c r="L288" s="4"/>
      <c r="M288" s="4"/>
      <c r="N288" s="13" t="b">
        <v>0</v>
      </c>
      <c r="O288" s="13" t="b">
        <v>0</v>
      </c>
      <c r="P288" s="4"/>
      <c r="Q288" s="14">
        <v>45169</v>
      </c>
      <c r="R288" s="4" t="s">
        <v>102</v>
      </c>
      <c r="S288" s="10">
        <v>180909</v>
      </c>
      <c r="T288" s="4" t="e">
        <f>INDEX(Employee!#REF!,MATCH(U288,Employee!#REF!,0))</f>
        <v>#REF!</v>
      </c>
      <c r="U288" s="4" t="s">
        <v>292</v>
      </c>
      <c r="V288" s="4" t="e">
        <f>INDEX(Employee!#REF!,MATCH(U288,Employee!#REF!,0))</f>
        <v>#REF!</v>
      </c>
      <c r="W288" s="4" t="e">
        <f>INDEX(Employee!#REF!,MATCH(U288,Employee!#REF!,0))</f>
        <v>#REF!</v>
      </c>
      <c r="X288" s="4" t="e">
        <f>INDEX(Employee!#REF!,MATCH(U288,Employee!#REF!,0))</f>
        <v>#REF!</v>
      </c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 t="str">
        <f>INDEX(Employee!C:C,MATCH(AK288,Employee!B:B,0))</f>
        <v>Lê Nhựt Thịnh</v>
      </c>
      <c r="AK288" s="4" t="s">
        <v>124</v>
      </c>
      <c r="AL288" s="4" t="str">
        <f>INDEX(Employee!D:D,MATCH(AK288,Employee!B:B,0))</f>
        <v>Software Engineer</v>
      </c>
      <c r="AM288" s="4" t="str">
        <f>INDEX(Employee!F:F,MATCH(AK288,Employee!B:B,0))</f>
        <v>Tech</v>
      </c>
      <c r="AN288" s="4" t="str">
        <f>INDEX(Employee!H:H,MATCH(AK288,Employee!B:B,0))</f>
        <v>Trần Triệu Dương (duongtt5)</v>
      </c>
      <c r="AO288" s="4"/>
      <c r="AP288" s="4"/>
      <c r="AQ288" s="4"/>
      <c r="AR288" s="4"/>
      <c r="AS288" s="4"/>
      <c r="CH288" s="6"/>
      <c r="CX288" s="6"/>
    </row>
    <row r="289" spans="1:102" hidden="1">
      <c r="A289" s="3">
        <f t="shared" si="15"/>
        <v>288</v>
      </c>
      <c r="B289" s="4" t="s">
        <v>22</v>
      </c>
      <c r="C289" s="4" t="s">
        <v>3</v>
      </c>
      <c r="D289" s="4" t="str">
        <f>INDEX(Employee!E:E,MATCH(AK289,Employee!B:B,0))</f>
        <v>Project</v>
      </c>
      <c r="E289" s="4" t="str">
        <f>INDEX(Employee!F:F,MATCH(AK289,Employee!B:B,0))</f>
        <v>Tech</v>
      </c>
      <c r="F289" s="4" t="str">
        <f>INDEX(Employee!G:G,MATCH(AK289,Employee!B:B,0))</f>
        <v>Venture</v>
      </c>
      <c r="G289" s="4" t="s">
        <v>15</v>
      </c>
      <c r="H289" s="4"/>
      <c r="I289" s="4" t="str">
        <f t="shared" si="16"/>
        <v>CAB0035</v>
      </c>
      <c r="J289" s="4" t="s">
        <v>678</v>
      </c>
      <c r="K289" s="4" t="s">
        <v>679</v>
      </c>
      <c r="L289" s="4"/>
      <c r="M289" s="4"/>
      <c r="N289" s="13" t="b">
        <v>0</v>
      </c>
      <c r="O289" s="13" t="b">
        <v>0</v>
      </c>
      <c r="P289" s="4"/>
      <c r="Q289" s="14">
        <v>45169</v>
      </c>
      <c r="R289" s="4" t="s">
        <v>102</v>
      </c>
      <c r="S289" s="10">
        <v>139500</v>
      </c>
      <c r="T289" s="4" t="e">
        <f>INDEX(Employee!#REF!,MATCH(U289,Employee!#REF!,0))</f>
        <v>#REF!</v>
      </c>
      <c r="U289" s="4" t="s">
        <v>292</v>
      </c>
      <c r="V289" s="4" t="e">
        <f>INDEX(Employee!#REF!,MATCH(U289,Employee!#REF!,0))</f>
        <v>#REF!</v>
      </c>
      <c r="W289" s="4" t="e">
        <f>INDEX(Employee!#REF!,MATCH(U289,Employee!#REF!,0))</f>
        <v>#REF!</v>
      </c>
      <c r="X289" s="4" t="e">
        <f>INDEX(Employee!#REF!,MATCH(U289,Employee!#REF!,0))</f>
        <v>#REF!</v>
      </c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 t="str">
        <f>INDEX(Employee!C:C,MATCH(AK289,Employee!B:B,0))</f>
        <v>Đoàn Nhật Duẩn</v>
      </c>
      <c r="AK289" s="4" t="s">
        <v>288</v>
      </c>
      <c r="AL289" s="4" t="str">
        <f>INDEX(Employee!D:D,MATCH(AK289,Employee!B:B,0))</f>
        <v>Chief Innovation Officer</v>
      </c>
      <c r="AM289" s="4" t="str">
        <f>INDEX(Employee!F:F,MATCH(AK289,Employee!B:B,0))</f>
        <v>Tech</v>
      </c>
      <c r="AN289" s="4" t="str">
        <f>INDEX(Employee!H:H,MATCH(AK289,Employee!B:B,0))</f>
        <v>Đoàn Hải Nam</v>
      </c>
      <c r="AO289" s="4"/>
      <c r="AP289" s="4"/>
      <c r="AQ289" s="4"/>
      <c r="AR289" s="4"/>
      <c r="AS289" s="4"/>
      <c r="CH289" s="6"/>
      <c r="CX289" s="6"/>
    </row>
    <row r="290" spans="1:102" hidden="1">
      <c r="A290" s="3">
        <f t="shared" si="15"/>
        <v>289</v>
      </c>
      <c r="B290" s="4" t="s">
        <v>22</v>
      </c>
      <c r="C290" s="4" t="s">
        <v>5</v>
      </c>
      <c r="D290" s="4" t="e">
        <f>INDEX(Employee!E:E,MATCH(AK290,Employee!B:B,0))</f>
        <v>#N/A</v>
      </c>
      <c r="E290" s="4" t="e">
        <f>INDEX(Employee!F:F,MATCH(AK290,Employee!B:B,0))</f>
        <v>#N/A</v>
      </c>
      <c r="F290" s="4" t="e">
        <f>INDEX(Employee!G:G,MATCH(AK290,Employee!B:B,0))</f>
        <v>#N/A</v>
      </c>
      <c r="G290" s="4" t="s">
        <v>15</v>
      </c>
      <c r="H290" s="4"/>
      <c r="I290" s="4" t="str">
        <f t="shared" si="16"/>
        <v>CAB0036</v>
      </c>
      <c r="J290" s="4" t="s">
        <v>678</v>
      </c>
      <c r="K290" s="4" t="s">
        <v>679</v>
      </c>
      <c r="L290" s="4"/>
      <c r="M290" s="4"/>
      <c r="N290" s="13" t="b">
        <v>0</v>
      </c>
      <c r="O290" s="13" t="b">
        <v>0</v>
      </c>
      <c r="P290" s="4"/>
      <c r="Q290" s="14">
        <v>45169</v>
      </c>
      <c r="R290" s="4" t="s">
        <v>102</v>
      </c>
      <c r="S290" s="10">
        <v>138182</v>
      </c>
      <c r="T290" s="4" t="e">
        <f>INDEX(Employee!#REF!,MATCH(U290,Employee!#REF!,0))</f>
        <v>#REF!</v>
      </c>
      <c r="U290" s="4" t="s">
        <v>292</v>
      </c>
      <c r="V290" s="4" t="e">
        <f>INDEX(Employee!#REF!,MATCH(U290,Employee!#REF!,0))</f>
        <v>#REF!</v>
      </c>
      <c r="W290" s="4" t="e">
        <f>INDEX(Employee!#REF!,MATCH(U290,Employee!#REF!,0))</f>
        <v>#REF!</v>
      </c>
      <c r="X290" s="4" t="e">
        <f>INDEX(Employee!#REF!,MATCH(U290,Employee!#REF!,0))</f>
        <v>#REF!</v>
      </c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 t="e">
        <f>INDEX(Employee!C:C,MATCH(AK290,Employee!B:B,0))</f>
        <v>#N/A</v>
      </c>
      <c r="AK290" s="4"/>
      <c r="AL290" s="4" t="e">
        <f>INDEX(Employee!D:D,MATCH(AK290,Employee!B:B,0))</f>
        <v>#N/A</v>
      </c>
      <c r="AM290" s="4" t="e">
        <f>INDEX(Employee!F:F,MATCH(AK290,Employee!B:B,0))</f>
        <v>#N/A</v>
      </c>
      <c r="AN290" s="4" t="e">
        <f>INDEX(Employee!H:H,MATCH(AK290,Employee!B:B,0))</f>
        <v>#N/A</v>
      </c>
      <c r="AO290" s="4"/>
      <c r="AP290" s="4"/>
      <c r="AQ290" s="4"/>
      <c r="AR290" s="4"/>
      <c r="AS290" s="4"/>
      <c r="CH290" s="6"/>
      <c r="CX290" s="6"/>
    </row>
    <row r="291" spans="1:102" hidden="1">
      <c r="A291" s="3">
        <f t="shared" si="15"/>
        <v>290</v>
      </c>
      <c r="B291" s="4" t="s">
        <v>22</v>
      </c>
      <c r="C291" s="4" t="s">
        <v>3</v>
      </c>
      <c r="D291" s="4">
        <f>INDEX(Employee!E:E,MATCH(AK291,Employee!B:B,0))</f>
        <v>0</v>
      </c>
      <c r="E291" s="4" t="str">
        <f>INDEX(Employee!F:F,MATCH(AK291,Employee!B:B,0))</f>
        <v>Tech</v>
      </c>
      <c r="F291" s="4">
        <f>INDEX(Employee!G:G,MATCH(AK291,Employee!B:B,0))</f>
        <v>0</v>
      </c>
      <c r="G291" s="4" t="s">
        <v>119</v>
      </c>
      <c r="H291" s="4"/>
      <c r="I291" s="4" t="str">
        <f t="shared" si="16"/>
        <v>CAB0037</v>
      </c>
      <c r="J291" s="4" t="s">
        <v>678</v>
      </c>
      <c r="K291" s="4" t="s">
        <v>679</v>
      </c>
      <c r="L291" s="4"/>
      <c r="M291" s="4"/>
      <c r="N291" s="13" t="b">
        <v>0</v>
      </c>
      <c r="O291" s="13" t="b">
        <v>0</v>
      </c>
      <c r="P291" s="4"/>
      <c r="Q291" s="14">
        <v>45169</v>
      </c>
      <c r="R291" s="4" t="s">
        <v>102</v>
      </c>
      <c r="S291" s="10">
        <v>126500</v>
      </c>
      <c r="T291" s="4" t="e">
        <f>INDEX(Employee!#REF!,MATCH(U291,Employee!#REF!,0))</f>
        <v>#REF!</v>
      </c>
      <c r="U291" s="4" t="s">
        <v>292</v>
      </c>
      <c r="V291" s="4" t="e">
        <f>INDEX(Employee!#REF!,MATCH(U291,Employee!#REF!,0))</f>
        <v>#REF!</v>
      </c>
      <c r="W291" s="4" t="e">
        <f>INDEX(Employee!#REF!,MATCH(U291,Employee!#REF!,0))</f>
        <v>#REF!</v>
      </c>
      <c r="X291" s="4" t="e">
        <f>INDEX(Employee!#REF!,MATCH(U291,Employee!#REF!,0))</f>
        <v>#REF!</v>
      </c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 t="str">
        <f>INDEX(Employee!C:C,MATCH(AK291,Employee!B:B,0))</f>
        <v>Khổng Gia Bình</v>
      </c>
      <c r="AK291" s="4" t="s">
        <v>515</v>
      </c>
      <c r="AL291" s="4" t="str">
        <f>INDEX(Employee!D:D,MATCH(AK291,Employee!B:B,0))</f>
        <v>Software Engineer</v>
      </c>
      <c r="AM291" s="4" t="str">
        <f>INDEX(Employee!F:F,MATCH(AK291,Employee!B:B,0))</f>
        <v>Tech</v>
      </c>
      <c r="AN291" s="4" t="str">
        <f>INDEX(Employee!H:H,MATCH(AK291,Employee!B:B,0))</f>
        <v>Trần Triệu Dương (duongtt5)</v>
      </c>
      <c r="AO291" s="4"/>
      <c r="AP291" s="4"/>
      <c r="AQ291" s="4"/>
      <c r="AR291" s="4"/>
      <c r="AS291" s="4"/>
      <c r="CH291" s="6"/>
      <c r="CX291" s="6"/>
    </row>
    <row r="292" spans="1:102" hidden="1">
      <c r="A292" s="3">
        <f t="shared" si="15"/>
        <v>291</v>
      </c>
      <c r="B292" s="4" t="s">
        <v>14</v>
      </c>
      <c r="C292" s="4" t="s">
        <v>3</v>
      </c>
      <c r="D292" s="4" t="str">
        <f>INDEX(Employee!E:E,MATCH(AK292,Employee!B:B,0))</f>
        <v>CTD</v>
      </c>
      <c r="E292" s="4" t="str">
        <f>INDEX(Employee!F:F,MATCH(AK292,Employee!B:B,0))</f>
        <v>CTD</v>
      </c>
      <c r="F292" s="4" t="str">
        <f>INDEX(Employee!G:G,MATCH(AK292,Employee!B:B,0))</f>
        <v>CTD</v>
      </c>
      <c r="G292" s="4" t="s">
        <v>15</v>
      </c>
      <c r="H292" s="4" t="s">
        <v>680</v>
      </c>
      <c r="I292" s="4" t="s">
        <v>681</v>
      </c>
      <c r="J292" s="4" t="s">
        <v>99</v>
      </c>
      <c r="K292" s="7" t="s">
        <v>100</v>
      </c>
      <c r="L292" s="7" t="s">
        <v>49</v>
      </c>
      <c r="M292" s="4" t="str">
        <f t="shared" ref="M292:M297" si="17">RIGHT(K292,5)</f>
        <v>256GB</v>
      </c>
      <c r="N292" s="13" t="b">
        <v>1</v>
      </c>
      <c r="O292" s="13" t="b">
        <v>0</v>
      </c>
      <c r="P292" s="4" t="s">
        <v>682</v>
      </c>
      <c r="Q292" s="14">
        <v>45252</v>
      </c>
      <c r="R292" s="4" t="s">
        <v>102</v>
      </c>
      <c r="S292" s="10">
        <v>25533667</v>
      </c>
      <c r="T292" s="4" t="e">
        <f>INDEX(Employee!#REF!,MATCH(U292,Employee!#REF!,0))</f>
        <v>#REF!</v>
      </c>
      <c r="U292" s="4"/>
      <c r="V292" s="4" t="e">
        <f>INDEX(Employee!#REF!,MATCH(U292,Employee!#REF!,0))</f>
        <v>#REF!</v>
      </c>
      <c r="W292" s="4" t="e">
        <f>INDEX(Employee!#REF!,MATCH(U292,Employee!#REF!,0))</f>
        <v>#REF!</v>
      </c>
      <c r="X292" s="4" t="e">
        <f>INDEX(Employee!#REF!,MATCH(U292,Employee!#REF!,0))</f>
        <v>#REF!</v>
      </c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 t="str">
        <f>INDEX(Employee!C:C,MATCH(AK292,Employee!B:B,0))</f>
        <v>Đào Duy Thoại</v>
      </c>
      <c r="AK292" s="4" t="s">
        <v>683</v>
      </c>
      <c r="AL292" s="4" t="str">
        <f>INDEX(Employee!D:D,MATCH(AK292,Employee!B:B,0))</f>
        <v>Head of IT</v>
      </c>
      <c r="AM292" s="4" t="str">
        <f>INDEX(Employee!F:F,MATCH(AK292,Employee!B:B,0))</f>
        <v>CTD</v>
      </c>
      <c r="AN292" s="4" t="str">
        <f>INDEX(Employee!H:H,MATCH(AK292,Employee!B:B,0))</f>
        <v>CTD</v>
      </c>
      <c r="AO292" s="4"/>
      <c r="AP292" s="4"/>
      <c r="AQ292" s="4"/>
      <c r="AR292" s="4"/>
      <c r="AS292" s="4"/>
      <c r="BR292" s="6"/>
      <c r="CH292" s="6"/>
    </row>
    <row r="293" spans="1:102" hidden="1">
      <c r="A293" s="3">
        <f t="shared" si="15"/>
        <v>292</v>
      </c>
      <c r="B293" s="4" t="s">
        <v>14</v>
      </c>
      <c r="C293" s="4" t="s">
        <v>3</v>
      </c>
      <c r="D293" s="4" t="str">
        <f>INDEX(Employee!E:E,MATCH(AK293,Employee!B:B,0))</f>
        <v>Project</v>
      </c>
      <c r="E293" s="4" t="str">
        <f>INDEX(Employee!F:F,MATCH(AK293,Employee!B:B,0))</f>
        <v>Tech</v>
      </c>
      <c r="F293" s="4" t="str">
        <f>INDEX(Employee!G:G,MATCH(AK293,Employee!B:B,0))</f>
        <v>Venture</v>
      </c>
      <c r="G293" s="4" t="s">
        <v>15</v>
      </c>
      <c r="H293" s="4"/>
      <c r="I293" s="4" t="str">
        <f>IF(I292="","", "LAP"&amp;TEXT(VALUE(RIGHT(I292,4))+1,"0000"))</f>
        <v>LAP0086</v>
      </c>
      <c r="J293" s="4" t="s">
        <v>115</v>
      </c>
      <c r="K293" s="7" t="s">
        <v>245</v>
      </c>
      <c r="L293" s="7" t="s">
        <v>52</v>
      </c>
      <c r="M293" s="4" t="str">
        <f t="shared" si="17"/>
        <v>256GB</v>
      </c>
      <c r="N293" s="13" t="b">
        <v>1</v>
      </c>
      <c r="O293" s="13" t="b">
        <v>0</v>
      </c>
      <c r="P293" s="4" t="s">
        <v>684</v>
      </c>
      <c r="Q293" s="14">
        <v>44743</v>
      </c>
      <c r="R293" s="4" t="s">
        <v>102</v>
      </c>
      <c r="S293" s="10">
        <v>2988355</v>
      </c>
      <c r="T293" s="4" t="e">
        <f>INDEX(Employee!#REF!,MATCH(U293,Employee!#REF!,0))</f>
        <v>#REF!</v>
      </c>
      <c r="U293" s="4"/>
      <c r="V293" s="4" t="e">
        <f>INDEX(Employee!#REF!,MATCH(U293,Employee!#REF!,0))</f>
        <v>#REF!</v>
      </c>
      <c r="W293" s="4" t="e">
        <f>INDEX(Employee!#REF!,MATCH(U293,Employee!#REF!,0))</f>
        <v>#REF!</v>
      </c>
      <c r="X293" s="4" t="e">
        <f>INDEX(Employee!#REF!,MATCH(U293,Employee!#REF!,0))</f>
        <v>#REF!</v>
      </c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 t="str">
        <f>INDEX(Employee!C:C,MATCH(AK293,Employee!B:B,0))</f>
        <v>Nguyễn Ngọc Lân</v>
      </c>
      <c r="AK293" s="4" t="s">
        <v>554</v>
      </c>
      <c r="AL293" s="4" t="str">
        <f>INDEX(Employee!D:D,MATCH(AK293,Employee!B:B,0))</f>
        <v xml:space="preserve">Business Analyst Intern </v>
      </c>
      <c r="AM293" s="4" t="str">
        <f>INDEX(Employee!F:F,MATCH(AK293,Employee!B:B,0))</f>
        <v>Tech</v>
      </c>
      <c r="AN293" s="4" t="str">
        <f>INDEX(Employee!H:H,MATCH(AK293,Employee!B:B,0))</f>
        <v>Ngô Khánh Vu</v>
      </c>
      <c r="AO293" s="4"/>
      <c r="AP293" s="4"/>
      <c r="AQ293" s="4"/>
      <c r="AR293" s="4"/>
      <c r="AS293" s="4"/>
      <c r="CH293" s="6"/>
    </row>
    <row r="294" spans="1:102" hidden="1">
      <c r="A294" s="3">
        <f t="shared" si="15"/>
        <v>293</v>
      </c>
      <c r="B294" s="4" t="s">
        <v>14</v>
      </c>
      <c r="C294" s="4" t="s">
        <v>4</v>
      </c>
      <c r="D294" s="4" t="e">
        <f>INDEX(Employee!E:E,MATCH(AK294,Employee!B:B,0))</f>
        <v>#N/A</v>
      </c>
      <c r="E294" s="4" t="e">
        <f>INDEX(Employee!F:F,MATCH(AK294,Employee!B:B,0))</f>
        <v>#N/A</v>
      </c>
      <c r="F294" s="4" t="e">
        <f>INDEX(Employee!G:G,MATCH(AK294,Employee!B:B,0))</f>
        <v>#N/A</v>
      </c>
      <c r="G294" s="4" t="s">
        <v>15</v>
      </c>
      <c r="H294" s="4"/>
      <c r="I294" s="4" t="str">
        <f>IF(I293="","", "LAP"&amp;TEXT(VALUE(RIGHT(I293,4))+1,"0000"))</f>
        <v>LAP0087</v>
      </c>
      <c r="J294" s="4" t="s">
        <v>99</v>
      </c>
      <c r="K294" s="7" t="s">
        <v>121</v>
      </c>
      <c r="L294" s="7" t="s">
        <v>48</v>
      </c>
      <c r="M294" s="4" t="str">
        <f t="shared" si="17"/>
        <v>256GB</v>
      </c>
      <c r="N294" s="13" t="b">
        <v>1</v>
      </c>
      <c r="O294" s="13" t="b">
        <v>0</v>
      </c>
      <c r="P294" s="4" t="s">
        <v>685</v>
      </c>
      <c r="Q294" s="14">
        <v>44579</v>
      </c>
      <c r="R294" s="4" t="s">
        <v>102</v>
      </c>
      <c r="S294" s="10">
        <v>3245455</v>
      </c>
      <c r="T294" s="4" t="e">
        <f>INDEX(Employee!#REF!,MATCH(U294,Employee!#REF!,0))</f>
        <v>#REF!</v>
      </c>
      <c r="U294" s="4" t="s">
        <v>345</v>
      </c>
      <c r="V294" s="4" t="e">
        <f>INDEX(Employee!#REF!,MATCH(U294,Employee!#REF!,0))</f>
        <v>#REF!</v>
      </c>
      <c r="W294" s="4" t="e">
        <f>INDEX(Employee!#REF!,MATCH(U294,Employee!#REF!,0))</f>
        <v>#REF!</v>
      </c>
      <c r="X294" s="4" t="e">
        <f>INDEX(Employee!#REF!,MATCH(U294,Employee!#REF!,0))</f>
        <v>#REF!</v>
      </c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 t="e">
        <f>INDEX(Employee!C:C,MATCH(AK294,Employee!B:B,0))</f>
        <v>#N/A</v>
      </c>
      <c r="AK294" s="4"/>
      <c r="AL294" s="4" t="e">
        <f>INDEX(Employee!D:D,MATCH(AK294,Employee!B:B,0))</f>
        <v>#N/A</v>
      </c>
      <c r="AM294" s="4" t="e">
        <f>INDEX(Employee!F:F,MATCH(AK294,Employee!B:B,0))</f>
        <v>#N/A</v>
      </c>
      <c r="AN294" s="4" t="e">
        <f>INDEX(Employee!H:H,MATCH(AK294,Employee!B:B,0))</f>
        <v>#N/A</v>
      </c>
      <c r="AO294" s="4"/>
      <c r="AP294" s="4"/>
      <c r="AQ294" s="4"/>
      <c r="AR294" s="4"/>
      <c r="AS294" s="4" t="s">
        <v>588</v>
      </c>
      <c r="CH294" s="6"/>
    </row>
    <row r="295" spans="1:102" hidden="1">
      <c r="A295" s="3">
        <f t="shared" si="15"/>
        <v>294</v>
      </c>
      <c r="B295" s="4" t="s">
        <v>14</v>
      </c>
      <c r="C295" s="4" t="s">
        <v>6</v>
      </c>
      <c r="D295" s="4">
        <f>INDEX(Employee!E:E,MATCH(AK295,Employee!B:B,0))</f>
        <v>0</v>
      </c>
      <c r="E295" s="4">
        <f>INDEX(Employee!F:F,MATCH(AK295,Employee!B:B,0))</f>
        <v>0</v>
      </c>
      <c r="F295" s="4">
        <f>INDEX(Employee!G:G,MATCH(AK295,Employee!B:B,0))</f>
        <v>0</v>
      </c>
      <c r="G295" s="4" t="s">
        <v>15</v>
      </c>
      <c r="H295" s="4"/>
      <c r="I295" s="4" t="str">
        <f>IF(I294="","", "LAP"&amp;TEXT(VALUE(RIGHT(I294,4))+1,"0000"))</f>
        <v>LAP0088</v>
      </c>
      <c r="J295" s="4" t="s">
        <v>115</v>
      </c>
      <c r="K295" s="7" t="s">
        <v>164</v>
      </c>
      <c r="L295" s="7" t="s">
        <v>52</v>
      </c>
      <c r="M295" s="4" t="str">
        <f t="shared" si="17"/>
        <v>256GB</v>
      </c>
      <c r="N295" s="13" t="b">
        <v>1</v>
      </c>
      <c r="O295" s="13" t="b">
        <v>0</v>
      </c>
      <c r="P295" s="4" t="s">
        <v>686</v>
      </c>
      <c r="Q295" s="14">
        <v>45308</v>
      </c>
      <c r="R295" s="4" t="s">
        <v>102</v>
      </c>
      <c r="S295" s="10">
        <v>2512400</v>
      </c>
      <c r="T295" s="4" t="e">
        <f>INDEX(Employee!#REF!,MATCH(U295,Employee!#REF!,0))</f>
        <v>#REF!</v>
      </c>
      <c r="U295" s="4" t="s">
        <v>345</v>
      </c>
      <c r="V295" s="4" t="e">
        <f>INDEX(Employee!#REF!,MATCH(U295,Employee!#REF!,0))</f>
        <v>#REF!</v>
      </c>
      <c r="W295" s="4" t="e">
        <f>INDEX(Employee!#REF!,MATCH(U295,Employee!#REF!,0))</f>
        <v>#REF!</v>
      </c>
      <c r="X295" s="4" t="e">
        <f>INDEX(Employee!#REF!,MATCH(U295,Employee!#REF!,0))</f>
        <v>#REF!</v>
      </c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 t="str">
        <f>INDEX(Employee!C:C,MATCH(AK295,Employee!B:B,0))</f>
        <v>Ivan</v>
      </c>
      <c r="AK295" s="4" t="s">
        <v>687</v>
      </c>
      <c r="AL295" s="4">
        <f>INDEX(Employee!D:D,MATCH(AK295,Employee!B:B,0))</f>
        <v>0</v>
      </c>
      <c r="AM295" s="4">
        <f>INDEX(Employee!F:F,MATCH(AK295,Employee!B:B,0))</f>
        <v>0</v>
      </c>
      <c r="AN295" s="4">
        <f>INDEX(Employee!H:H,MATCH(AK295,Employee!B:B,0))</f>
        <v>0</v>
      </c>
      <c r="AO295" s="4"/>
      <c r="AP295" s="4"/>
      <c r="AQ295" s="4"/>
      <c r="AR295" s="4"/>
      <c r="AS295" s="4"/>
      <c r="CH295" s="6"/>
    </row>
    <row r="296" spans="1:102" hidden="1">
      <c r="A296" s="3">
        <f t="shared" si="15"/>
        <v>295</v>
      </c>
      <c r="B296" s="4" t="s">
        <v>14</v>
      </c>
      <c r="C296" s="4" t="s">
        <v>6</v>
      </c>
      <c r="D296" s="4">
        <f>INDEX(Employee!E:E,MATCH(AK296,Employee!B:B,0))</f>
        <v>0</v>
      </c>
      <c r="E296" s="4">
        <f>INDEX(Employee!F:F,MATCH(AK296,Employee!B:B,0))</f>
        <v>0</v>
      </c>
      <c r="F296" s="4">
        <f>INDEX(Employee!G:G,MATCH(AK296,Employee!B:B,0))</f>
        <v>0</v>
      </c>
      <c r="G296" s="4" t="s">
        <v>15</v>
      </c>
      <c r="H296" s="4"/>
      <c r="I296" s="4" t="str">
        <f>IF(I295="","", "LAP"&amp;TEXT(VALUE(RIGHT(I295,4))+1,"0000"))</f>
        <v>LAP0089</v>
      </c>
      <c r="J296" s="4" t="s">
        <v>115</v>
      </c>
      <c r="K296" s="7" t="s">
        <v>164</v>
      </c>
      <c r="L296" s="7" t="s">
        <v>52</v>
      </c>
      <c r="M296" s="4" t="str">
        <f t="shared" si="17"/>
        <v>256GB</v>
      </c>
      <c r="N296" s="13" t="b">
        <v>1</v>
      </c>
      <c r="O296" s="13" t="b">
        <v>0</v>
      </c>
      <c r="P296" s="4" t="s">
        <v>688</v>
      </c>
      <c r="Q296" s="14">
        <v>45308</v>
      </c>
      <c r="R296" s="4" t="s">
        <v>102</v>
      </c>
      <c r="S296" s="10">
        <v>19906612</v>
      </c>
      <c r="T296" s="4" t="e">
        <f>INDEX(Employee!#REF!,MATCH(U296,Employee!#REF!,0))</f>
        <v>#REF!</v>
      </c>
      <c r="U296" s="4" t="s">
        <v>345</v>
      </c>
      <c r="V296" s="4" t="e">
        <f>INDEX(Employee!#REF!,MATCH(U296,Employee!#REF!,0))</f>
        <v>#REF!</v>
      </c>
      <c r="W296" s="4" t="e">
        <f>INDEX(Employee!#REF!,MATCH(U296,Employee!#REF!,0))</f>
        <v>#REF!</v>
      </c>
      <c r="X296" s="4" t="e">
        <f>INDEX(Employee!#REF!,MATCH(U296,Employee!#REF!,0))</f>
        <v>#REF!</v>
      </c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 t="str">
        <f>INDEX(Employee!C:C,MATCH(AK296,Employee!B:B,0))</f>
        <v>Ali Mustafa</v>
      </c>
      <c r="AK296" s="4" t="s">
        <v>689</v>
      </c>
      <c r="AL296" s="4" t="str">
        <f>INDEX(Employee!D:D,MATCH(AK296,Employee!B:B,0))</f>
        <v>Data Solution Architect</v>
      </c>
      <c r="AM296" s="4">
        <f>INDEX(Employee!F:F,MATCH(AK296,Employee!B:B,0))</f>
        <v>0</v>
      </c>
      <c r="AN296" s="4" t="str">
        <f>INDEX(Employee!H:H,MATCH(AK296,Employee!B:B,0))</f>
        <v>Aleksandar Jelic (jelica)</v>
      </c>
      <c r="AO296" s="4"/>
      <c r="AP296" s="4"/>
      <c r="AQ296" s="4"/>
      <c r="AR296" s="4"/>
      <c r="AS296" s="4"/>
      <c r="CH296" s="6"/>
    </row>
    <row r="297" spans="1:102" hidden="1">
      <c r="A297" s="3">
        <f t="shared" si="15"/>
        <v>296</v>
      </c>
      <c r="B297" s="4" t="s">
        <v>14</v>
      </c>
      <c r="C297" s="4" t="s">
        <v>3</v>
      </c>
      <c r="D297" s="4" t="str">
        <f>INDEX(Employee!E:E,MATCH(AK297,Employee!B:B,0))</f>
        <v>CTD</v>
      </c>
      <c r="E297" s="4" t="str">
        <f>INDEX(Employee!F:F,MATCH(AK297,Employee!B:B,0))</f>
        <v>CTD</v>
      </c>
      <c r="F297" s="4" t="str">
        <f>INDEX(Employee!G:G,MATCH(AK297,Employee!B:B,0))</f>
        <v>CTD</v>
      </c>
      <c r="G297" s="4" t="s">
        <v>15</v>
      </c>
      <c r="H297" s="4"/>
      <c r="I297" s="4" t="str">
        <f>IF(I296="","", "LAP"&amp;TEXT(VALUE(RIGHT(I296,4))+1,"0000"))</f>
        <v>LAP0090</v>
      </c>
      <c r="J297" s="4" t="s">
        <v>115</v>
      </c>
      <c r="K297" s="7" t="s">
        <v>164</v>
      </c>
      <c r="L297" s="7" t="s">
        <v>52</v>
      </c>
      <c r="M297" s="4" t="str">
        <f t="shared" si="17"/>
        <v>256GB</v>
      </c>
      <c r="N297" s="13" t="b">
        <v>1</v>
      </c>
      <c r="O297" s="13" t="b">
        <v>1</v>
      </c>
      <c r="P297" s="4" t="s">
        <v>690</v>
      </c>
      <c r="Q297" s="14">
        <v>45308</v>
      </c>
      <c r="R297" s="4" t="s">
        <v>102</v>
      </c>
      <c r="S297" s="10">
        <v>19906612</v>
      </c>
      <c r="T297" s="4" t="e">
        <f>INDEX(Employee!#REF!,MATCH(U297,Employee!#REF!,0))</f>
        <v>#REF!</v>
      </c>
      <c r="U297" s="4" t="s">
        <v>631</v>
      </c>
      <c r="V297" s="4" t="e">
        <f>INDEX(Employee!#REF!,MATCH(U297,Employee!#REF!,0))</f>
        <v>#REF!</v>
      </c>
      <c r="W297" s="4" t="e">
        <f>INDEX(Employee!#REF!,MATCH(U297,Employee!#REF!,0))</f>
        <v>#REF!</v>
      </c>
      <c r="X297" s="4" t="e">
        <f>INDEX(Employee!#REF!,MATCH(U297,Employee!#REF!,0))</f>
        <v>#REF!</v>
      </c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 t="str">
        <f>INDEX(Employee!C:C,MATCH(AK297,Employee!B:B,0))</f>
        <v>Trần Gia Ân</v>
      </c>
      <c r="AK297" s="4" t="s">
        <v>450</v>
      </c>
      <c r="AL297" s="4" t="str">
        <f>INDEX(Employee!D:D,MATCH(AK297,Employee!B:B,0))</f>
        <v>SAP Intern</v>
      </c>
      <c r="AM297" s="4" t="str">
        <f>INDEX(Employee!F:F,MATCH(AK297,Employee!B:B,0))</f>
        <v>CTD</v>
      </c>
      <c r="AN297" s="4" t="str">
        <f>INDEX(Employee!H:H,MATCH(AK297,Employee!B:B,0))</f>
        <v>CTD</v>
      </c>
      <c r="AO297" s="4"/>
      <c r="AP297" s="4"/>
      <c r="AQ297" s="4"/>
      <c r="AR297" s="4"/>
      <c r="AS297" s="4"/>
      <c r="CH297" s="6"/>
    </row>
    <row r="298" spans="1:102" ht="29.25" hidden="1">
      <c r="A298" s="3">
        <f t="shared" si="15"/>
        <v>297</v>
      </c>
      <c r="B298" s="4" t="s">
        <v>28</v>
      </c>
      <c r="C298" s="4" t="s">
        <v>3</v>
      </c>
      <c r="D298" s="4" t="str">
        <f>INDEX(Employee!E:E,MATCH(AK298,Employee!B:B,0))</f>
        <v>Project</v>
      </c>
      <c r="E298" s="4" t="str">
        <f>INDEX(Employee!F:F,MATCH(AK298,Employee!B:B,0))</f>
        <v>Tech</v>
      </c>
      <c r="F298" s="4" t="str">
        <f>INDEX(Employee!G:G,MATCH(AK298,Employee!B:B,0))</f>
        <v>Venture</v>
      </c>
      <c r="G298" s="4" t="s">
        <v>15</v>
      </c>
      <c r="H298" s="4"/>
      <c r="I298" s="4" t="s">
        <v>691</v>
      </c>
      <c r="J298" s="4" t="s">
        <v>692</v>
      </c>
      <c r="K298" s="7" t="s">
        <v>693</v>
      </c>
      <c r="L298" s="7" t="s">
        <v>53</v>
      </c>
      <c r="M298" s="7"/>
      <c r="N298" s="13" t="b">
        <v>0</v>
      </c>
      <c r="O298" s="13" t="b">
        <v>0</v>
      </c>
      <c r="P298" s="4" t="s">
        <v>694</v>
      </c>
      <c r="Q298" s="14">
        <v>43292</v>
      </c>
      <c r="R298" s="4" t="s">
        <v>102</v>
      </c>
      <c r="S298" s="10">
        <v>3582500</v>
      </c>
      <c r="T298" s="4" t="e">
        <f>INDEX(Employee!#REF!,MATCH(U298,Employee!#REF!,0))</f>
        <v>#REF!</v>
      </c>
      <c r="U298" s="4" t="s">
        <v>631</v>
      </c>
      <c r="V298" s="4" t="e">
        <f>INDEX(Employee!#REF!,MATCH(U298,Employee!#REF!,0))</f>
        <v>#REF!</v>
      </c>
      <c r="W298" s="4" t="e">
        <f>INDEX(Employee!#REF!,MATCH(U298,Employee!#REF!,0))</f>
        <v>#REF!</v>
      </c>
      <c r="X298" s="4" t="e">
        <f>INDEX(Employee!#REF!,MATCH(U298,Employee!#REF!,0))</f>
        <v>#REF!</v>
      </c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 t="str">
        <f>INDEX(Employee!C:C,MATCH(AK298,Employee!B:B,0))</f>
        <v>Trịnh Minh Toàn</v>
      </c>
      <c r="AK298" s="4" t="s">
        <v>215</v>
      </c>
      <c r="AL298" s="4" t="str">
        <f>INDEX(Employee!D:D,MATCH(AK298,Employee!B:B,0))</f>
        <v>Senior Software Engineer</v>
      </c>
      <c r="AM298" s="4" t="str">
        <f>INDEX(Employee!F:F,MATCH(AK298,Employee!B:B,0))</f>
        <v>Tech</v>
      </c>
      <c r="AN298" s="4" t="str">
        <f>INDEX(Employee!H:H,MATCH(AK298,Employee!B:B,0))</f>
        <v>Đoàn Nhật Duẩn (duandn)</v>
      </c>
      <c r="AO298" s="4"/>
      <c r="AP298" s="4"/>
      <c r="AQ298" s="4"/>
      <c r="AR298" s="4"/>
      <c r="AS298" s="4"/>
      <c r="CH298" s="6"/>
    </row>
    <row r="299" spans="1:102" ht="43.5" hidden="1">
      <c r="A299" s="3">
        <f t="shared" si="15"/>
        <v>298</v>
      </c>
      <c r="B299" s="4" t="s">
        <v>28</v>
      </c>
      <c r="C299" s="4" t="s">
        <v>3</v>
      </c>
      <c r="D299" s="4" t="str">
        <f>INDEX(Employee!E:E,MATCH(AK299,Employee!B:B,0))</f>
        <v>Project</v>
      </c>
      <c r="E299" s="4" t="str">
        <f>INDEX(Employee!F:F,MATCH(AK299,Employee!B:B,0))</f>
        <v>Tech</v>
      </c>
      <c r="F299" s="4" t="str">
        <f>INDEX(Employee!G:G,MATCH(AK299,Employee!B:B,0))</f>
        <v>Venture</v>
      </c>
      <c r="G299" s="4" t="s">
        <v>15</v>
      </c>
      <c r="H299" s="4" t="s">
        <v>695</v>
      </c>
      <c r="I299" s="4" t="s">
        <v>696</v>
      </c>
      <c r="J299" s="4" t="s">
        <v>692</v>
      </c>
      <c r="K299" s="7" t="s">
        <v>697</v>
      </c>
      <c r="L299" s="7" t="s">
        <v>52</v>
      </c>
      <c r="M299" s="7"/>
      <c r="N299" s="13" t="b">
        <v>0</v>
      </c>
      <c r="O299" s="13" t="b">
        <v>0</v>
      </c>
      <c r="P299" s="4" t="s">
        <v>698</v>
      </c>
      <c r="Q299" s="14">
        <v>45949</v>
      </c>
      <c r="R299" s="4" t="s">
        <v>102</v>
      </c>
      <c r="S299" s="10">
        <v>6853781</v>
      </c>
      <c r="T299" s="4" t="e">
        <f>INDEX(Employee!#REF!,MATCH(U299,Employee!#REF!,0))</f>
        <v>#REF!</v>
      </c>
      <c r="U299" s="4" t="s">
        <v>631</v>
      </c>
      <c r="V299" s="4" t="e">
        <f>INDEX(Employee!#REF!,MATCH(U299,Employee!#REF!,0))</f>
        <v>#REF!</v>
      </c>
      <c r="W299" s="4" t="e">
        <f>INDEX(Employee!#REF!,MATCH(U299,Employee!#REF!,0))</f>
        <v>#REF!</v>
      </c>
      <c r="X299" s="4" t="e">
        <f>INDEX(Employee!#REF!,MATCH(U299,Employee!#REF!,0))</f>
        <v>#REF!</v>
      </c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 t="str">
        <f>INDEX(Employee!C:C,MATCH(AK299,Employee!B:B,0))</f>
        <v>Trịnh Minh Toàn</v>
      </c>
      <c r="AK299" s="4" t="s">
        <v>215</v>
      </c>
      <c r="AL299" s="4" t="str">
        <f>INDEX(Employee!D:D,MATCH(AK299,Employee!B:B,0))</f>
        <v>Senior Software Engineer</v>
      </c>
      <c r="AM299" s="4" t="str">
        <f>INDEX(Employee!F:F,MATCH(AK299,Employee!B:B,0))</f>
        <v>Tech</v>
      </c>
      <c r="AN299" s="4" t="str">
        <f>INDEX(Employee!H:H,MATCH(AK299,Employee!B:B,0))</f>
        <v>Đoàn Nhật Duẩn (duandn)</v>
      </c>
      <c r="AO299" s="4"/>
      <c r="AP299" s="4"/>
      <c r="AQ299" s="4"/>
      <c r="AR299" s="4"/>
      <c r="AS299" s="4"/>
      <c r="CH299" s="6"/>
    </row>
    <row r="300" spans="1:102" hidden="1">
      <c r="A300" s="3">
        <f t="shared" ref="A300:A325" si="18">IF(B300&lt;&gt;"",ROW()-1,"")</f>
        <v>299</v>
      </c>
      <c r="B300" s="4" t="s">
        <v>24</v>
      </c>
      <c r="C300" s="4" t="s">
        <v>3</v>
      </c>
      <c r="D300" s="4" t="e">
        <f>INDEX(Employee!E:E,MATCH(AK300,Employee!B:B,0))</f>
        <v>#N/A</v>
      </c>
      <c r="E300" s="4" t="e">
        <f>INDEX(Employee!F:F,MATCH(AK300,Employee!B:B,0))</f>
        <v>#N/A</v>
      </c>
      <c r="F300" s="4" t="e">
        <f>INDEX(Employee!G:G,MATCH(AK300,Employee!B:B,0))</f>
        <v>#N/A</v>
      </c>
      <c r="G300" s="4" t="s">
        <v>15</v>
      </c>
      <c r="H300" s="4"/>
      <c r="I300" s="4" t="s">
        <v>699</v>
      </c>
      <c r="J300" s="4" t="s">
        <v>700</v>
      </c>
      <c r="K300" s="7" t="s">
        <v>701</v>
      </c>
      <c r="L300" s="7"/>
      <c r="M300" s="7"/>
      <c r="N300" s="13" t="b">
        <v>0</v>
      </c>
      <c r="O300" s="13" t="b">
        <v>0</v>
      </c>
      <c r="P300" s="4" t="s">
        <v>702</v>
      </c>
      <c r="Q300" s="14">
        <v>43271</v>
      </c>
      <c r="R300" s="4" t="s">
        <v>102</v>
      </c>
      <c r="S300" s="10">
        <v>225990</v>
      </c>
      <c r="T300" s="4" t="e">
        <f>INDEX(Employee!#REF!,MATCH(U300,Employee!#REF!,0))</f>
        <v>#REF!</v>
      </c>
      <c r="U300" s="4" t="s">
        <v>631</v>
      </c>
      <c r="V300" s="4" t="e">
        <f>INDEX(Employee!#REF!,MATCH(U300,Employee!#REF!,0))</f>
        <v>#REF!</v>
      </c>
      <c r="W300" s="4" t="e">
        <f>INDEX(Employee!#REF!,MATCH(U300,Employee!#REF!,0))</f>
        <v>#REF!</v>
      </c>
      <c r="X300" s="4" t="e">
        <f>INDEX(Employee!#REF!,MATCH(U300,Employee!#REF!,0))</f>
        <v>#REF!</v>
      </c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 t="e">
        <f>INDEX(Employee!C:C,MATCH(AK300,Employee!B:B,0))</f>
        <v>#N/A</v>
      </c>
      <c r="AK300" s="4" t="s">
        <v>703</v>
      </c>
      <c r="AL300" s="4" t="e">
        <f>INDEX(Employee!D:D,MATCH(AK300,Employee!B:B,0))</f>
        <v>#N/A</v>
      </c>
      <c r="AM300" s="4" t="e">
        <f>INDEX(Employee!F:F,MATCH(AK300,Employee!B:B,0))</f>
        <v>#N/A</v>
      </c>
      <c r="AN300" s="4" t="e">
        <f>INDEX(Employee!H:H,MATCH(AK300,Employee!B:B,0))</f>
        <v>#N/A</v>
      </c>
      <c r="AO300" s="4"/>
      <c r="AP300" s="4"/>
      <c r="AQ300" s="4" t="s">
        <v>704</v>
      </c>
      <c r="AR300" s="4"/>
      <c r="AS300" s="4"/>
      <c r="CH300" s="6"/>
    </row>
    <row r="301" spans="1:102" hidden="1">
      <c r="A301" s="3">
        <f t="shared" si="18"/>
        <v>300</v>
      </c>
      <c r="B301" s="4" t="s">
        <v>24</v>
      </c>
      <c r="C301" s="4" t="s">
        <v>3</v>
      </c>
      <c r="D301" s="4" t="e">
        <f>INDEX(Employee!E:E,MATCH(AK301,Employee!B:B,0))</f>
        <v>#N/A</v>
      </c>
      <c r="E301" s="4" t="e">
        <f>INDEX(Employee!F:F,MATCH(AK301,Employee!B:B,0))</f>
        <v>#N/A</v>
      </c>
      <c r="F301" s="4" t="e">
        <f>INDEX(Employee!G:G,MATCH(AK301,Employee!B:B,0))</f>
        <v>#N/A</v>
      </c>
      <c r="G301" s="4" t="s">
        <v>15</v>
      </c>
      <c r="H301" s="4"/>
      <c r="I301" s="4" t="s">
        <v>705</v>
      </c>
      <c r="J301" s="4" t="s">
        <v>700</v>
      </c>
      <c r="K301" s="7" t="s">
        <v>706</v>
      </c>
      <c r="L301" s="7"/>
      <c r="M301" s="7"/>
      <c r="N301" s="13" t="b">
        <v>0</v>
      </c>
      <c r="O301" s="13" t="b">
        <v>0</v>
      </c>
      <c r="P301" s="4" t="s">
        <v>707</v>
      </c>
      <c r="Q301" s="14">
        <v>43271</v>
      </c>
      <c r="R301" s="4" t="s">
        <v>102</v>
      </c>
      <c r="S301" s="10">
        <v>225990</v>
      </c>
      <c r="T301" s="4" t="e">
        <f>INDEX(Employee!#REF!,MATCH(U301,Employee!#REF!,0))</f>
        <v>#REF!</v>
      </c>
      <c r="U301" s="4" t="s">
        <v>631</v>
      </c>
      <c r="V301" s="4" t="e">
        <f>INDEX(Employee!#REF!,MATCH(U301,Employee!#REF!,0))</f>
        <v>#REF!</v>
      </c>
      <c r="W301" s="4" t="e">
        <f>INDEX(Employee!#REF!,MATCH(U301,Employee!#REF!,0))</f>
        <v>#REF!</v>
      </c>
      <c r="X301" s="4" t="e">
        <f>INDEX(Employee!#REF!,MATCH(U301,Employee!#REF!,0))</f>
        <v>#REF!</v>
      </c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 t="e">
        <f>INDEX(Employee!C:C,MATCH(AK301,Employee!B:B,0))</f>
        <v>#N/A</v>
      </c>
      <c r="AK301" s="4" t="s">
        <v>703</v>
      </c>
      <c r="AL301" s="4" t="e">
        <f>INDEX(Employee!D:D,MATCH(AK301,Employee!B:B,0))</f>
        <v>#N/A</v>
      </c>
      <c r="AM301" s="4" t="e">
        <f>INDEX(Employee!F:F,MATCH(AK301,Employee!B:B,0))</f>
        <v>#N/A</v>
      </c>
      <c r="AN301" s="4" t="e">
        <f>INDEX(Employee!H:H,MATCH(AK301,Employee!B:B,0))</f>
        <v>#N/A</v>
      </c>
      <c r="AO301" s="4"/>
      <c r="AP301" s="4"/>
      <c r="AQ301" s="4" t="s">
        <v>704</v>
      </c>
      <c r="AR301" s="4"/>
      <c r="AS301" s="4"/>
      <c r="CH301" s="6"/>
    </row>
    <row r="302" spans="1:102" hidden="1">
      <c r="A302" s="3">
        <f t="shared" si="18"/>
        <v>301</v>
      </c>
      <c r="B302" s="4" t="s">
        <v>24</v>
      </c>
      <c r="C302" s="4" t="s">
        <v>5</v>
      </c>
      <c r="D302" s="4">
        <f>INDEX(Employee!E:E,MATCH(AK302,Employee!B:B,0))</f>
        <v>0</v>
      </c>
      <c r="E302" s="4">
        <f>INDEX(Employee!F:F,MATCH(AK302,Employee!B:B,0))</f>
        <v>0</v>
      </c>
      <c r="F302" s="4">
        <f>INDEX(Employee!G:G,MATCH(AK302,Employee!B:B,0))</f>
        <v>0</v>
      </c>
      <c r="G302" s="4" t="s">
        <v>15</v>
      </c>
      <c r="H302" s="4"/>
      <c r="I302" s="4" t="s">
        <v>708</v>
      </c>
      <c r="J302" s="4" t="s">
        <v>700</v>
      </c>
      <c r="K302" s="7" t="s">
        <v>709</v>
      </c>
      <c r="L302" s="7"/>
      <c r="M302" s="7"/>
      <c r="N302" s="13" t="b">
        <v>0</v>
      </c>
      <c r="O302" s="13" t="b">
        <v>0</v>
      </c>
      <c r="P302" s="4" t="s">
        <v>710</v>
      </c>
      <c r="Q302" s="14">
        <v>45682</v>
      </c>
      <c r="R302" s="4" t="s">
        <v>102</v>
      </c>
      <c r="S302" s="10">
        <v>296000</v>
      </c>
      <c r="T302" s="4" t="e">
        <f>INDEX(Employee!#REF!,MATCH(U302,Employee!#REF!,0))</f>
        <v>#REF!</v>
      </c>
      <c r="U302" s="4" t="s">
        <v>631</v>
      </c>
      <c r="V302" s="4" t="e">
        <f>INDEX(Employee!#REF!,MATCH(U302,Employee!#REF!,0))</f>
        <v>#REF!</v>
      </c>
      <c r="W302" s="4" t="e">
        <f>INDEX(Employee!#REF!,MATCH(U302,Employee!#REF!,0))</f>
        <v>#REF!</v>
      </c>
      <c r="X302" s="4" t="e">
        <f>INDEX(Employee!#REF!,MATCH(U302,Employee!#REF!,0))</f>
        <v>#REF!</v>
      </c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 t="str">
        <f>INDEX(Employee!C:C,MATCH(AK302,Employee!B:B,0))</f>
        <v>Ali Mustafa</v>
      </c>
      <c r="AK302" s="4" t="s">
        <v>689</v>
      </c>
      <c r="AL302" s="4" t="str">
        <f>INDEX(Employee!D:D,MATCH(AK302,Employee!B:B,0))</f>
        <v>Data Solution Architect</v>
      </c>
      <c r="AM302" s="4">
        <f>INDEX(Employee!F:F,MATCH(AK302,Employee!B:B,0))</f>
        <v>0</v>
      </c>
      <c r="AN302" s="4" t="str">
        <f>INDEX(Employee!H:H,MATCH(AK302,Employee!B:B,0))</f>
        <v>Aleksandar Jelic (jelica)</v>
      </c>
      <c r="AO302" s="4"/>
      <c r="AP302" s="4"/>
      <c r="AQ302" s="4"/>
      <c r="AR302" s="4"/>
      <c r="AS302" s="4"/>
      <c r="CH302" s="6"/>
    </row>
    <row r="303" spans="1:102" hidden="1">
      <c r="A303" s="3">
        <f t="shared" si="18"/>
        <v>302</v>
      </c>
      <c r="B303" s="4" t="s">
        <v>24</v>
      </c>
      <c r="C303" s="4" t="s">
        <v>5</v>
      </c>
      <c r="D303" s="4">
        <f>INDEX(Employee!E:E,MATCH(AK303,Employee!B:B,0))</f>
        <v>0</v>
      </c>
      <c r="E303" s="4" t="str">
        <f>INDEX(Employee!F:F,MATCH(AK303,Employee!B:B,0))</f>
        <v>Tech</v>
      </c>
      <c r="F303" s="4">
        <f>INDEX(Employee!G:G,MATCH(AK303,Employee!B:B,0))</f>
        <v>0</v>
      </c>
      <c r="G303" s="4" t="s">
        <v>15</v>
      </c>
      <c r="H303" s="4"/>
      <c r="I303" s="4" t="s">
        <v>711</v>
      </c>
      <c r="J303" s="4" t="s">
        <v>700</v>
      </c>
      <c r="K303" s="7" t="s">
        <v>709</v>
      </c>
      <c r="L303" s="7"/>
      <c r="M303" s="7"/>
      <c r="N303" s="13" t="b">
        <v>0</v>
      </c>
      <c r="O303" s="13" t="b">
        <v>0</v>
      </c>
      <c r="P303" s="4" t="s">
        <v>712</v>
      </c>
      <c r="Q303" s="14">
        <v>45682</v>
      </c>
      <c r="R303" s="4" t="s">
        <v>102</v>
      </c>
      <c r="S303" s="10">
        <v>296000</v>
      </c>
      <c r="T303" s="4" t="e">
        <f>INDEX(Employee!#REF!,MATCH(U303,Employee!#REF!,0))</f>
        <v>#REF!</v>
      </c>
      <c r="U303" s="4" t="s">
        <v>631</v>
      </c>
      <c r="V303" s="4" t="e">
        <f>INDEX(Employee!#REF!,MATCH(U303,Employee!#REF!,0))</f>
        <v>#REF!</v>
      </c>
      <c r="W303" s="4" t="e">
        <f>INDEX(Employee!#REF!,MATCH(U303,Employee!#REF!,0))</f>
        <v>#REF!</v>
      </c>
      <c r="X303" s="4" t="e">
        <f>INDEX(Employee!#REF!,MATCH(U303,Employee!#REF!,0))</f>
        <v>#REF!</v>
      </c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 t="str">
        <f>INDEX(Employee!C:C,MATCH(AK303,Employee!B:B,0))</f>
        <v>Trần Hải Trình</v>
      </c>
      <c r="AK303" s="4" t="s">
        <v>256</v>
      </c>
      <c r="AL303" s="4" t="str">
        <f>INDEX(Employee!D:D,MATCH(AK303,Employee!B:B,0))</f>
        <v>Cloud Engineer</v>
      </c>
      <c r="AM303" s="4" t="str">
        <f>INDEX(Employee!F:F,MATCH(AK303,Employee!B:B,0))</f>
        <v>Tech</v>
      </c>
      <c r="AN303" s="4" t="str">
        <f>INDEX(Employee!H:H,MATCH(AK303,Employee!B:B,0))</f>
        <v>Nguyễn Hữu Hỷ (hynh)</v>
      </c>
      <c r="AO303" s="4"/>
      <c r="AP303" s="4"/>
      <c r="AQ303" s="4"/>
      <c r="AR303" s="4"/>
      <c r="AS303" s="4"/>
      <c r="CH303" s="6"/>
    </row>
    <row r="304" spans="1:102" hidden="1">
      <c r="A304" s="3">
        <f t="shared" si="18"/>
        <v>303</v>
      </c>
      <c r="B304" s="4" t="s">
        <v>30</v>
      </c>
      <c r="C304" s="4" t="s">
        <v>3</v>
      </c>
      <c r="D304" s="4" t="e">
        <f>INDEX(Employee!E:E,MATCH(AK304,Employee!B:B,0))</f>
        <v>#N/A</v>
      </c>
      <c r="E304" s="4" t="e">
        <f>INDEX(Employee!F:F,MATCH(AK304,Employee!B:B,0))</f>
        <v>#N/A</v>
      </c>
      <c r="F304" s="4" t="e">
        <f>INDEX(Employee!G:G,MATCH(AK304,Employee!B:B,0))</f>
        <v>#N/A</v>
      </c>
      <c r="G304" s="4" t="s">
        <v>15</v>
      </c>
      <c r="H304" s="4"/>
      <c r="I304" s="4" t="s">
        <v>713</v>
      </c>
      <c r="J304" s="4" t="s">
        <v>714</v>
      </c>
      <c r="K304" s="7"/>
      <c r="L304" s="7"/>
      <c r="M304" s="7"/>
      <c r="N304" s="13" t="b">
        <v>0</v>
      </c>
      <c r="O304" s="13" t="b">
        <v>0</v>
      </c>
      <c r="P304" s="4" t="s">
        <v>715</v>
      </c>
      <c r="Q304" s="14">
        <v>42339</v>
      </c>
      <c r="R304" s="4" t="s">
        <v>102</v>
      </c>
      <c r="S304" s="10">
        <v>58091</v>
      </c>
      <c r="T304" s="4" t="e">
        <f>INDEX(Employee!#REF!,MATCH(U304,Employee!#REF!,0))</f>
        <v>#REF!</v>
      </c>
      <c r="U304" s="4" t="s">
        <v>631</v>
      </c>
      <c r="V304" s="4" t="e">
        <f>INDEX(Employee!#REF!,MATCH(U304,Employee!#REF!,0))</f>
        <v>#REF!</v>
      </c>
      <c r="W304" s="4" t="e">
        <f>INDEX(Employee!#REF!,MATCH(U304,Employee!#REF!,0))</f>
        <v>#REF!</v>
      </c>
      <c r="X304" s="4" t="e">
        <f>INDEX(Employee!#REF!,MATCH(U304,Employee!#REF!,0))</f>
        <v>#REF!</v>
      </c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 t="e">
        <f>INDEX(Employee!C:C,MATCH(AK304,Employee!B:B,0))</f>
        <v>#N/A</v>
      </c>
      <c r="AK304" s="4"/>
      <c r="AL304" s="4" t="e">
        <f>INDEX(Employee!D:D,MATCH(AK304,Employee!B:B,0))</f>
        <v>#N/A</v>
      </c>
      <c r="AM304" s="4" t="e">
        <f>INDEX(Employee!F:F,MATCH(AK304,Employee!B:B,0))</f>
        <v>#N/A</v>
      </c>
      <c r="AN304" s="4" t="e">
        <f>INDEX(Employee!H:H,MATCH(AK304,Employee!B:B,0))</f>
        <v>#N/A</v>
      </c>
      <c r="AO304" s="4"/>
      <c r="AP304" s="4"/>
      <c r="AQ304" s="4" t="s">
        <v>716</v>
      </c>
      <c r="AR304" s="4"/>
      <c r="AS304" s="4"/>
      <c r="CH304" s="6"/>
    </row>
    <row r="305" spans="1:86" hidden="1">
      <c r="A305" s="3">
        <f t="shared" si="18"/>
        <v>304</v>
      </c>
      <c r="B305" s="4" t="s">
        <v>21</v>
      </c>
      <c r="C305" s="4" t="s">
        <v>3</v>
      </c>
      <c r="D305" s="4" t="str">
        <f>INDEX(Employee!E:E,MATCH(AK305,Employee!B:B,0))</f>
        <v>Project</v>
      </c>
      <c r="E305" s="4" t="str">
        <f>INDEX(Employee!F:F,MATCH(AK305,Employee!B:B,0))</f>
        <v>Tech</v>
      </c>
      <c r="F305" s="4" t="str">
        <f>INDEX(Employee!G:G,MATCH(AK305,Employee!B:B,0))</f>
        <v>Venture</v>
      </c>
      <c r="G305" s="4" t="s">
        <v>15</v>
      </c>
      <c r="H305" s="4"/>
      <c r="I305" s="4" t="s">
        <v>717</v>
      </c>
      <c r="J305" s="4" t="s">
        <v>99</v>
      </c>
      <c r="K305" s="7" t="s">
        <v>718</v>
      </c>
      <c r="L305" s="7"/>
      <c r="M305" s="7"/>
      <c r="N305" s="13" t="b">
        <v>0</v>
      </c>
      <c r="O305" s="13" t="b">
        <v>0</v>
      </c>
      <c r="P305" s="4" t="s">
        <v>719</v>
      </c>
      <c r="Q305" s="14">
        <v>43382</v>
      </c>
      <c r="R305" s="4" t="s">
        <v>102</v>
      </c>
      <c r="S305" s="10">
        <v>1808182</v>
      </c>
      <c r="T305" s="4" t="e">
        <f>INDEX(Employee!#REF!,MATCH(U305,Employee!#REF!,0))</f>
        <v>#REF!</v>
      </c>
      <c r="U305" s="4" t="s">
        <v>631</v>
      </c>
      <c r="V305" s="4" t="e">
        <f>INDEX(Employee!#REF!,MATCH(U305,Employee!#REF!,0))</f>
        <v>#REF!</v>
      </c>
      <c r="W305" s="4" t="e">
        <f>INDEX(Employee!#REF!,MATCH(U305,Employee!#REF!,0))</f>
        <v>#REF!</v>
      </c>
      <c r="X305" s="4" t="e">
        <f>INDEX(Employee!#REF!,MATCH(U305,Employee!#REF!,0))</f>
        <v>#REF!</v>
      </c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 t="str">
        <f>INDEX(Employee!C:C,MATCH(AK305,Employee!B:B,0))</f>
        <v>Nguyễn Văn Bình</v>
      </c>
      <c r="AK305" s="4" t="s">
        <v>447</v>
      </c>
      <c r="AL305" s="4" t="str">
        <f>INDEX(Employee!D:D,MATCH(AK305,Employee!B:B,0))</f>
        <v>Senior Software Engineer, Team Leader</v>
      </c>
      <c r="AM305" s="4" t="str">
        <f>INDEX(Employee!F:F,MATCH(AK305,Employee!B:B,0))</f>
        <v>Tech</v>
      </c>
      <c r="AN305" s="4" t="str">
        <f>INDEX(Employee!H:H,MATCH(AK305,Employee!B:B,0))</f>
        <v>Đoàn Nhật Duẩn (duandn)</v>
      </c>
      <c r="AO305" s="4"/>
      <c r="AP305" s="4"/>
      <c r="AQ305" s="4"/>
      <c r="AR305" s="4"/>
      <c r="AS305" s="4"/>
      <c r="CH305" s="6"/>
    </row>
    <row r="306" spans="1:86" hidden="1">
      <c r="A306" s="3">
        <f t="shared" si="18"/>
        <v>305</v>
      </c>
      <c r="B306" s="4" t="s">
        <v>21</v>
      </c>
      <c r="C306" s="4" t="s">
        <v>3</v>
      </c>
      <c r="D306" s="4" t="str">
        <f>INDEX(Employee!E:E,MATCH(AK306,Employee!B:B,0))</f>
        <v>Project</v>
      </c>
      <c r="E306" s="4" t="str">
        <f>INDEX(Employee!F:F,MATCH(AK306,Employee!B:B,0))</f>
        <v>Tech</v>
      </c>
      <c r="F306" s="4" t="str">
        <f>INDEX(Employee!G:G,MATCH(AK306,Employee!B:B,0))</f>
        <v>Venture</v>
      </c>
      <c r="G306" s="4" t="s">
        <v>15</v>
      </c>
      <c r="H306" s="4"/>
      <c r="I306" s="4" t="s">
        <v>720</v>
      </c>
      <c r="J306" s="4" t="s">
        <v>99</v>
      </c>
      <c r="K306" s="7" t="s">
        <v>721</v>
      </c>
      <c r="L306" s="7"/>
      <c r="M306" s="7"/>
      <c r="N306" s="13" t="b">
        <v>0</v>
      </c>
      <c r="O306" s="13" t="b">
        <v>0</v>
      </c>
      <c r="P306" s="4" t="s">
        <v>722</v>
      </c>
      <c r="Q306" s="14">
        <v>43406</v>
      </c>
      <c r="R306" s="4" t="s">
        <v>102</v>
      </c>
      <c r="S306" s="10">
        <v>2309000</v>
      </c>
      <c r="T306" s="4" t="e">
        <f>INDEX(Employee!#REF!,MATCH(U306,Employee!#REF!,0))</f>
        <v>#REF!</v>
      </c>
      <c r="U306" s="4" t="s">
        <v>631</v>
      </c>
      <c r="V306" s="4" t="e">
        <f>INDEX(Employee!#REF!,MATCH(U306,Employee!#REF!,0))</f>
        <v>#REF!</v>
      </c>
      <c r="W306" s="4" t="e">
        <f>INDEX(Employee!#REF!,MATCH(U306,Employee!#REF!,0))</f>
        <v>#REF!</v>
      </c>
      <c r="X306" s="4" t="e">
        <f>INDEX(Employee!#REF!,MATCH(U306,Employee!#REF!,0))</f>
        <v>#REF!</v>
      </c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 t="str">
        <f>INDEX(Employee!C:C,MATCH(AK306,Employee!B:B,0))</f>
        <v>Nguyễn Văn Bình</v>
      </c>
      <c r="AK306" s="4" t="s">
        <v>447</v>
      </c>
      <c r="AL306" s="4" t="str">
        <f>INDEX(Employee!D:D,MATCH(AK306,Employee!B:B,0))</f>
        <v>Senior Software Engineer, Team Leader</v>
      </c>
      <c r="AM306" s="4" t="str">
        <f>INDEX(Employee!F:F,MATCH(AK306,Employee!B:B,0))</f>
        <v>Tech</v>
      </c>
      <c r="AN306" s="4" t="str">
        <f>INDEX(Employee!H:H,MATCH(AK306,Employee!B:B,0))</f>
        <v>Đoàn Nhật Duẩn (duandn)</v>
      </c>
      <c r="AO306" s="4"/>
      <c r="AP306" s="4"/>
      <c r="AQ306" s="4"/>
      <c r="AR306" s="4"/>
      <c r="AS306" s="4"/>
      <c r="CH306" s="6"/>
    </row>
    <row r="307" spans="1:86" hidden="1">
      <c r="A307" s="3">
        <f t="shared" si="18"/>
        <v>306</v>
      </c>
      <c r="B307" s="4" t="s">
        <v>21</v>
      </c>
      <c r="C307" s="4" t="s">
        <v>4</v>
      </c>
      <c r="D307" s="4" t="e">
        <f>INDEX(Employee!E:E,MATCH(AK307,Employee!B:B,0))</f>
        <v>#N/A</v>
      </c>
      <c r="E307" s="4" t="e">
        <f>INDEX(Employee!F:F,MATCH(AK307,Employee!B:B,0))</f>
        <v>#N/A</v>
      </c>
      <c r="F307" s="4" t="e">
        <f>INDEX(Employee!G:G,MATCH(AK307,Employee!B:B,0))</f>
        <v>#N/A</v>
      </c>
      <c r="G307" s="4" t="s">
        <v>15</v>
      </c>
      <c r="H307" s="4"/>
      <c r="I307" s="4" t="s">
        <v>723</v>
      </c>
      <c r="J307" s="4" t="s">
        <v>724</v>
      </c>
      <c r="K307" s="7" t="s">
        <v>725</v>
      </c>
      <c r="L307" s="7"/>
      <c r="M307" s="7"/>
      <c r="N307" s="13" t="b">
        <v>0</v>
      </c>
      <c r="O307" s="13" t="b">
        <v>0</v>
      </c>
      <c r="P307" s="4" t="s">
        <v>726</v>
      </c>
      <c r="Q307" s="14">
        <v>43983</v>
      </c>
      <c r="R307" s="4" t="s">
        <v>102</v>
      </c>
      <c r="S307" s="10">
        <v>681818</v>
      </c>
      <c r="T307" s="4" t="e">
        <f>INDEX(Employee!#REF!,MATCH(U307,Employee!#REF!,0))</f>
        <v>#REF!</v>
      </c>
      <c r="U307" s="4" t="s">
        <v>631</v>
      </c>
      <c r="V307" s="4" t="e">
        <f>INDEX(Employee!#REF!,MATCH(U307,Employee!#REF!,0))</f>
        <v>#REF!</v>
      </c>
      <c r="W307" s="4" t="e">
        <f>INDEX(Employee!#REF!,MATCH(U307,Employee!#REF!,0))</f>
        <v>#REF!</v>
      </c>
      <c r="X307" s="4" t="e">
        <f>INDEX(Employee!#REF!,MATCH(U307,Employee!#REF!,0))</f>
        <v>#REF!</v>
      </c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 t="e">
        <f>INDEX(Employee!C:C,MATCH(AK307,Employee!B:B,0))</f>
        <v>#N/A</v>
      </c>
      <c r="AK307" s="4"/>
      <c r="AL307" s="4" t="e">
        <f>INDEX(Employee!D:D,MATCH(AK307,Employee!B:B,0))</f>
        <v>#N/A</v>
      </c>
      <c r="AM307" s="4" t="e">
        <f>INDEX(Employee!F:F,MATCH(AK307,Employee!B:B,0))</f>
        <v>#N/A</v>
      </c>
      <c r="AN307" s="4" t="e">
        <f>INDEX(Employee!H:H,MATCH(AK307,Employee!B:B,0))</f>
        <v>#N/A</v>
      </c>
      <c r="AO307" s="4"/>
      <c r="AP307" s="4"/>
      <c r="AQ307" s="4"/>
      <c r="AR307" s="4"/>
      <c r="AS307" s="4"/>
      <c r="CH307" s="6"/>
    </row>
    <row r="308" spans="1:86" hidden="1">
      <c r="A308" s="3">
        <f t="shared" si="18"/>
        <v>307</v>
      </c>
      <c r="B308" s="4" t="s">
        <v>21</v>
      </c>
      <c r="C308" s="4" t="s">
        <v>4</v>
      </c>
      <c r="D308" s="4" t="e">
        <f>INDEX(Employee!E:E,MATCH(AK308,Employee!B:B,0))</f>
        <v>#N/A</v>
      </c>
      <c r="E308" s="4" t="e">
        <f>INDEX(Employee!F:F,MATCH(AK308,Employee!B:B,0))</f>
        <v>#N/A</v>
      </c>
      <c r="F308" s="4" t="e">
        <f>INDEX(Employee!G:G,MATCH(AK308,Employee!B:B,0))</f>
        <v>#N/A</v>
      </c>
      <c r="G308" s="4" t="s">
        <v>15</v>
      </c>
      <c r="H308" s="4"/>
      <c r="I308" s="4" t="s">
        <v>727</v>
      </c>
      <c r="J308" s="4" t="s">
        <v>99</v>
      </c>
      <c r="K308" s="7" t="s">
        <v>728</v>
      </c>
      <c r="L308" s="7"/>
      <c r="M308" s="7"/>
      <c r="N308" s="13" t="b">
        <v>0</v>
      </c>
      <c r="O308" s="13" t="b">
        <v>0</v>
      </c>
      <c r="P308" s="4" t="s">
        <v>729</v>
      </c>
      <c r="Q308" s="14">
        <v>44643</v>
      </c>
      <c r="R308" s="4" t="s">
        <v>102</v>
      </c>
      <c r="S308" s="10">
        <v>466000</v>
      </c>
      <c r="T308" s="4" t="e">
        <f>INDEX(Employee!#REF!,MATCH(U308,Employee!#REF!,0))</f>
        <v>#REF!</v>
      </c>
      <c r="U308" s="4" t="s">
        <v>631</v>
      </c>
      <c r="V308" s="4" t="e">
        <f>INDEX(Employee!#REF!,MATCH(U308,Employee!#REF!,0))</f>
        <v>#REF!</v>
      </c>
      <c r="W308" s="4" t="e">
        <f>INDEX(Employee!#REF!,MATCH(U308,Employee!#REF!,0))</f>
        <v>#REF!</v>
      </c>
      <c r="X308" s="4" t="e">
        <f>INDEX(Employee!#REF!,MATCH(U308,Employee!#REF!,0))</f>
        <v>#REF!</v>
      </c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 t="e">
        <f>INDEX(Employee!C:C,MATCH(AK308,Employee!B:B,0))</f>
        <v>#N/A</v>
      </c>
      <c r="AK308" s="4"/>
      <c r="AL308" s="4" t="e">
        <f>INDEX(Employee!D:D,MATCH(AK308,Employee!B:B,0))</f>
        <v>#N/A</v>
      </c>
      <c r="AM308" s="4" t="e">
        <f>INDEX(Employee!F:F,MATCH(AK308,Employee!B:B,0))</f>
        <v>#N/A</v>
      </c>
      <c r="AN308" s="4" t="e">
        <f>INDEX(Employee!H:H,MATCH(AK308,Employee!B:B,0))</f>
        <v>#N/A</v>
      </c>
      <c r="AO308" s="4"/>
      <c r="AP308" s="4"/>
      <c r="AQ308" s="4"/>
      <c r="AR308" s="4"/>
      <c r="AS308" s="4"/>
      <c r="CH308" s="6"/>
    </row>
    <row r="309" spans="1:86" hidden="1">
      <c r="A309" s="3">
        <f t="shared" si="18"/>
        <v>308</v>
      </c>
      <c r="B309" s="4" t="s">
        <v>32</v>
      </c>
      <c r="C309" s="4" t="s">
        <v>3</v>
      </c>
      <c r="D309" s="4" t="str">
        <f>INDEX(Employee!E:E,MATCH(AK309,Employee!B:B,0))</f>
        <v>Undirect IT Staff</v>
      </c>
      <c r="E309" s="4" t="str">
        <f>INDEX(Employee!F:F,MATCH(AK309,Employee!B:B,0))</f>
        <v>Tech</v>
      </c>
      <c r="F309" s="4" t="str">
        <f>INDEX(Employee!G:G,MATCH(AK309,Employee!B:B,0))</f>
        <v>Operation Team</v>
      </c>
      <c r="G309" s="4" t="s">
        <v>15</v>
      </c>
      <c r="H309" s="4"/>
      <c r="I309" s="4" t="s">
        <v>730</v>
      </c>
      <c r="J309" s="4" t="s">
        <v>731</v>
      </c>
      <c r="K309" s="7" t="s">
        <v>732</v>
      </c>
      <c r="L309" s="7"/>
      <c r="M309" s="7"/>
      <c r="N309" s="13" t="b">
        <v>0</v>
      </c>
      <c r="O309" s="13" t="b">
        <v>0</v>
      </c>
      <c r="P309" s="4"/>
      <c r="Q309" s="14">
        <v>43537</v>
      </c>
      <c r="R309" s="4" t="s">
        <v>102</v>
      </c>
      <c r="S309" s="10">
        <v>402727</v>
      </c>
      <c r="T309" s="4" t="e">
        <f>INDEX(Employee!#REF!,MATCH(U309,Employee!#REF!,0))</f>
        <v>#REF!</v>
      </c>
      <c r="U309" s="4" t="s">
        <v>631</v>
      </c>
      <c r="V309" s="4" t="e">
        <f>INDEX(Employee!#REF!,MATCH(U309,Employee!#REF!,0))</f>
        <v>#REF!</v>
      </c>
      <c r="W309" s="4" t="e">
        <f>INDEX(Employee!#REF!,MATCH(U309,Employee!#REF!,0))</f>
        <v>#REF!</v>
      </c>
      <c r="X309" s="4" t="e">
        <f>INDEX(Employee!#REF!,MATCH(U309,Employee!#REF!,0))</f>
        <v>#REF!</v>
      </c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 t="str">
        <f>INDEX(Employee!C:C,MATCH(AK309,Employee!B:B,0))</f>
        <v>Nguyễn Viết Khải</v>
      </c>
      <c r="AK309" s="4" t="s">
        <v>103</v>
      </c>
      <c r="AL309" s="4" t="str">
        <f>INDEX(Employee!D:D,MATCH(AK309,Employee!B:B,0))</f>
        <v>Lead IT Support Engineer</v>
      </c>
      <c r="AM309" s="4" t="str">
        <f>INDEX(Employee!F:F,MATCH(AK309,Employee!B:B,0))</f>
        <v>Tech</v>
      </c>
      <c r="AN309" s="4" t="str">
        <f>INDEX(Employee!H:H,MATCH(AK309,Employee!B:B,0))</f>
        <v>Đoàn Hải Nam</v>
      </c>
      <c r="AO309" s="4"/>
      <c r="AP309" s="4"/>
      <c r="AQ309" s="4"/>
      <c r="AR309" s="4"/>
      <c r="AS309" s="4"/>
      <c r="CH309" s="6"/>
    </row>
    <row r="310" spans="1:86" hidden="1">
      <c r="A310" s="3">
        <f t="shared" si="18"/>
        <v>309</v>
      </c>
      <c r="B310" s="4" t="s">
        <v>30</v>
      </c>
      <c r="C310" s="4" t="s">
        <v>4</v>
      </c>
      <c r="D310" s="4" t="e">
        <f>INDEX(Employee!E:E,MATCH(AK310,Employee!B:B,0))</f>
        <v>#N/A</v>
      </c>
      <c r="E310" s="4" t="e">
        <f>INDEX(Employee!F:F,MATCH(AK310,Employee!B:B,0))</f>
        <v>#N/A</v>
      </c>
      <c r="F310" s="4" t="e">
        <f>INDEX(Employee!G:G,MATCH(AK310,Employee!B:B,0))</f>
        <v>#N/A</v>
      </c>
      <c r="G310" s="4" t="s">
        <v>15</v>
      </c>
      <c r="H310" s="4"/>
      <c r="I310" s="4" t="s">
        <v>733</v>
      </c>
      <c r="J310" s="4" t="s">
        <v>714</v>
      </c>
      <c r="K310" s="7" t="s">
        <v>734</v>
      </c>
      <c r="L310" s="7"/>
      <c r="M310" s="7"/>
      <c r="N310" s="13" t="b">
        <v>0</v>
      </c>
      <c r="O310" s="13" t="b">
        <v>0</v>
      </c>
      <c r="P310" s="4" t="s">
        <v>735</v>
      </c>
      <c r="Q310" s="14">
        <v>43913</v>
      </c>
      <c r="R310" s="4" t="s">
        <v>102</v>
      </c>
      <c r="S310" s="10">
        <v>114300</v>
      </c>
      <c r="T310" s="4" t="e">
        <f>INDEX(Employee!#REF!,MATCH(U310,Employee!#REF!,0))</f>
        <v>#REF!</v>
      </c>
      <c r="U310" s="4" t="s">
        <v>631</v>
      </c>
      <c r="V310" s="4" t="e">
        <f>INDEX(Employee!#REF!,MATCH(U310,Employee!#REF!,0))</f>
        <v>#REF!</v>
      </c>
      <c r="W310" s="4" t="e">
        <f>INDEX(Employee!#REF!,MATCH(U310,Employee!#REF!,0))</f>
        <v>#REF!</v>
      </c>
      <c r="X310" s="4" t="e">
        <f>INDEX(Employee!#REF!,MATCH(U310,Employee!#REF!,0))</f>
        <v>#REF!</v>
      </c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 t="e">
        <f>INDEX(Employee!C:C,MATCH(AK310,Employee!B:B,0))</f>
        <v>#N/A</v>
      </c>
      <c r="AK310" s="4"/>
      <c r="AL310" s="4" t="e">
        <f>INDEX(Employee!D:D,MATCH(AK310,Employee!B:B,0))</f>
        <v>#N/A</v>
      </c>
      <c r="AM310" s="4" t="e">
        <f>INDEX(Employee!F:F,MATCH(AK310,Employee!B:B,0))</f>
        <v>#N/A</v>
      </c>
      <c r="AN310" s="4" t="e">
        <f>INDEX(Employee!H:H,MATCH(AK310,Employee!B:B,0))</f>
        <v>#N/A</v>
      </c>
      <c r="AO310" s="4"/>
      <c r="AP310" s="4"/>
      <c r="AQ310" s="4"/>
      <c r="AR310" s="4"/>
      <c r="AS310" s="4"/>
      <c r="CH310" s="6"/>
    </row>
    <row r="311" spans="1:86" hidden="1">
      <c r="A311" s="3">
        <f t="shared" si="18"/>
        <v>310</v>
      </c>
      <c r="B311" s="4" t="s">
        <v>30</v>
      </c>
      <c r="C311" s="4" t="s">
        <v>3</v>
      </c>
      <c r="D311" s="4" t="e">
        <f>INDEX(Employee!E:E,MATCH(AK311,Employee!B:B,0))</f>
        <v>#N/A</v>
      </c>
      <c r="E311" s="4" t="e">
        <f>INDEX(Employee!F:F,MATCH(AK311,Employee!B:B,0))</f>
        <v>#N/A</v>
      </c>
      <c r="F311" s="4" t="e">
        <f>INDEX(Employee!G:G,MATCH(AK311,Employee!B:B,0))</f>
        <v>#N/A</v>
      </c>
      <c r="G311" s="4" t="s">
        <v>15</v>
      </c>
      <c r="H311" s="4"/>
      <c r="I311" s="4" t="s">
        <v>736</v>
      </c>
      <c r="J311" s="4" t="s">
        <v>714</v>
      </c>
      <c r="K311" s="7"/>
      <c r="L311" s="7"/>
      <c r="M311" s="7"/>
      <c r="N311" s="13" t="b">
        <v>0</v>
      </c>
      <c r="O311" s="13" t="b">
        <v>0</v>
      </c>
      <c r="P311" s="4" t="s">
        <v>737</v>
      </c>
      <c r="Q311" s="14">
        <v>44899</v>
      </c>
      <c r="R311" s="4" t="s">
        <v>102</v>
      </c>
      <c r="S311" s="10">
        <v>126000</v>
      </c>
      <c r="T311" s="4" t="e">
        <f>INDEX(Employee!#REF!,MATCH(U311,Employee!#REF!,0))</f>
        <v>#REF!</v>
      </c>
      <c r="U311" s="4" t="s">
        <v>631</v>
      </c>
      <c r="V311" s="4" t="e">
        <f>INDEX(Employee!#REF!,MATCH(U311,Employee!#REF!,0))</f>
        <v>#REF!</v>
      </c>
      <c r="W311" s="4" t="e">
        <f>INDEX(Employee!#REF!,MATCH(U311,Employee!#REF!,0))</f>
        <v>#REF!</v>
      </c>
      <c r="X311" s="4" t="e">
        <f>INDEX(Employee!#REF!,MATCH(U311,Employee!#REF!,0))</f>
        <v>#REF!</v>
      </c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 t="e">
        <f>INDEX(Employee!C:C,MATCH(AK311,Employee!B:B,0))</f>
        <v>#N/A</v>
      </c>
      <c r="AK311" s="4"/>
      <c r="AL311" s="4" t="e">
        <f>INDEX(Employee!D:D,MATCH(AK311,Employee!B:B,0))</f>
        <v>#N/A</v>
      </c>
      <c r="AM311" s="4" t="e">
        <f>INDEX(Employee!F:F,MATCH(AK311,Employee!B:B,0))</f>
        <v>#N/A</v>
      </c>
      <c r="AN311" s="4" t="e">
        <f>INDEX(Employee!H:H,MATCH(AK311,Employee!B:B,0))</f>
        <v>#N/A</v>
      </c>
      <c r="AO311" s="4"/>
      <c r="AP311" s="4"/>
      <c r="AQ311" s="4" t="s">
        <v>738</v>
      </c>
      <c r="AR311" s="4"/>
      <c r="AS311" s="4"/>
      <c r="CH311" s="6"/>
    </row>
    <row r="312" spans="1:86" hidden="1">
      <c r="A312" s="3">
        <f t="shared" si="18"/>
        <v>311</v>
      </c>
      <c r="B312" s="4" t="s">
        <v>20</v>
      </c>
      <c r="C312" s="4" t="s">
        <v>3</v>
      </c>
      <c r="D312" s="4" t="str">
        <f>INDEX(Employee!E:E,MATCH(AK312,Employee!B:B,0))</f>
        <v>Project</v>
      </c>
      <c r="E312" s="4" t="str">
        <f>INDEX(Employee!F:F,MATCH(AK312,Employee!B:B,0))</f>
        <v>Tech</v>
      </c>
      <c r="F312" s="4" t="str">
        <f>INDEX(Employee!G:G,MATCH(AK312,Employee!B:B,0))</f>
        <v>Venture</v>
      </c>
      <c r="G312" s="4" t="s">
        <v>15</v>
      </c>
      <c r="H312" s="4"/>
      <c r="I312" s="4" t="s">
        <v>739</v>
      </c>
      <c r="J312" s="4" t="s">
        <v>99</v>
      </c>
      <c r="K312" s="7" t="s">
        <v>740</v>
      </c>
      <c r="L312" s="7"/>
      <c r="M312" s="7"/>
      <c r="N312" s="13" t="b">
        <v>0</v>
      </c>
      <c r="O312" s="13" t="b">
        <v>0</v>
      </c>
      <c r="P312" s="4" t="s">
        <v>741</v>
      </c>
      <c r="Q312" s="14">
        <v>44740</v>
      </c>
      <c r="R312" s="4" t="s">
        <v>102</v>
      </c>
      <c r="S312" s="10">
        <v>2082073</v>
      </c>
      <c r="T312" s="4" t="e">
        <f>INDEX(Employee!#REF!,MATCH(U312,Employee!#REF!,0))</f>
        <v>#REF!</v>
      </c>
      <c r="U312" s="4" t="s">
        <v>631</v>
      </c>
      <c r="V312" s="4" t="e">
        <f>INDEX(Employee!#REF!,MATCH(U312,Employee!#REF!,0))</f>
        <v>#REF!</v>
      </c>
      <c r="W312" s="4" t="e">
        <f>INDEX(Employee!#REF!,MATCH(U312,Employee!#REF!,0))</f>
        <v>#REF!</v>
      </c>
      <c r="X312" s="4" t="e">
        <f>INDEX(Employee!#REF!,MATCH(U312,Employee!#REF!,0))</f>
        <v>#REF!</v>
      </c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 t="str">
        <f>INDEX(Employee!C:C,MATCH(AK312,Employee!B:B,0))</f>
        <v>Nguyễn Quý</v>
      </c>
      <c r="AK312" s="4" t="s">
        <v>181</v>
      </c>
      <c r="AL312" s="4" t="str">
        <f>INDEX(Employee!D:D,MATCH(AK312,Employee!B:B,0))</f>
        <v>Senior Software Engineer</v>
      </c>
      <c r="AM312" s="4" t="str">
        <f>INDEX(Employee!F:F,MATCH(AK312,Employee!B:B,0))</f>
        <v>Tech</v>
      </c>
      <c r="AN312" s="4" t="str">
        <f>INDEX(Employee!H:H,MATCH(AK312,Employee!B:B,0))</f>
        <v>Đoàn Nhật Duẩn (duandn)</v>
      </c>
      <c r="AO312" s="4"/>
      <c r="AP312" s="4"/>
      <c r="AQ312" s="4"/>
      <c r="AR312" s="4"/>
      <c r="AS312" s="4"/>
      <c r="CH312" s="6"/>
    </row>
    <row r="313" spans="1:86" hidden="1">
      <c r="A313" s="3">
        <f t="shared" si="18"/>
        <v>312</v>
      </c>
      <c r="B313" s="4" t="s">
        <v>20</v>
      </c>
      <c r="C313" s="4" t="s">
        <v>3</v>
      </c>
      <c r="D313" s="4" t="str">
        <f>INDEX(Employee!E:E,MATCH(AK313,Employee!B:B,0))</f>
        <v>Project</v>
      </c>
      <c r="E313" s="4" t="str">
        <f>INDEX(Employee!F:F,MATCH(AK313,Employee!B:B,0))</f>
        <v>Tech</v>
      </c>
      <c r="F313" s="4" t="str">
        <f>INDEX(Employee!G:G,MATCH(AK313,Employee!B:B,0))</f>
        <v>Venture</v>
      </c>
      <c r="G313" s="4" t="s">
        <v>15</v>
      </c>
      <c r="H313" s="4"/>
      <c r="I313" s="4" t="s">
        <v>742</v>
      </c>
      <c r="J313" s="4" t="s">
        <v>99</v>
      </c>
      <c r="K313" s="7" t="s">
        <v>740</v>
      </c>
      <c r="L313" s="7"/>
      <c r="M313" s="7"/>
      <c r="N313" s="13" t="b">
        <v>0</v>
      </c>
      <c r="O313" s="13" t="b">
        <v>0</v>
      </c>
      <c r="P313" s="4" t="s">
        <v>743</v>
      </c>
      <c r="Q313" s="14">
        <v>44740</v>
      </c>
      <c r="R313" s="4" t="s">
        <v>102</v>
      </c>
      <c r="S313" s="10">
        <v>2082073</v>
      </c>
      <c r="T313" s="4" t="e">
        <f>INDEX(Employee!#REF!,MATCH(U313,Employee!#REF!,0))</f>
        <v>#REF!</v>
      </c>
      <c r="U313" s="4" t="s">
        <v>631</v>
      </c>
      <c r="V313" s="4" t="e">
        <f>INDEX(Employee!#REF!,MATCH(U313,Employee!#REF!,0))</f>
        <v>#REF!</v>
      </c>
      <c r="W313" s="4" t="e">
        <f>INDEX(Employee!#REF!,MATCH(U313,Employee!#REF!,0))</f>
        <v>#REF!</v>
      </c>
      <c r="X313" s="4" t="e">
        <f>INDEX(Employee!#REF!,MATCH(U313,Employee!#REF!,0))</f>
        <v>#REF!</v>
      </c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 t="str">
        <f>INDEX(Employee!C:C,MATCH(AK313,Employee!B:B,0))</f>
        <v>Nguyễn Văn Bình</v>
      </c>
      <c r="AK313" s="4" t="s">
        <v>447</v>
      </c>
      <c r="AL313" s="4" t="str">
        <f>INDEX(Employee!D:D,MATCH(AK313,Employee!B:B,0))</f>
        <v>Senior Software Engineer, Team Leader</v>
      </c>
      <c r="AM313" s="4" t="str">
        <f>INDEX(Employee!F:F,MATCH(AK313,Employee!B:B,0))</f>
        <v>Tech</v>
      </c>
      <c r="AN313" s="4" t="str">
        <f>INDEX(Employee!H:H,MATCH(AK313,Employee!B:B,0))</f>
        <v>Đoàn Nhật Duẩn (duandn)</v>
      </c>
      <c r="AO313" s="4"/>
      <c r="AP313" s="4"/>
      <c r="AQ313" s="4"/>
      <c r="AR313" s="4"/>
      <c r="AS313" s="4"/>
      <c r="CH313" s="6"/>
    </row>
    <row r="314" spans="1:86" hidden="1">
      <c r="A314" s="3">
        <f t="shared" si="18"/>
        <v>313</v>
      </c>
      <c r="B314" s="4" t="s">
        <v>20</v>
      </c>
      <c r="C314" s="4" t="s">
        <v>3</v>
      </c>
      <c r="D314" s="4" t="str">
        <f>INDEX(Employee!E:E,MATCH(AK314,Employee!B:B,0))</f>
        <v>Project</v>
      </c>
      <c r="E314" s="4" t="str">
        <f>INDEX(Employee!F:F,MATCH(AK314,Employee!B:B,0))</f>
        <v>Tech</v>
      </c>
      <c r="F314" s="4" t="str">
        <f>INDEX(Employee!G:G,MATCH(AK314,Employee!B:B,0))</f>
        <v>Venture</v>
      </c>
      <c r="G314" s="4" t="s">
        <v>15</v>
      </c>
      <c r="H314" s="4"/>
      <c r="I314" s="4" t="s">
        <v>744</v>
      </c>
      <c r="J314" s="4" t="s">
        <v>99</v>
      </c>
      <c r="K314" s="7" t="s">
        <v>745</v>
      </c>
      <c r="L314" s="7"/>
      <c r="M314" s="7"/>
      <c r="N314" s="13" t="b">
        <v>0</v>
      </c>
      <c r="O314" s="13" t="b">
        <v>0</v>
      </c>
      <c r="P314" s="4" t="s">
        <v>746</v>
      </c>
      <c r="Q314" s="14">
        <v>44791</v>
      </c>
      <c r="R314" s="4" t="s">
        <v>102</v>
      </c>
      <c r="S314" s="10">
        <v>0</v>
      </c>
      <c r="T314" s="4" t="e">
        <f>INDEX(Employee!#REF!,MATCH(U314,Employee!#REF!,0))</f>
        <v>#REF!</v>
      </c>
      <c r="U314" s="4" t="s">
        <v>631</v>
      </c>
      <c r="V314" s="4" t="e">
        <f>INDEX(Employee!#REF!,MATCH(U314,Employee!#REF!,0))</f>
        <v>#REF!</v>
      </c>
      <c r="W314" s="4" t="e">
        <f>INDEX(Employee!#REF!,MATCH(U314,Employee!#REF!,0))</f>
        <v>#REF!</v>
      </c>
      <c r="X314" s="4" t="e">
        <f>INDEX(Employee!#REF!,MATCH(U314,Employee!#REF!,0))</f>
        <v>#REF!</v>
      </c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 t="str">
        <f>INDEX(Employee!C:C,MATCH(AK314,Employee!B:B,0))</f>
        <v>Trịnh Minh Toàn</v>
      </c>
      <c r="AK314" s="4" t="s">
        <v>215</v>
      </c>
      <c r="AL314" s="4" t="str">
        <f>INDEX(Employee!D:D,MATCH(AK314,Employee!B:B,0))</f>
        <v>Senior Software Engineer</v>
      </c>
      <c r="AM314" s="4" t="str">
        <f>INDEX(Employee!F:F,MATCH(AK314,Employee!B:B,0))</f>
        <v>Tech</v>
      </c>
      <c r="AN314" s="4" t="str">
        <f>INDEX(Employee!H:H,MATCH(AK314,Employee!B:B,0))</f>
        <v>Đoàn Nhật Duẩn (duandn)</v>
      </c>
      <c r="AO314" s="4"/>
      <c r="AP314" s="4"/>
      <c r="AQ314" s="4"/>
      <c r="AR314" s="4"/>
      <c r="AS314" s="4"/>
      <c r="CH314" s="6"/>
    </row>
    <row r="315" spans="1:86" hidden="1">
      <c r="A315" s="3">
        <f t="shared" si="18"/>
        <v>314</v>
      </c>
      <c r="B315" s="4" t="s">
        <v>20</v>
      </c>
      <c r="C315" s="4" t="s">
        <v>3</v>
      </c>
      <c r="D315" s="4" t="str">
        <f>INDEX(Employee!E:E,MATCH(AK315,Employee!B:B,0))</f>
        <v>Project</v>
      </c>
      <c r="E315" s="4" t="str">
        <f>INDEX(Employee!F:F,MATCH(AK315,Employee!B:B,0))</f>
        <v>Tech</v>
      </c>
      <c r="F315" s="4" t="str">
        <f>INDEX(Employee!G:G,MATCH(AK315,Employee!B:B,0))</f>
        <v>Venture</v>
      </c>
      <c r="G315" s="4" t="s">
        <v>15</v>
      </c>
      <c r="H315" s="4"/>
      <c r="I315" s="4" t="s">
        <v>747</v>
      </c>
      <c r="J315" s="4" t="s">
        <v>99</v>
      </c>
      <c r="K315" s="7" t="s">
        <v>745</v>
      </c>
      <c r="L315" s="7"/>
      <c r="M315" s="7"/>
      <c r="N315" s="13" t="b">
        <v>0</v>
      </c>
      <c r="O315" s="13" t="b">
        <v>0</v>
      </c>
      <c r="P315" s="4" t="s">
        <v>748</v>
      </c>
      <c r="Q315" s="14">
        <v>44901</v>
      </c>
      <c r="R315" s="4" t="s">
        <v>102</v>
      </c>
      <c r="S315" s="10">
        <v>3416668</v>
      </c>
      <c r="T315" s="4" t="e">
        <f>INDEX(Employee!#REF!,MATCH(U315,Employee!#REF!,0))</f>
        <v>#REF!</v>
      </c>
      <c r="U315" s="4" t="s">
        <v>631</v>
      </c>
      <c r="V315" s="4" t="e">
        <f>INDEX(Employee!#REF!,MATCH(U315,Employee!#REF!,0))</f>
        <v>#REF!</v>
      </c>
      <c r="W315" s="4" t="e">
        <f>INDEX(Employee!#REF!,MATCH(U315,Employee!#REF!,0))</f>
        <v>#REF!</v>
      </c>
      <c r="X315" s="4" t="e">
        <f>INDEX(Employee!#REF!,MATCH(U315,Employee!#REF!,0))</f>
        <v>#REF!</v>
      </c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 t="str">
        <f>INDEX(Employee!C:C,MATCH(AK315,Employee!B:B,0))</f>
        <v>Phùng Thanh Huy</v>
      </c>
      <c r="AK315" s="4" t="s">
        <v>422</v>
      </c>
      <c r="AL315" s="4" t="str">
        <f>INDEX(Employee!D:D,MATCH(AK315,Employee!B:B,0))</f>
        <v>Senior Software Engineer</v>
      </c>
      <c r="AM315" s="4" t="str">
        <f>INDEX(Employee!F:F,MATCH(AK315,Employee!B:B,0))</f>
        <v>Tech</v>
      </c>
      <c r="AN315" s="4" t="str">
        <f>INDEX(Employee!H:H,MATCH(AK315,Employee!B:B,0))</f>
        <v>Đoàn Nhật Duẩn (duandn)</v>
      </c>
      <c r="AO315" s="4"/>
      <c r="AP315" s="4"/>
      <c r="AQ315" s="4"/>
      <c r="AR315" s="4"/>
      <c r="AS315" s="4"/>
      <c r="CH315" s="6"/>
    </row>
    <row r="316" spans="1:86" hidden="1">
      <c r="A316" s="3">
        <f t="shared" si="18"/>
        <v>315</v>
      </c>
      <c r="B316" s="4" t="s">
        <v>14</v>
      </c>
      <c r="C316" s="4" t="s">
        <v>12</v>
      </c>
      <c r="D316" s="4" t="e">
        <f>INDEX(Employee!E:E,MATCH(AK316,Employee!B:B,0))</f>
        <v>#N/A</v>
      </c>
      <c r="E316" s="4" t="e">
        <f>INDEX(Employee!F:F,MATCH(AK316,Employee!B:B,0))</f>
        <v>#N/A</v>
      </c>
      <c r="F316" s="4" t="e">
        <f>INDEX(Employee!G:G,MATCH(AK316,Employee!B:B,0))</f>
        <v>#N/A</v>
      </c>
      <c r="G316" s="4" t="s">
        <v>15</v>
      </c>
      <c r="H316" s="4"/>
      <c r="I316" s="4" t="s">
        <v>749</v>
      </c>
      <c r="J316" s="4" t="s">
        <v>99</v>
      </c>
      <c r="K316" s="7" t="s">
        <v>750</v>
      </c>
      <c r="L316" s="7" t="s">
        <v>51</v>
      </c>
      <c r="M316" s="4" t="str">
        <f t="shared" ref="M316:M325" si="19">RIGHT(K316,5)</f>
        <v>512GB</v>
      </c>
      <c r="N316" s="13" t="b">
        <v>1</v>
      </c>
      <c r="O316" s="13" t="b">
        <v>0</v>
      </c>
      <c r="P316" s="4" t="s">
        <v>751</v>
      </c>
      <c r="Q316" s="14" t="s">
        <v>752</v>
      </c>
      <c r="R316" s="4" t="s">
        <v>753</v>
      </c>
      <c r="S316" s="10">
        <v>41150000</v>
      </c>
      <c r="T316" s="4" t="e">
        <f>INDEX(Employee!#REF!,MATCH(U316,Employee!#REF!,0))</f>
        <v>#REF!</v>
      </c>
      <c r="U316" s="4"/>
      <c r="V316" s="4" t="e">
        <f>INDEX(Employee!#REF!,MATCH(U316,Employee!#REF!,0))</f>
        <v>#REF!</v>
      </c>
      <c r="W316" s="4" t="e">
        <f>INDEX(Employee!#REF!,MATCH(U316,Employee!#REF!,0))</f>
        <v>#REF!</v>
      </c>
      <c r="X316" s="4" t="e">
        <f>INDEX(Employee!#REF!,MATCH(U316,Employee!#REF!,0))</f>
        <v>#REF!</v>
      </c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 t="e">
        <f>INDEX(Employee!C:C,MATCH(AK316,Employee!B:B,0))</f>
        <v>#N/A</v>
      </c>
      <c r="AK316" s="4"/>
      <c r="AL316" s="4" t="e">
        <f>INDEX(Employee!D:D,MATCH(AK316,Employee!B:B,0))</f>
        <v>#N/A</v>
      </c>
      <c r="AM316" s="4" t="e">
        <f>INDEX(Employee!F:F,MATCH(AK316,Employee!B:B,0))</f>
        <v>#N/A</v>
      </c>
      <c r="AN316" s="4" t="e">
        <f>INDEX(Employee!H:H,MATCH(AK316,Employee!B:B,0))</f>
        <v>#N/A</v>
      </c>
      <c r="AO316" s="4"/>
      <c r="AP316" s="4"/>
      <c r="AQ316" s="4"/>
      <c r="AR316" s="4"/>
      <c r="AS316" s="4"/>
      <c r="BR316" s="6"/>
      <c r="CH316" s="6"/>
    </row>
    <row r="317" spans="1:86" hidden="1">
      <c r="A317" s="3">
        <f t="shared" si="18"/>
        <v>316</v>
      </c>
      <c r="B317" s="4" t="s">
        <v>14</v>
      </c>
      <c r="C317" s="4" t="s">
        <v>3</v>
      </c>
      <c r="D317" s="4">
        <f>INDEX(Employee!E:E,MATCH(AK317,Employee!B:B,0))</f>
        <v>0</v>
      </c>
      <c r="E317" s="4" t="str">
        <f>INDEX(Employee!F:F,MATCH(AK317,Employee!B:B,0))</f>
        <v>Tech</v>
      </c>
      <c r="F317" s="4">
        <f>INDEX(Employee!G:G,MATCH(AK317,Employee!B:B,0))</f>
        <v>0</v>
      </c>
      <c r="G317" s="4" t="s">
        <v>119</v>
      </c>
      <c r="H317" s="4"/>
      <c r="I317" s="4" t="str">
        <f t="shared" ref="I317:I325" si="20">IF(I316="","", "LAP"&amp;TEXT(VALUE(RIGHT(I316,4))+1,"0000"))</f>
        <v>LAP0092</v>
      </c>
      <c r="J317" s="4" t="s">
        <v>99</v>
      </c>
      <c r="K317" s="7" t="s">
        <v>750</v>
      </c>
      <c r="L317" s="7" t="s">
        <v>51</v>
      </c>
      <c r="M317" s="4" t="str">
        <f t="shared" si="19"/>
        <v>512GB</v>
      </c>
      <c r="N317" s="13" t="b">
        <v>0</v>
      </c>
      <c r="O317" s="13" t="b">
        <v>0</v>
      </c>
      <c r="P317" s="4" t="s">
        <v>754</v>
      </c>
      <c r="Q317" s="14" t="s">
        <v>752</v>
      </c>
      <c r="R317" s="4" t="s">
        <v>753</v>
      </c>
      <c r="S317" s="10">
        <v>41150000</v>
      </c>
      <c r="T317" s="4" t="e">
        <f>INDEX(Employee!#REF!,MATCH(U317,Employee!#REF!,0))</f>
        <v>#REF!</v>
      </c>
      <c r="U317" s="4"/>
      <c r="V317" s="4" t="e">
        <f>INDEX(Employee!#REF!,MATCH(U317,Employee!#REF!,0))</f>
        <v>#REF!</v>
      </c>
      <c r="W317" s="4" t="e">
        <f>INDEX(Employee!#REF!,MATCH(U317,Employee!#REF!,0))</f>
        <v>#REF!</v>
      </c>
      <c r="X317" s="4" t="e">
        <f>INDEX(Employee!#REF!,MATCH(U317,Employee!#REF!,0))</f>
        <v>#REF!</v>
      </c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 t="str">
        <f>INDEX(Employee!C:C,MATCH(AK317,Employee!B:B,0))</f>
        <v>Nguyễn Anh Tuấn</v>
      </c>
      <c r="AK317" s="4" t="s">
        <v>414</v>
      </c>
      <c r="AL317" s="4" t="str">
        <f>INDEX(Employee!D:D,MATCH(AK317,Employee!B:B,0))</f>
        <v>Senior QC Engineer</v>
      </c>
      <c r="AM317" s="4" t="str">
        <f>INDEX(Employee!F:F,MATCH(AK317,Employee!B:B,0))</f>
        <v>Tech</v>
      </c>
      <c r="AN317" s="4" t="str">
        <f>INDEX(Employee!H:H,MATCH(AK317,Employee!B:B,0))</f>
        <v>Huỳnh Ngọc Minh (minhhn2)</v>
      </c>
      <c r="AO317" s="4"/>
      <c r="AP317" s="4"/>
      <c r="AQ317" s="4"/>
      <c r="AR317" s="4"/>
      <c r="AS317" s="4"/>
      <c r="BR317" s="6"/>
      <c r="CH317" s="6"/>
    </row>
    <row r="318" spans="1:86" hidden="1">
      <c r="A318" s="3">
        <f t="shared" si="18"/>
        <v>317</v>
      </c>
      <c r="B318" s="4" t="s">
        <v>14</v>
      </c>
      <c r="C318" s="4" t="s">
        <v>3</v>
      </c>
      <c r="D318" s="4">
        <f>INDEX(Employee!E:E,MATCH(AK318,Employee!B:B,0))</f>
        <v>0</v>
      </c>
      <c r="E318" s="4" t="str">
        <f>INDEX(Employee!F:F,MATCH(AK318,Employee!B:B,0))</f>
        <v>OP</v>
      </c>
      <c r="F318" s="4">
        <f>INDEX(Employee!G:G,MATCH(AK318,Employee!B:B,0))</f>
        <v>0</v>
      </c>
      <c r="G318" s="4" t="s">
        <v>119</v>
      </c>
      <c r="H318" s="4"/>
      <c r="I318" s="4" t="str">
        <f t="shared" si="20"/>
        <v>LAP0093</v>
      </c>
      <c r="J318" s="4" t="s">
        <v>99</v>
      </c>
      <c r="K318" s="7" t="s">
        <v>750</v>
      </c>
      <c r="L318" s="7" t="s">
        <v>51</v>
      </c>
      <c r="M318" s="4" t="str">
        <f t="shared" si="19"/>
        <v>512GB</v>
      </c>
      <c r="N318" s="13" t="b">
        <v>0</v>
      </c>
      <c r="O318" s="13" t="b">
        <v>0</v>
      </c>
      <c r="P318" s="4" t="s">
        <v>755</v>
      </c>
      <c r="Q318" s="14" t="s">
        <v>752</v>
      </c>
      <c r="R318" s="4" t="s">
        <v>753</v>
      </c>
      <c r="S318" s="10">
        <v>41150000</v>
      </c>
      <c r="T318" s="4" t="e">
        <f>INDEX(Employee!#REF!,MATCH(U318,Employee!#REF!,0))</f>
        <v>#REF!</v>
      </c>
      <c r="U318" s="4"/>
      <c r="V318" s="4" t="e">
        <f>INDEX(Employee!#REF!,MATCH(U318,Employee!#REF!,0))</f>
        <v>#REF!</v>
      </c>
      <c r="W318" s="4" t="e">
        <f>INDEX(Employee!#REF!,MATCH(U318,Employee!#REF!,0))</f>
        <v>#REF!</v>
      </c>
      <c r="X318" s="4" t="e">
        <f>INDEX(Employee!#REF!,MATCH(U318,Employee!#REF!,0))</f>
        <v>#REF!</v>
      </c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 t="str">
        <f>INDEX(Employee!C:C,MATCH(AK318,Employee!B:B,0))</f>
        <v>Nguyễn Thành Trung</v>
      </c>
      <c r="AK318" s="4" t="s">
        <v>503</v>
      </c>
      <c r="AL318" s="4" t="str">
        <f>INDEX(Employee!D:D,MATCH(AK318,Employee!B:B,0))</f>
        <v>IT Service Management Specialist II</v>
      </c>
      <c r="AM318" s="4" t="str">
        <f>INDEX(Employee!F:F,MATCH(AK318,Employee!B:B,0))</f>
        <v>OP</v>
      </c>
      <c r="AN318" s="4" t="str">
        <f>INDEX(Employee!H:H,MATCH(AK318,Employee!B:B,0))</f>
        <v>Chu Văn Toàn (ToanCV)</v>
      </c>
      <c r="AO318" s="4"/>
      <c r="AP318" s="4"/>
      <c r="AQ318" s="4"/>
      <c r="AR318" s="4"/>
      <c r="AS318" s="4" t="s">
        <v>417</v>
      </c>
      <c r="BR318" s="6"/>
      <c r="CH318" s="6"/>
    </row>
    <row r="319" spans="1:86" hidden="1">
      <c r="A319" s="3">
        <f t="shared" si="18"/>
        <v>318</v>
      </c>
      <c r="B319" s="4" t="s">
        <v>14</v>
      </c>
      <c r="C319" s="4" t="s">
        <v>3</v>
      </c>
      <c r="D319" s="4">
        <f>INDEX(Employee!E:E,MATCH(AK319,Employee!B:B,0))</f>
        <v>0</v>
      </c>
      <c r="E319" s="4" t="str">
        <f>INDEX(Employee!F:F,MATCH(AK319,Employee!B:B,0))</f>
        <v>Tech</v>
      </c>
      <c r="F319" s="4">
        <f>INDEX(Employee!G:G,MATCH(AK319,Employee!B:B,0))</f>
        <v>0</v>
      </c>
      <c r="G319" s="4" t="s">
        <v>119</v>
      </c>
      <c r="H319" s="4"/>
      <c r="I319" s="4" t="str">
        <f t="shared" si="20"/>
        <v>LAP0094</v>
      </c>
      <c r="J319" s="4" t="s">
        <v>99</v>
      </c>
      <c r="K319" s="7" t="s">
        <v>750</v>
      </c>
      <c r="L319" s="7" t="s">
        <v>51</v>
      </c>
      <c r="M319" s="4" t="str">
        <f t="shared" si="19"/>
        <v>512GB</v>
      </c>
      <c r="N319" s="13" t="b">
        <v>0</v>
      </c>
      <c r="O319" s="13" t="b">
        <v>0</v>
      </c>
      <c r="P319" s="4" t="s">
        <v>756</v>
      </c>
      <c r="Q319" s="14" t="s">
        <v>752</v>
      </c>
      <c r="R319" s="4" t="s">
        <v>753</v>
      </c>
      <c r="S319" s="10">
        <v>41150000</v>
      </c>
      <c r="T319" s="4" t="e">
        <f>INDEX(Employee!#REF!,MATCH(U319,Employee!#REF!,0))</f>
        <v>#REF!</v>
      </c>
      <c r="U319" s="4"/>
      <c r="V319" s="4" t="e">
        <f>INDEX(Employee!#REF!,MATCH(U319,Employee!#REF!,0))</f>
        <v>#REF!</v>
      </c>
      <c r="W319" s="4" t="e">
        <f>INDEX(Employee!#REF!,MATCH(U319,Employee!#REF!,0))</f>
        <v>#REF!</v>
      </c>
      <c r="X319" s="4" t="e">
        <f>INDEX(Employee!#REF!,MATCH(U319,Employee!#REF!,0))</f>
        <v>#REF!</v>
      </c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 t="str">
        <f>INDEX(Employee!C:C,MATCH(AK319,Employee!B:B,0))</f>
        <v>Trương Thanh Nhân</v>
      </c>
      <c r="AK319" s="4" t="s">
        <v>603</v>
      </c>
      <c r="AL319" s="4" t="str">
        <f>INDEX(Employee!D:D,MATCH(AK319,Employee!B:B,0))</f>
        <v>Senior Software Engineer</v>
      </c>
      <c r="AM319" s="4" t="str">
        <f>INDEX(Employee!F:F,MATCH(AK319,Employee!B:B,0))</f>
        <v>Tech</v>
      </c>
      <c r="AN319" s="4" t="str">
        <f>INDEX(Employee!H:H,MATCH(AK319,Employee!B:B,0))</f>
        <v>Trần Triệu Dương (duongtt5)</v>
      </c>
      <c r="AO319" s="4"/>
      <c r="AP319" s="4"/>
      <c r="AQ319" s="4"/>
      <c r="AR319" s="4"/>
      <c r="AS319" s="4"/>
      <c r="BR319" s="6"/>
      <c r="CH319" s="6"/>
    </row>
    <row r="320" spans="1:86" hidden="1">
      <c r="A320" s="3">
        <f t="shared" si="18"/>
        <v>319</v>
      </c>
      <c r="B320" s="4" t="s">
        <v>14</v>
      </c>
      <c r="C320" s="4" t="s">
        <v>3</v>
      </c>
      <c r="D320" s="4" t="str">
        <f>INDEX(Employee!E:E,MATCH(AK320,Employee!B:B,0))</f>
        <v>Undirect IT Staff</v>
      </c>
      <c r="E320" s="4" t="str">
        <f>INDEX(Employee!F:F,MATCH(AK320,Employee!B:B,0))</f>
        <v>Tech</v>
      </c>
      <c r="F320" s="4" t="str">
        <f>INDEX(Employee!G:G,MATCH(AK320,Employee!B:B,0))</f>
        <v>Odoo</v>
      </c>
      <c r="G320" s="4" t="s">
        <v>15</v>
      </c>
      <c r="H320" s="4"/>
      <c r="I320" s="4" t="str">
        <f t="shared" si="20"/>
        <v>LAP0095</v>
      </c>
      <c r="J320" s="4" t="s">
        <v>99</v>
      </c>
      <c r="K320" s="7" t="s">
        <v>750</v>
      </c>
      <c r="L320" s="7" t="s">
        <v>51</v>
      </c>
      <c r="M320" s="4" t="str">
        <f t="shared" si="19"/>
        <v>512GB</v>
      </c>
      <c r="N320" s="13" t="b">
        <v>1</v>
      </c>
      <c r="O320" s="13" t="b">
        <v>0</v>
      </c>
      <c r="P320" s="4" t="s">
        <v>757</v>
      </c>
      <c r="Q320" s="14" t="s">
        <v>752</v>
      </c>
      <c r="R320" s="4" t="s">
        <v>753</v>
      </c>
      <c r="S320" s="10">
        <v>41150000</v>
      </c>
      <c r="T320" s="4" t="e">
        <f>INDEX(Employee!#REF!,MATCH(U320,Employee!#REF!,0))</f>
        <v>#REF!</v>
      </c>
      <c r="U320" s="4"/>
      <c r="V320" s="4" t="e">
        <f>INDEX(Employee!#REF!,MATCH(U320,Employee!#REF!,0))</f>
        <v>#REF!</v>
      </c>
      <c r="W320" s="4" t="e">
        <f>INDEX(Employee!#REF!,MATCH(U320,Employee!#REF!,0))</f>
        <v>#REF!</v>
      </c>
      <c r="X320" s="4" t="e">
        <f>INDEX(Employee!#REF!,MATCH(U320,Employee!#REF!,0))</f>
        <v>#REF!</v>
      </c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 t="str">
        <f>INDEX(Employee!C:C,MATCH(AK320,Employee!B:B,0))</f>
        <v>Dương Phạm Thành Công</v>
      </c>
      <c r="AK320" s="4" t="s">
        <v>533</v>
      </c>
      <c r="AL320" s="4" t="str">
        <f>INDEX(Employee!D:D,MATCH(AK320,Employee!B:B,0))</f>
        <v>ERP Lead</v>
      </c>
      <c r="AM320" s="4" t="str">
        <f>INDEX(Employee!F:F,MATCH(AK320,Employee!B:B,0))</f>
        <v>Tech</v>
      </c>
      <c r="AN320" s="4" t="str">
        <f>INDEX(Employee!H:H,MATCH(AK320,Employee!B:B,0))</f>
        <v>Đoàn Hải Nam</v>
      </c>
      <c r="AO320" s="4"/>
      <c r="AP320" s="4"/>
      <c r="AQ320" s="4"/>
      <c r="AR320" s="4"/>
      <c r="AS320" s="4"/>
      <c r="BR320" s="6"/>
      <c r="CH320" s="6"/>
    </row>
    <row r="321" spans="1:86" hidden="1">
      <c r="A321" s="3">
        <f t="shared" si="18"/>
        <v>320</v>
      </c>
      <c r="B321" s="4" t="s">
        <v>14</v>
      </c>
      <c r="C321" s="4" t="s">
        <v>3</v>
      </c>
      <c r="D321" s="4" t="str">
        <f>INDEX(Employee!E:E,MATCH(AK321,Employee!B:B,0))</f>
        <v>Undirect IT Staff</v>
      </c>
      <c r="E321" s="4" t="str">
        <f>INDEX(Employee!F:F,MATCH(AK321,Employee!B:B,0))</f>
        <v>Tech</v>
      </c>
      <c r="F321" s="4" t="str">
        <f>INDEX(Employee!G:G,MATCH(AK321,Employee!B:B,0))</f>
        <v>Odoo</v>
      </c>
      <c r="G321" s="4" t="s">
        <v>15</v>
      </c>
      <c r="H321" s="4"/>
      <c r="I321" s="4" t="str">
        <f t="shared" si="20"/>
        <v>LAP0096</v>
      </c>
      <c r="J321" s="4" t="s">
        <v>99</v>
      </c>
      <c r="K321" s="7" t="s">
        <v>750</v>
      </c>
      <c r="L321" s="7" t="s">
        <v>51</v>
      </c>
      <c r="M321" s="4" t="str">
        <f t="shared" si="19"/>
        <v>512GB</v>
      </c>
      <c r="N321" s="13" t="b">
        <v>1</v>
      </c>
      <c r="O321" s="13" t="b">
        <v>0</v>
      </c>
      <c r="P321" s="4" t="s">
        <v>758</v>
      </c>
      <c r="Q321" s="14" t="s">
        <v>752</v>
      </c>
      <c r="R321" s="4" t="s">
        <v>753</v>
      </c>
      <c r="S321" s="10">
        <v>41150000</v>
      </c>
      <c r="T321" s="4" t="e">
        <f>INDEX(Employee!#REF!,MATCH(U321,Employee!#REF!,0))</f>
        <v>#REF!</v>
      </c>
      <c r="U321" s="4"/>
      <c r="V321" s="4" t="e">
        <f>INDEX(Employee!#REF!,MATCH(U321,Employee!#REF!,0))</f>
        <v>#REF!</v>
      </c>
      <c r="W321" s="4" t="e">
        <f>INDEX(Employee!#REF!,MATCH(U321,Employee!#REF!,0))</f>
        <v>#REF!</v>
      </c>
      <c r="X321" s="4" t="e">
        <f>INDEX(Employee!#REF!,MATCH(U321,Employee!#REF!,0))</f>
        <v>#REF!</v>
      </c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 t="str">
        <f>INDEX(Employee!C:C,MATCH(AK321,Employee!B:B,0))</f>
        <v>Nguyễn Ngọc Trinh</v>
      </c>
      <c r="AK321" s="4" t="s">
        <v>457</v>
      </c>
      <c r="AL321" s="4" t="str">
        <f>INDEX(Employee!D:D,MATCH(AK321,Employee!B:B,0))</f>
        <v>Fresher QC Engineer</v>
      </c>
      <c r="AM321" s="4" t="str">
        <f>INDEX(Employee!F:F,MATCH(AK321,Employee!B:B,0))</f>
        <v>Tech</v>
      </c>
      <c r="AN321" s="4" t="str">
        <f>INDEX(Employee!H:H,MATCH(AK321,Employee!B:B,0))</f>
        <v>Dương Phạm Thành Công (congdpt)</v>
      </c>
      <c r="AO321" s="4"/>
      <c r="AP321" s="4"/>
      <c r="AQ321" s="4"/>
      <c r="AR321" s="4"/>
      <c r="AS321" s="4"/>
      <c r="BR321" s="6"/>
      <c r="CH321" s="6"/>
    </row>
    <row r="322" spans="1:86" hidden="1">
      <c r="A322" s="3">
        <f t="shared" si="18"/>
        <v>321</v>
      </c>
      <c r="B322" s="4" t="s">
        <v>14</v>
      </c>
      <c r="C322" s="4" t="s">
        <v>3</v>
      </c>
      <c r="D322" s="4" t="str">
        <f>INDEX(Employee!E:E,MATCH(AK322,Employee!B:B,0))</f>
        <v>Project</v>
      </c>
      <c r="E322" s="4" t="str">
        <f>INDEX(Employee!F:F,MATCH(AK322,Employee!B:B,0))</f>
        <v>Tech</v>
      </c>
      <c r="F322" s="4" t="str">
        <f>INDEX(Employee!G:G,MATCH(AK322,Employee!B:B,0))</f>
        <v>Venture</v>
      </c>
      <c r="G322" s="4" t="s">
        <v>15</v>
      </c>
      <c r="H322" s="4"/>
      <c r="I322" s="4" t="str">
        <f t="shared" si="20"/>
        <v>LAP0097</v>
      </c>
      <c r="J322" s="4" t="s">
        <v>99</v>
      </c>
      <c r="K322" s="7" t="s">
        <v>750</v>
      </c>
      <c r="L322" s="7" t="s">
        <v>51</v>
      </c>
      <c r="M322" s="4" t="str">
        <f t="shared" si="19"/>
        <v>512GB</v>
      </c>
      <c r="N322" s="13" t="b">
        <v>1</v>
      </c>
      <c r="O322" s="13" t="b">
        <v>0</v>
      </c>
      <c r="P322" s="4" t="s">
        <v>759</v>
      </c>
      <c r="Q322" s="14" t="s">
        <v>752</v>
      </c>
      <c r="R322" s="4" t="s">
        <v>753</v>
      </c>
      <c r="S322" s="10">
        <v>41150000</v>
      </c>
      <c r="T322" s="4" t="e">
        <f>INDEX(Employee!#REF!,MATCH(U322,Employee!#REF!,0))</f>
        <v>#REF!</v>
      </c>
      <c r="U322" s="4"/>
      <c r="V322" s="4" t="e">
        <f>INDEX(Employee!#REF!,MATCH(U322,Employee!#REF!,0))</f>
        <v>#REF!</v>
      </c>
      <c r="W322" s="4" t="e">
        <f>INDEX(Employee!#REF!,MATCH(U322,Employee!#REF!,0))</f>
        <v>#REF!</v>
      </c>
      <c r="X322" s="4" t="e">
        <f>INDEX(Employee!#REF!,MATCH(U322,Employee!#REF!,0))</f>
        <v>#REF!</v>
      </c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 t="str">
        <f>INDEX(Employee!C:C,MATCH(AK322,Employee!B:B,0))</f>
        <v>Trịnh Minh Toàn</v>
      </c>
      <c r="AK322" s="4" t="s">
        <v>215</v>
      </c>
      <c r="AL322" s="4" t="str">
        <f>INDEX(Employee!D:D,MATCH(AK322,Employee!B:B,0))</f>
        <v>Senior Software Engineer</v>
      </c>
      <c r="AM322" s="4" t="str">
        <f>INDEX(Employee!F:F,MATCH(AK322,Employee!B:B,0))</f>
        <v>Tech</v>
      </c>
      <c r="AN322" s="4" t="str">
        <f>INDEX(Employee!H:H,MATCH(AK322,Employee!B:B,0))</f>
        <v>Đoàn Nhật Duẩn (duandn)</v>
      </c>
      <c r="AO322" s="4"/>
      <c r="AP322" s="4"/>
      <c r="AQ322" s="4"/>
      <c r="AR322" s="4"/>
      <c r="AS322" s="4"/>
      <c r="BR322" s="6"/>
      <c r="CH322" s="6"/>
    </row>
    <row r="323" spans="1:86" hidden="1">
      <c r="A323" s="3">
        <f t="shared" si="18"/>
        <v>322</v>
      </c>
      <c r="B323" s="4" t="s">
        <v>14</v>
      </c>
      <c r="C323" s="4" t="s">
        <v>3</v>
      </c>
      <c r="D323" s="4">
        <f>INDEX(Employee!E:E,MATCH(AK323,Employee!B:B,0))</f>
        <v>0</v>
      </c>
      <c r="E323" s="4" t="str">
        <f>INDEX(Employee!F:F,MATCH(AK323,Employee!B:B,0))</f>
        <v>OP</v>
      </c>
      <c r="F323" s="4">
        <f>INDEX(Employee!G:G,MATCH(AK323,Employee!B:B,0))</f>
        <v>0</v>
      </c>
      <c r="G323" s="4" t="s">
        <v>119</v>
      </c>
      <c r="H323" s="4"/>
      <c r="I323" s="4" t="str">
        <f t="shared" si="20"/>
        <v>LAP0098</v>
      </c>
      <c r="J323" s="4" t="s">
        <v>99</v>
      </c>
      <c r="K323" s="7" t="s">
        <v>750</v>
      </c>
      <c r="L323" s="7" t="s">
        <v>51</v>
      </c>
      <c r="M323" s="4" t="str">
        <f t="shared" si="19"/>
        <v>512GB</v>
      </c>
      <c r="N323" s="13" t="b">
        <v>0</v>
      </c>
      <c r="O323" s="13" t="b">
        <v>0</v>
      </c>
      <c r="P323" s="4" t="s">
        <v>760</v>
      </c>
      <c r="Q323" s="14" t="s">
        <v>752</v>
      </c>
      <c r="R323" s="4" t="s">
        <v>753</v>
      </c>
      <c r="S323" s="10">
        <v>41150000</v>
      </c>
      <c r="T323" s="4" t="e">
        <f>INDEX(Employee!#REF!,MATCH(U323,Employee!#REF!,0))</f>
        <v>#REF!</v>
      </c>
      <c r="U323" s="4"/>
      <c r="V323" s="4" t="e">
        <f>INDEX(Employee!#REF!,MATCH(U323,Employee!#REF!,0))</f>
        <v>#REF!</v>
      </c>
      <c r="W323" s="4" t="e">
        <f>INDEX(Employee!#REF!,MATCH(U323,Employee!#REF!,0))</f>
        <v>#REF!</v>
      </c>
      <c r="X323" s="4" t="e">
        <f>INDEX(Employee!#REF!,MATCH(U323,Employee!#REF!,0))</f>
        <v>#REF!</v>
      </c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 t="str">
        <f>INDEX(Employee!C:C,MATCH(AK323,Employee!B:B,0))</f>
        <v>Lê Quang Hiếu</v>
      </c>
      <c r="AK323" s="4" t="s">
        <v>623</v>
      </c>
      <c r="AL323" s="4" t="str">
        <f>INDEX(Employee!D:D,MATCH(AK323,Employee!B:B,0))</f>
        <v>Site Reliability Engineer</v>
      </c>
      <c r="AM323" s="4" t="str">
        <f>INDEX(Employee!F:F,MATCH(AK323,Employee!B:B,0))</f>
        <v>OP</v>
      </c>
      <c r="AN323" s="4" t="str">
        <f>INDEX(Employee!H:H,MATCH(AK323,Employee!B:B,0))</f>
        <v>Nguyễn Hữu Hỷ (hynh)</v>
      </c>
      <c r="AO323" s="4"/>
      <c r="AP323" s="4"/>
      <c r="AQ323" s="4"/>
      <c r="AR323" s="4"/>
      <c r="AS323" s="4" t="s">
        <v>539</v>
      </c>
      <c r="BR323" s="6"/>
      <c r="CH323" s="6"/>
    </row>
    <row r="324" spans="1:86" hidden="1">
      <c r="A324" s="3">
        <f t="shared" si="18"/>
        <v>323</v>
      </c>
      <c r="B324" s="4" t="s">
        <v>14</v>
      </c>
      <c r="C324" s="4" t="s">
        <v>3</v>
      </c>
      <c r="D324" s="4" t="str">
        <f>INDEX(Employee!E:E,MATCH(AK324,Employee!B:B,0))</f>
        <v>Project</v>
      </c>
      <c r="E324" s="4" t="str">
        <f>INDEX(Employee!F:F,MATCH(AK324,Employee!B:B,0))</f>
        <v>Tech</v>
      </c>
      <c r="F324" s="4" t="str">
        <f>INDEX(Employee!G:G,MATCH(AK324,Employee!B:B,0))</f>
        <v>Venture</v>
      </c>
      <c r="G324" s="4" t="s">
        <v>15</v>
      </c>
      <c r="H324" s="4"/>
      <c r="I324" s="4" t="str">
        <f t="shared" si="20"/>
        <v>LAP0099</v>
      </c>
      <c r="J324" s="4" t="s">
        <v>99</v>
      </c>
      <c r="K324" s="7" t="s">
        <v>750</v>
      </c>
      <c r="L324" s="7" t="s">
        <v>51</v>
      </c>
      <c r="M324" s="4" t="str">
        <f t="shared" si="19"/>
        <v>512GB</v>
      </c>
      <c r="N324" s="13" t="b">
        <v>1</v>
      </c>
      <c r="O324" s="13" t="b">
        <v>0</v>
      </c>
      <c r="P324" s="4" t="s">
        <v>761</v>
      </c>
      <c r="Q324" s="14" t="s">
        <v>752</v>
      </c>
      <c r="R324" s="4" t="s">
        <v>753</v>
      </c>
      <c r="S324" s="10">
        <v>41150000</v>
      </c>
      <c r="T324" s="4" t="e">
        <f>INDEX(Employee!#REF!,MATCH(U324,Employee!#REF!,0))</f>
        <v>#REF!</v>
      </c>
      <c r="U324" s="4"/>
      <c r="V324" s="4" t="e">
        <f>INDEX(Employee!#REF!,MATCH(U324,Employee!#REF!,0))</f>
        <v>#REF!</v>
      </c>
      <c r="W324" s="4" t="e">
        <f>INDEX(Employee!#REF!,MATCH(U324,Employee!#REF!,0))</f>
        <v>#REF!</v>
      </c>
      <c r="X324" s="4" t="e">
        <f>INDEX(Employee!#REF!,MATCH(U324,Employee!#REF!,0))</f>
        <v>#REF!</v>
      </c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 t="str">
        <f>INDEX(Employee!C:C,MATCH(AK324,Employee!B:B,0))</f>
        <v>Phùng Thanh Huy</v>
      </c>
      <c r="AK324" s="4" t="s">
        <v>422</v>
      </c>
      <c r="AL324" s="4" t="str">
        <f>INDEX(Employee!D:D,MATCH(AK324,Employee!B:B,0))</f>
        <v>Senior Software Engineer</v>
      </c>
      <c r="AM324" s="4" t="str">
        <f>INDEX(Employee!F:F,MATCH(AK324,Employee!B:B,0))</f>
        <v>Tech</v>
      </c>
      <c r="AN324" s="4" t="str">
        <f>INDEX(Employee!H:H,MATCH(AK324,Employee!B:B,0))</f>
        <v>Đoàn Nhật Duẩn (duandn)</v>
      </c>
      <c r="AO324" s="4"/>
      <c r="AP324" s="4"/>
      <c r="AQ324" s="4"/>
      <c r="AR324" s="4"/>
      <c r="AS324" s="4"/>
      <c r="BR324" s="6"/>
      <c r="CH324" s="6"/>
    </row>
    <row r="325" spans="1:86" hidden="1">
      <c r="A325" s="3">
        <f t="shared" si="18"/>
        <v>324</v>
      </c>
      <c r="B325" s="4" t="s">
        <v>14</v>
      </c>
      <c r="C325" s="4" t="s">
        <v>3</v>
      </c>
      <c r="D325" s="4" t="str">
        <f>INDEX(Employee!E:E,MATCH(AK325,Employee!B:B,0))</f>
        <v>Project</v>
      </c>
      <c r="E325" s="4" t="str">
        <f>INDEX(Employee!F:F,MATCH(AK325,Employee!B:B,0))</f>
        <v>Tech</v>
      </c>
      <c r="F325" s="4" t="str">
        <f>INDEX(Employee!G:G,MATCH(AK325,Employee!B:B,0))</f>
        <v>Venture</v>
      </c>
      <c r="G325" s="4" t="s">
        <v>15</v>
      </c>
      <c r="H325" s="4"/>
      <c r="I325" s="4" t="str">
        <f t="shared" si="20"/>
        <v>LAP0100</v>
      </c>
      <c r="J325" s="4" t="s">
        <v>99</v>
      </c>
      <c r="K325" s="7" t="s">
        <v>750</v>
      </c>
      <c r="L325" s="7" t="s">
        <v>51</v>
      </c>
      <c r="M325" s="4" t="str">
        <f t="shared" si="19"/>
        <v>512GB</v>
      </c>
      <c r="N325" s="13" t="b">
        <v>1</v>
      </c>
      <c r="O325" s="13" t="b">
        <v>0</v>
      </c>
      <c r="P325" s="4" t="s">
        <v>762</v>
      </c>
      <c r="Q325" s="14" t="s">
        <v>752</v>
      </c>
      <c r="R325" s="4" t="s">
        <v>753</v>
      </c>
      <c r="S325" s="10">
        <v>41150000</v>
      </c>
      <c r="T325" s="4" t="e">
        <f>INDEX(Employee!#REF!,MATCH(U325,Employee!#REF!,0))</f>
        <v>#REF!</v>
      </c>
      <c r="U325" s="4"/>
      <c r="V325" s="4" t="e">
        <f>INDEX(Employee!#REF!,MATCH(U325,Employee!#REF!,0))</f>
        <v>#REF!</v>
      </c>
      <c r="W325" s="4" t="e">
        <f>INDEX(Employee!#REF!,MATCH(U325,Employee!#REF!,0))</f>
        <v>#REF!</v>
      </c>
      <c r="X325" s="4" t="e">
        <f>INDEX(Employee!#REF!,MATCH(U325,Employee!#REF!,0))</f>
        <v>#REF!</v>
      </c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 t="str">
        <f>INDEX(Employee!C:C,MATCH(AK325,Employee!B:B,0))</f>
        <v>Ngô Khánh Vy</v>
      </c>
      <c r="AK325" s="4" t="s">
        <v>530</v>
      </c>
      <c r="AL325" s="4" t="str">
        <f>INDEX(Employee!D:D,MATCH(AK325,Employee!B:B,0))</f>
        <v>Lead Business Analyst</v>
      </c>
      <c r="AM325" s="4" t="str">
        <f>INDEX(Employee!F:F,MATCH(AK325,Employee!B:B,0))</f>
        <v>Tech</v>
      </c>
      <c r="AN325" s="4" t="str">
        <f>INDEX(Employee!H:H,MATCH(AK325,Employee!B:B,0))</f>
        <v>Đoàn Nhật Duẩn (duandn)</v>
      </c>
      <c r="AO325" s="4"/>
      <c r="AP325" s="4"/>
      <c r="AQ325" s="4"/>
      <c r="AR325" s="4"/>
      <c r="AS325" s="4"/>
      <c r="BR325" s="6"/>
      <c r="CH325" s="6"/>
    </row>
    <row r="326" spans="1:86" hidden="1">
      <c r="A326" s="3">
        <f t="shared" ref="A326:A357" si="21">IF(B326&lt;&gt;"",ROW()-1,"")</f>
        <v>325</v>
      </c>
      <c r="B326" s="4" t="s">
        <v>14</v>
      </c>
      <c r="C326" s="4" t="s">
        <v>3</v>
      </c>
      <c r="D326" s="4" t="str">
        <f>INDEX(Employee!E:E,MATCH(AK326,Employee!B:B,0))</f>
        <v>Project</v>
      </c>
      <c r="E326" s="4" t="str">
        <f>INDEX(Employee!F:F,MATCH(AK326,Employee!B:B,0))</f>
        <v>Data</v>
      </c>
      <c r="F326" s="4" t="str">
        <f>INDEX(Employee!G:G,MATCH(AK326,Employee!B:B,0))</f>
        <v>Venture</v>
      </c>
      <c r="G326" s="4" t="s">
        <v>15</v>
      </c>
      <c r="H326" s="4"/>
      <c r="I326" s="4" t="str">
        <f t="shared" ref="I326:I355" si="22">IF(I325="","", "LAP"&amp;TEXT(VALUE(RIGHT(I325,4))+1,"0000"))</f>
        <v>LAP0101</v>
      </c>
      <c r="J326" s="4" t="s">
        <v>99</v>
      </c>
      <c r="K326" s="7" t="s">
        <v>750</v>
      </c>
      <c r="L326" s="7" t="s">
        <v>51</v>
      </c>
      <c r="M326" s="4" t="str">
        <f t="shared" ref="M326:M355" si="23">RIGHT(K326,5)</f>
        <v>512GB</v>
      </c>
      <c r="N326" s="13" t="b">
        <v>1</v>
      </c>
      <c r="O326" s="13" t="b">
        <v>0</v>
      </c>
      <c r="P326" s="4" t="s">
        <v>763</v>
      </c>
      <c r="Q326" s="14" t="s">
        <v>752</v>
      </c>
      <c r="R326" s="4" t="s">
        <v>753</v>
      </c>
      <c r="S326" s="10">
        <v>41150000</v>
      </c>
      <c r="T326" s="4" t="e">
        <f>INDEX(Employee!#REF!,MATCH(U326,Employee!#REF!,0))</f>
        <v>#REF!</v>
      </c>
      <c r="U326" s="4"/>
      <c r="V326" s="4" t="e">
        <f>INDEX(Employee!#REF!,MATCH(U326,Employee!#REF!,0))</f>
        <v>#REF!</v>
      </c>
      <c r="W326" s="4" t="e">
        <f>INDEX(Employee!#REF!,MATCH(U326,Employee!#REF!,0))</f>
        <v>#REF!</v>
      </c>
      <c r="X326" s="4" t="e">
        <f>INDEX(Employee!#REF!,MATCH(U326,Employee!#REF!,0))</f>
        <v>#REF!</v>
      </c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 t="str">
        <f>INDEX(Employee!C:C,MATCH(AK326,Employee!B:B,0))</f>
        <v>Trần Hoàng Anh</v>
      </c>
      <c r="AK326" s="4" t="s">
        <v>371</v>
      </c>
      <c r="AL326" s="4" t="str">
        <f>INDEX(Employee!D:D,MATCH(AK326,Employee!B:B,0))</f>
        <v>Senior Machine Learning Engineer</v>
      </c>
      <c r="AM326" s="4" t="str">
        <f>INDEX(Employee!F:F,MATCH(AK326,Employee!B:B,0))</f>
        <v>Data</v>
      </c>
      <c r="AN326" s="4" t="str">
        <f>INDEX(Employee!H:H,MATCH(AK326,Employee!B:B,0))</f>
        <v>Đoàn Nhật Duẩn</v>
      </c>
      <c r="AO326" s="4"/>
      <c r="AP326" s="4"/>
      <c r="AQ326" s="4"/>
      <c r="AR326" s="4"/>
      <c r="AS326" s="4"/>
      <c r="BR326" s="6"/>
      <c r="CH326" s="6"/>
    </row>
    <row r="327" spans="1:86" hidden="1">
      <c r="A327" s="3">
        <f t="shared" si="21"/>
        <v>326</v>
      </c>
      <c r="B327" s="4" t="s">
        <v>14</v>
      </c>
      <c r="C327" s="4" t="s">
        <v>3</v>
      </c>
      <c r="D327" s="4" t="str">
        <f>INDEX(Employee!E:E,MATCH(AK327,Employee!B:B,0))</f>
        <v>Undirect IT Staff</v>
      </c>
      <c r="E327" s="4" t="str">
        <f>INDEX(Employee!F:F,MATCH(AK327,Employee!B:B,0))</f>
        <v>Tech</v>
      </c>
      <c r="F327" s="4" t="str">
        <f>INDEX(Employee!G:G,MATCH(AK327,Employee!B:B,0))</f>
        <v>Odoo</v>
      </c>
      <c r="G327" s="4" t="s">
        <v>15</v>
      </c>
      <c r="H327" s="4"/>
      <c r="I327" s="4" t="str">
        <f t="shared" si="22"/>
        <v>LAP0102</v>
      </c>
      <c r="J327" s="4" t="s">
        <v>99</v>
      </c>
      <c r="K327" s="7" t="s">
        <v>750</v>
      </c>
      <c r="L327" s="7" t="s">
        <v>51</v>
      </c>
      <c r="M327" s="4" t="str">
        <f t="shared" si="23"/>
        <v>512GB</v>
      </c>
      <c r="N327" s="13" t="b">
        <v>1</v>
      </c>
      <c r="O327" s="13" t="b">
        <v>0</v>
      </c>
      <c r="P327" s="4" t="s">
        <v>764</v>
      </c>
      <c r="Q327" s="14" t="s">
        <v>752</v>
      </c>
      <c r="R327" s="4" t="s">
        <v>753</v>
      </c>
      <c r="S327" s="10">
        <v>41150000</v>
      </c>
      <c r="T327" s="4" t="e">
        <f>INDEX(Employee!#REF!,MATCH(U327,Employee!#REF!,0))</f>
        <v>#REF!</v>
      </c>
      <c r="U327" s="4"/>
      <c r="V327" s="4" t="e">
        <f>INDEX(Employee!#REF!,MATCH(U327,Employee!#REF!,0))</f>
        <v>#REF!</v>
      </c>
      <c r="W327" s="4" t="e">
        <f>INDEX(Employee!#REF!,MATCH(U327,Employee!#REF!,0))</f>
        <v>#REF!</v>
      </c>
      <c r="X327" s="4" t="e">
        <f>INDEX(Employee!#REF!,MATCH(U327,Employee!#REF!,0))</f>
        <v>#REF!</v>
      </c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 t="str">
        <f>INDEX(Employee!C:C,MATCH(AK327,Employee!B:B,0))</f>
        <v>Đặng Thành Thái</v>
      </c>
      <c r="AK327" s="4" t="s">
        <v>252</v>
      </c>
      <c r="AL327" s="4" t="str">
        <f>INDEX(Employee!D:D,MATCH(AK327,Employee!B:B,0))</f>
        <v>Software Engineer</v>
      </c>
      <c r="AM327" s="4" t="str">
        <f>INDEX(Employee!F:F,MATCH(AK327,Employee!B:B,0))</f>
        <v>Tech</v>
      </c>
      <c r="AN327" s="4" t="str">
        <f>INDEX(Employee!H:H,MATCH(AK327,Employee!B:B,0))</f>
        <v>Dương Phạm Thành Công (congdpt)</v>
      </c>
      <c r="AO327" s="4"/>
      <c r="AP327" s="4"/>
      <c r="AQ327" s="4"/>
      <c r="AR327" s="4"/>
      <c r="AS327" s="4"/>
      <c r="BR327" s="6"/>
      <c r="CH327" s="6"/>
    </row>
    <row r="328" spans="1:86" hidden="1">
      <c r="A328" s="3">
        <f t="shared" si="21"/>
        <v>327</v>
      </c>
      <c r="B328" s="4" t="s">
        <v>14</v>
      </c>
      <c r="C328" s="4" t="s">
        <v>3</v>
      </c>
      <c r="D328" s="4" t="str">
        <f>INDEX(Employee!E:E,MATCH(AK328,Employee!B:B,0))</f>
        <v>Project</v>
      </c>
      <c r="E328" s="4" t="str">
        <f>INDEX(Employee!F:F,MATCH(AK328,Employee!B:B,0))</f>
        <v>Tech</v>
      </c>
      <c r="F328" s="4" t="str">
        <f>INDEX(Employee!G:G,MATCH(AK328,Employee!B:B,0))</f>
        <v>Venture</v>
      </c>
      <c r="G328" s="4" t="s">
        <v>15</v>
      </c>
      <c r="H328" s="4"/>
      <c r="I328" s="4" t="str">
        <f t="shared" si="22"/>
        <v>LAP0103</v>
      </c>
      <c r="J328" s="4" t="s">
        <v>99</v>
      </c>
      <c r="K328" s="7" t="s">
        <v>750</v>
      </c>
      <c r="L328" s="7" t="s">
        <v>51</v>
      </c>
      <c r="M328" s="4" t="str">
        <f t="shared" si="23"/>
        <v>512GB</v>
      </c>
      <c r="N328" s="13" t="b">
        <v>1</v>
      </c>
      <c r="O328" s="13" t="b">
        <v>0</v>
      </c>
      <c r="P328" s="4" t="s">
        <v>765</v>
      </c>
      <c r="Q328" s="14" t="s">
        <v>752</v>
      </c>
      <c r="R328" s="4" t="s">
        <v>753</v>
      </c>
      <c r="S328" s="10">
        <v>41150000</v>
      </c>
      <c r="T328" s="4" t="e">
        <f>INDEX(Employee!#REF!,MATCH(U328,Employee!#REF!,0))</f>
        <v>#REF!</v>
      </c>
      <c r="U328" s="4"/>
      <c r="V328" s="4" t="e">
        <f>INDEX(Employee!#REF!,MATCH(U328,Employee!#REF!,0))</f>
        <v>#REF!</v>
      </c>
      <c r="W328" s="4" t="e">
        <f>INDEX(Employee!#REF!,MATCH(U328,Employee!#REF!,0))</f>
        <v>#REF!</v>
      </c>
      <c r="X328" s="4" t="e">
        <f>INDEX(Employee!#REF!,MATCH(U328,Employee!#REF!,0))</f>
        <v>#REF!</v>
      </c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 t="str">
        <f>INDEX(Employee!C:C,MATCH(AK328,Employee!B:B,0))</f>
        <v>Nguyễn Quý</v>
      </c>
      <c r="AK328" s="4" t="s">
        <v>181</v>
      </c>
      <c r="AL328" s="4" t="str">
        <f>INDEX(Employee!D:D,MATCH(AK328,Employee!B:B,0))</f>
        <v>Senior Software Engineer</v>
      </c>
      <c r="AM328" s="4" t="str">
        <f>INDEX(Employee!F:F,MATCH(AK328,Employee!B:B,0))</f>
        <v>Tech</v>
      </c>
      <c r="AN328" s="4" t="str">
        <f>INDEX(Employee!H:H,MATCH(AK328,Employee!B:B,0))</f>
        <v>Đoàn Nhật Duẩn (duandn)</v>
      </c>
      <c r="AO328" s="4"/>
      <c r="AP328" s="4"/>
      <c r="AQ328" s="4"/>
      <c r="AR328" s="4"/>
      <c r="AS328" s="4"/>
      <c r="BR328" s="6"/>
      <c r="CH328" s="6"/>
    </row>
    <row r="329" spans="1:86" hidden="1">
      <c r="A329" s="3">
        <f t="shared" si="21"/>
        <v>328</v>
      </c>
      <c r="B329" s="4" t="s">
        <v>14</v>
      </c>
      <c r="C329" s="4" t="s">
        <v>3</v>
      </c>
      <c r="D329" s="4">
        <f>INDEX(Employee!E:E,MATCH(AK329,Employee!B:B,0))</f>
        <v>0</v>
      </c>
      <c r="E329" s="4" t="str">
        <f>INDEX(Employee!F:F,MATCH(AK329,Employee!B:B,0))</f>
        <v>Tech</v>
      </c>
      <c r="F329" s="4">
        <f>INDEX(Employee!G:G,MATCH(AK329,Employee!B:B,0))</f>
        <v>0</v>
      </c>
      <c r="G329" s="4" t="s">
        <v>119</v>
      </c>
      <c r="H329" s="4"/>
      <c r="I329" s="4" t="str">
        <f t="shared" si="22"/>
        <v>LAP0104</v>
      </c>
      <c r="J329" s="4" t="s">
        <v>99</v>
      </c>
      <c r="K329" s="7" t="s">
        <v>750</v>
      </c>
      <c r="L329" s="7" t="s">
        <v>51</v>
      </c>
      <c r="M329" s="4" t="str">
        <f t="shared" si="23"/>
        <v>512GB</v>
      </c>
      <c r="N329" s="13" t="b">
        <v>0</v>
      </c>
      <c r="O329" s="13" t="b">
        <v>0</v>
      </c>
      <c r="P329" s="4" t="s">
        <v>766</v>
      </c>
      <c r="Q329" s="14" t="s">
        <v>752</v>
      </c>
      <c r="R329" s="4" t="s">
        <v>753</v>
      </c>
      <c r="S329" s="10">
        <v>41150000</v>
      </c>
      <c r="T329" s="4" t="e">
        <f>INDEX(Employee!#REF!,MATCH(U329,Employee!#REF!,0))</f>
        <v>#REF!</v>
      </c>
      <c r="U329" s="4"/>
      <c r="V329" s="4" t="e">
        <f>INDEX(Employee!#REF!,MATCH(U329,Employee!#REF!,0))</f>
        <v>#REF!</v>
      </c>
      <c r="W329" s="4" t="e">
        <f>INDEX(Employee!#REF!,MATCH(U329,Employee!#REF!,0))</f>
        <v>#REF!</v>
      </c>
      <c r="X329" s="4" t="e">
        <f>INDEX(Employee!#REF!,MATCH(U329,Employee!#REF!,0))</f>
        <v>#REF!</v>
      </c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 t="str">
        <f>INDEX(Employee!C:C,MATCH(AK329,Employee!B:B,0))</f>
        <v>Trần Thanh Vinh</v>
      </c>
      <c r="AK329" s="4" t="s">
        <v>767</v>
      </c>
      <c r="AL329" s="4" t="str">
        <f>INDEX(Employee!D:D,MATCH(AK329,Employee!B:B,0))</f>
        <v>Cloud Senior Engineer</v>
      </c>
      <c r="AM329" s="4" t="str">
        <f>INDEX(Employee!F:F,MATCH(AK329,Employee!B:B,0))</f>
        <v>Tech</v>
      </c>
      <c r="AN329" s="4" t="str">
        <f>INDEX(Employee!H:H,MATCH(AK329,Employee!B:B,0))</f>
        <v>Trần Triệu Dương (duongtt5)</v>
      </c>
      <c r="AO329" s="4"/>
      <c r="AP329" s="4"/>
      <c r="AQ329" s="4"/>
      <c r="AR329" s="4"/>
      <c r="AS329" s="4"/>
      <c r="BR329" s="6"/>
      <c r="CH329" s="6"/>
    </row>
    <row r="330" spans="1:86" hidden="1">
      <c r="A330" s="3">
        <f t="shared" si="21"/>
        <v>329</v>
      </c>
      <c r="B330" s="4" t="s">
        <v>14</v>
      </c>
      <c r="C330" s="4" t="s">
        <v>3</v>
      </c>
      <c r="D330" s="4">
        <f>INDEX(Employee!E:E,MATCH(AK330,Employee!B:B,0))</f>
        <v>0</v>
      </c>
      <c r="E330" s="4" t="str">
        <f>INDEX(Employee!F:F,MATCH(AK330,Employee!B:B,0))</f>
        <v>Tech</v>
      </c>
      <c r="F330" s="4">
        <f>INDEX(Employee!G:G,MATCH(AK330,Employee!B:B,0))</f>
        <v>0</v>
      </c>
      <c r="G330" s="4" t="s">
        <v>119</v>
      </c>
      <c r="H330" s="4"/>
      <c r="I330" s="4" t="str">
        <f t="shared" si="22"/>
        <v>LAP0105</v>
      </c>
      <c r="J330" s="4" t="s">
        <v>99</v>
      </c>
      <c r="K330" s="7" t="s">
        <v>750</v>
      </c>
      <c r="L330" s="7" t="s">
        <v>51</v>
      </c>
      <c r="M330" s="4" t="str">
        <f t="shared" si="23"/>
        <v>512GB</v>
      </c>
      <c r="N330" s="13" t="b">
        <v>0</v>
      </c>
      <c r="O330" s="13" t="b">
        <v>0</v>
      </c>
      <c r="P330" s="4" t="s">
        <v>768</v>
      </c>
      <c r="Q330" s="14" t="s">
        <v>752</v>
      </c>
      <c r="R330" s="4" t="s">
        <v>753</v>
      </c>
      <c r="S330" s="10">
        <v>41150000</v>
      </c>
      <c r="T330" s="4" t="e">
        <f>INDEX(Employee!#REF!,MATCH(U330,Employee!#REF!,0))</f>
        <v>#REF!</v>
      </c>
      <c r="U330" s="4"/>
      <c r="V330" s="4" t="e">
        <f>INDEX(Employee!#REF!,MATCH(U330,Employee!#REF!,0))</f>
        <v>#REF!</v>
      </c>
      <c r="W330" s="4" t="e">
        <f>INDEX(Employee!#REF!,MATCH(U330,Employee!#REF!,0))</f>
        <v>#REF!</v>
      </c>
      <c r="X330" s="4" t="e">
        <f>INDEX(Employee!#REF!,MATCH(U330,Employee!#REF!,0))</f>
        <v>#REF!</v>
      </c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 t="str">
        <f>INDEX(Employee!C:C,MATCH(AK330,Employee!B:B,0))</f>
        <v>Đặng Hồng Phong</v>
      </c>
      <c r="AK330" s="4" t="s">
        <v>406</v>
      </c>
      <c r="AL330" s="4" t="str">
        <f>INDEX(Employee!D:D,MATCH(AK330,Employee!B:B,0))</f>
        <v>Senior Software Engineer</v>
      </c>
      <c r="AM330" s="4" t="str">
        <f>INDEX(Employee!F:F,MATCH(AK330,Employee!B:B,0))</f>
        <v>Tech</v>
      </c>
      <c r="AN330" s="4" t="str">
        <f>INDEX(Employee!H:H,MATCH(AK330,Employee!B:B,0))</f>
        <v>Lê Viết Khánh (khanhlv2)</v>
      </c>
      <c r="AO330" s="4"/>
      <c r="AP330" s="4"/>
      <c r="AQ330" s="4"/>
      <c r="AR330" s="4"/>
      <c r="AS330" s="4"/>
      <c r="BR330" s="6"/>
      <c r="CH330" s="6"/>
    </row>
    <row r="331" spans="1:86" hidden="1">
      <c r="A331" s="3">
        <f t="shared" si="21"/>
        <v>330</v>
      </c>
      <c r="B331" s="4" t="s">
        <v>14</v>
      </c>
      <c r="C331" s="4" t="s">
        <v>3</v>
      </c>
      <c r="D331" s="4">
        <f>INDEX(Employee!E:E,MATCH(AK331,Employee!B:B,0))</f>
        <v>0</v>
      </c>
      <c r="E331" s="4" t="str">
        <f>INDEX(Employee!F:F,MATCH(AK331,Employee!B:B,0))</f>
        <v>OP</v>
      </c>
      <c r="F331" s="4">
        <f>INDEX(Employee!G:G,MATCH(AK331,Employee!B:B,0))</f>
        <v>0</v>
      </c>
      <c r="G331" s="4" t="s">
        <v>119</v>
      </c>
      <c r="H331" s="4"/>
      <c r="I331" s="4" t="str">
        <f t="shared" si="22"/>
        <v>LAP0106</v>
      </c>
      <c r="J331" s="4" t="s">
        <v>99</v>
      </c>
      <c r="K331" s="7" t="s">
        <v>750</v>
      </c>
      <c r="L331" s="7" t="s">
        <v>51</v>
      </c>
      <c r="M331" s="4" t="str">
        <f t="shared" si="23"/>
        <v>512GB</v>
      </c>
      <c r="N331" s="13" t="b">
        <v>0</v>
      </c>
      <c r="O331" s="13" t="b">
        <v>0</v>
      </c>
      <c r="P331" s="4" t="s">
        <v>769</v>
      </c>
      <c r="Q331" s="14" t="s">
        <v>752</v>
      </c>
      <c r="R331" s="4" t="s">
        <v>753</v>
      </c>
      <c r="S331" s="10">
        <v>41150000</v>
      </c>
      <c r="T331" s="4" t="e">
        <f>INDEX(Employee!#REF!,MATCH(U331,Employee!#REF!,0))</f>
        <v>#REF!</v>
      </c>
      <c r="U331" s="4"/>
      <c r="V331" s="4" t="e">
        <f>INDEX(Employee!#REF!,MATCH(U331,Employee!#REF!,0))</f>
        <v>#REF!</v>
      </c>
      <c r="W331" s="4" t="e">
        <f>INDEX(Employee!#REF!,MATCH(U331,Employee!#REF!,0))</f>
        <v>#REF!</v>
      </c>
      <c r="X331" s="4" t="e">
        <f>INDEX(Employee!#REF!,MATCH(U331,Employee!#REF!,0))</f>
        <v>#REF!</v>
      </c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 t="str">
        <f>INDEX(Employee!C:C,MATCH(AK331,Employee!B:B,0))</f>
        <v>Nguyễn Thị Việt Hà</v>
      </c>
      <c r="AK331" s="4" t="s">
        <v>470</v>
      </c>
      <c r="AL331" s="4" t="str">
        <f>INDEX(Employee!D:D,MATCH(AK331,Employee!B:B,0))</f>
        <v>Incident Manager</v>
      </c>
      <c r="AM331" s="4" t="str">
        <f>INDEX(Employee!F:F,MATCH(AK331,Employee!B:B,0))</f>
        <v>OP</v>
      </c>
      <c r="AN331" s="4" t="str">
        <f>INDEX(Employee!H:H,MATCH(AK331,Employee!B:B,0))</f>
        <v>Chu Văn Toàn (ToanCV)</v>
      </c>
      <c r="AO331" s="4"/>
      <c r="AP331" s="4"/>
      <c r="AQ331" s="4"/>
      <c r="AR331" s="4"/>
      <c r="AS331" s="4"/>
      <c r="BR331" s="6"/>
      <c r="CH331" s="6"/>
    </row>
    <row r="332" spans="1:86" hidden="1">
      <c r="A332" s="3">
        <f t="shared" si="21"/>
        <v>331</v>
      </c>
      <c r="B332" s="4" t="s">
        <v>14</v>
      </c>
      <c r="C332" s="4" t="s">
        <v>3</v>
      </c>
      <c r="D332" s="4">
        <f>INDEX(Employee!E:E,MATCH(AK332,Employee!B:B,0))</f>
        <v>0</v>
      </c>
      <c r="E332" s="4" t="str">
        <f>INDEX(Employee!F:F,MATCH(AK332,Employee!B:B,0))</f>
        <v>Data</v>
      </c>
      <c r="F332" s="4">
        <f>INDEX(Employee!G:G,MATCH(AK332,Employee!B:B,0))</f>
        <v>0</v>
      </c>
      <c r="G332" s="4" t="s">
        <v>119</v>
      </c>
      <c r="H332" s="4"/>
      <c r="I332" s="4" t="str">
        <f t="shared" si="22"/>
        <v>LAP0107</v>
      </c>
      <c r="J332" s="4" t="s">
        <v>99</v>
      </c>
      <c r="K332" s="7" t="s">
        <v>750</v>
      </c>
      <c r="L332" s="7" t="s">
        <v>51</v>
      </c>
      <c r="M332" s="4" t="str">
        <f t="shared" si="23"/>
        <v>512GB</v>
      </c>
      <c r="N332" s="13" t="b">
        <v>0</v>
      </c>
      <c r="O332" s="13" t="b">
        <v>0</v>
      </c>
      <c r="P332" s="4" t="s">
        <v>770</v>
      </c>
      <c r="Q332" s="14" t="s">
        <v>752</v>
      </c>
      <c r="R332" s="4" t="s">
        <v>753</v>
      </c>
      <c r="S332" s="10">
        <v>41150000</v>
      </c>
      <c r="T332" s="4" t="e">
        <f>INDEX(Employee!#REF!,MATCH(U332,Employee!#REF!,0))</f>
        <v>#REF!</v>
      </c>
      <c r="U332" s="4"/>
      <c r="V332" s="4" t="e">
        <f>INDEX(Employee!#REF!,MATCH(U332,Employee!#REF!,0))</f>
        <v>#REF!</v>
      </c>
      <c r="W332" s="4" t="e">
        <f>INDEX(Employee!#REF!,MATCH(U332,Employee!#REF!,0))</f>
        <v>#REF!</v>
      </c>
      <c r="X332" s="4" t="e">
        <f>INDEX(Employee!#REF!,MATCH(U332,Employee!#REF!,0))</f>
        <v>#REF!</v>
      </c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 t="str">
        <f>INDEX(Employee!C:C,MATCH(AK332,Employee!B:B,0))</f>
        <v>Đào Đức Dũng</v>
      </c>
      <c r="AK332" s="4" t="s">
        <v>387</v>
      </c>
      <c r="AL332" s="4" t="str">
        <f>INDEX(Employee!D:D,MATCH(AK332,Employee!B:B,0))</f>
        <v>Senior Data Engineer</v>
      </c>
      <c r="AM332" s="4" t="str">
        <f>INDEX(Employee!F:F,MATCH(AK332,Employee!B:B,0))</f>
        <v>Data</v>
      </c>
      <c r="AN332" s="4" t="str">
        <f>INDEX(Employee!H:H,MATCH(AK332,Employee!B:B,0))</f>
        <v>Dương Huỳnh Nghĩa (nghiadh)</v>
      </c>
      <c r="AO332" s="4"/>
      <c r="AP332" s="4"/>
      <c r="AQ332" s="4"/>
      <c r="AR332" s="4"/>
      <c r="AS332" s="4"/>
      <c r="BR332" s="6"/>
      <c r="CH332" s="6"/>
    </row>
    <row r="333" spans="1:86" hidden="1">
      <c r="A333" s="3">
        <f t="shared" si="21"/>
        <v>332</v>
      </c>
      <c r="B333" s="4" t="s">
        <v>14</v>
      </c>
      <c r="C333" s="4" t="s">
        <v>3</v>
      </c>
      <c r="D333" s="4">
        <f>INDEX(Employee!E:E,MATCH(AK333,Employee!B:B,0))</f>
        <v>0</v>
      </c>
      <c r="E333" s="4" t="str">
        <f>INDEX(Employee!F:F,MATCH(AK333,Employee!B:B,0))</f>
        <v>Tech</v>
      </c>
      <c r="F333" s="4">
        <f>INDEX(Employee!G:G,MATCH(AK333,Employee!B:B,0))</f>
        <v>0</v>
      </c>
      <c r="G333" s="4" t="s">
        <v>119</v>
      </c>
      <c r="H333" s="4"/>
      <c r="I333" s="4" t="str">
        <f t="shared" si="22"/>
        <v>LAP0108</v>
      </c>
      <c r="J333" s="4" t="s">
        <v>99</v>
      </c>
      <c r="K333" s="7" t="s">
        <v>750</v>
      </c>
      <c r="L333" s="7" t="s">
        <v>51</v>
      </c>
      <c r="M333" s="4" t="str">
        <f t="shared" si="23"/>
        <v>512GB</v>
      </c>
      <c r="N333" s="13" t="b">
        <v>0</v>
      </c>
      <c r="O333" s="13" t="b">
        <v>0</v>
      </c>
      <c r="P333" s="4" t="s">
        <v>771</v>
      </c>
      <c r="Q333" s="14" t="s">
        <v>752</v>
      </c>
      <c r="R333" s="4" t="s">
        <v>753</v>
      </c>
      <c r="S333" s="10">
        <v>41150000</v>
      </c>
      <c r="T333" s="4" t="e">
        <f>INDEX(Employee!#REF!,MATCH(U333,Employee!#REF!,0))</f>
        <v>#REF!</v>
      </c>
      <c r="U333" s="4"/>
      <c r="V333" s="4" t="e">
        <f>INDEX(Employee!#REF!,MATCH(U333,Employee!#REF!,0))</f>
        <v>#REF!</v>
      </c>
      <c r="W333" s="4" t="e">
        <f>INDEX(Employee!#REF!,MATCH(U333,Employee!#REF!,0))</f>
        <v>#REF!</v>
      </c>
      <c r="X333" s="4" t="e">
        <f>INDEX(Employee!#REF!,MATCH(U333,Employee!#REF!,0))</f>
        <v>#REF!</v>
      </c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 t="str">
        <f>INDEX(Employee!C:C,MATCH(AK333,Employee!B:B,0))</f>
        <v>Hoàng Anh Dũng</v>
      </c>
      <c r="AK333" s="4" t="s">
        <v>411</v>
      </c>
      <c r="AL333" s="4" t="str">
        <f>INDEX(Employee!D:D,MATCH(AK333,Employee!B:B,0))</f>
        <v>Associate Software Engineer</v>
      </c>
      <c r="AM333" s="4" t="str">
        <f>INDEX(Employee!F:F,MATCH(AK333,Employee!B:B,0))</f>
        <v>Tech</v>
      </c>
      <c r="AN333" s="4" t="str">
        <f>INDEX(Employee!H:H,MATCH(AK333,Employee!B:B,0))</f>
        <v>Trương Thanh Nhân (nhantt7)</v>
      </c>
      <c r="AO333" s="4"/>
      <c r="AP333" s="4"/>
      <c r="AQ333" s="4"/>
      <c r="AR333" s="4"/>
      <c r="AS333" s="4"/>
      <c r="BR333" s="6"/>
      <c r="CH333" s="6"/>
    </row>
    <row r="334" spans="1:86" hidden="1">
      <c r="A334" s="3">
        <f t="shared" si="21"/>
        <v>333</v>
      </c>
      <c r="B334" s="4" t="s">
        <v>14</v>
      </c>
      <c r="C334" s="4" t="s">
        <v>3</v>
      </c>
      <c r="D334" s="4" t="str">
        <f>INDEX(Employee!E:E,MATCH(AK334,Employee!B:B,0))</f>
        <v>Project</v>
      </c>
      <c r="E334" s="4" t="str">
        <f>INDEX(Employee!F:F,MATCH(AK334,Employee!B:B,0))</f>
        <v>Tech</v>
      </c>
      <c r="F334" s="4" t="str">
        <f>INDEX(Employee!G:G,MATCH(AK334,Employee!B:B,0))</f>
        <v>Venture</v>
      </c>
      <c r="G334" s="4" t="s">
        <v>15</v>
      </c>
      <c r="H334" s="4"/>
      <c r="I334" s="4" t="str">
        <f t="shared" si="22"/>
        <v>LAP0109</v>
      </c>
      <c r="J334" s="4" t="s">
        <v>99</v>
      </c>
      <c r="K334" s="7" t="s">
        <v>750</v>
      </c>
      <c r="L334" s="7" t="s">
        <v>51</v>
      </c>
      <c r="M334" s="4" t="str">
        <f t="shared" si="23"/>
        <v>512GB</v>
      </c>
      <c r="N334" s="13" t="b">
        <v>1</v>
      </c>
      <c r="O334" s="13" t="b">
        <v>0</v>
      </c>
      <c r="P334" s="4" t="s">
        <v>772</v>
      </c>
      <c r="Q334" s="14" t="s">
        <v>752</v>
      </c>
      <c r="R334" s="4" t="s">
        <v>753</v>
      </c>
      <c r="S334" s="10">
        <v>41150000</v>
      </c>
      <c r="T334" s="4" t="e">
        <f>INDEX(Employee!#REF!,MATCH(U334,Employee!#REF!,0))</f>
        <v>#REF!</v>
      </c>
      <c r="U334" s="4"/>
      <c r="V334" s="4" t="e">
        <f>INDEX(Employee!#REF!,MATCH(U334,Employee!#REF!,0))</f>
        <v>#REF!</v>
      </c>
      <c r="W334" s="4" t="e">
        <f>INDEX(Employee!#REF!,MATCH(U334,Employee!#REF!,0))</f>
        <v>#REF!</v>
      </c>
      <c r="X334" s="4" t="e">
        <f>INDEX(Employee!#REF!,MATCH(U334,Employee!#REF!,0))</f>
        <v>#REF!</v>
      </c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 t="str">
        <f>INDEX(Employee!C:C,MATCH(AK334,Employee!B:B,0))</f>
        <v>Võ Thành Nhơn</v>
      </c>
      <c r="AK334" s="4" t="s">
        <v>544</v>
      </c>
      <c r="AL334" s="4" t="str">
        <f>INDEX(Employee!D:D,MATCH(AK334,Employee!B:B,0))</f>
        <v>Senior DevOps Engineer</v>
      </c>
      <c r="AM334" s="4" t="str">
        <f>INDEX(Employee!F:F,MATCH(AK334,Employee!B:B,0))</f>
        <v>Tech</v>
      </c>
      <c r="AN334" s="4" t="str">
        <f>INDEX(Employee!H:H,MATCH(AK334,Employee!B:B,0))</f>
        <v>Đoàn Nhật Duẩn (duandn)</v>
      </c>
      <c r="AO334" s="4"/>
      <c r="AP334" s="4"/>
      <c r="AQ334" s="4"/>
      <c r="AR334" s="4"/>
      <c r="AS334" s="4"/>
      <c r="BR334" s="6"/>
      <c r="CH334" s="6"/>
    </row>
    <row r="335" spans="1:86" hidden="1">
      <c r="A335" s="3">
        <f t="shared" si="21"/>
        <v>334</v>
      </c>
      <c r="B335" s="4" t="s">
        <v>14</v>
      </c>
      <c r="C335" s="4" t="s">
        <v>12</v>
      </c>
      <c r="D335" s="4" t="e">
        <f>INDEX(Employee!E:E,MATCH(AK335,Employee!B:B,0))</f>
        <v>#N/A</v>
      </c>
      <c r="E335" s="4" t="e">
        <f>INDEX(Employee!F:F,MATCH(AK335,Employee!B:B,0))</f>
        <v>#N/A</v>
      </c>
      <c r="F335" s="4" t="e">
        <f>INDEX(Employee!G:G,MATCH(AK335,Employee!B:B,0))</f>
        <v>#N/A</v>
      </c>
      <c r="G335" s="4" t="s">
        <v>15</v>
      </c>
      <c r="H335" s="4"/>
      <c r="I335" s="4" t="str">
        <f t="shared" si="22"/>
        <v>LAP0110</v>
      </c>
      <c r="J335" s="4" t="s">
        <v>99</v>
      </c>
      <c r="K335" s="7" t="s">
        <v>750</v>
      </c>
      <c r="L335" s="7" t="s">
        <v>51</v>
      </c>
      <c r="M335" s="4" t="str">
        <f t="shared" si="23"/>
        <v>512GB</v>
      </c>
      <c r="N335" s="13" t="b">
        <v>1</v>
      </c>
      <c r="O335" s="13" t="b">
        <v>0</v>
      </c>
      <c r="P335" s="4" t="s">
        <v>773</v>
      </c>
      <c r="Q335" s="14" t="s">
        <v>752</v>
      </c>
      <c r="R335" s="4" t="s">
        <v>753</v>
      </c>
      <c r="S335" s="10">
        <v>41150000</v>
      </c>
      <c r="T335" s="4" t="e">
        <f>INDEX(Employee!#REF!,MATCH(U335,Employee!#REF!,0))</f>
        <v>#REF!</v>
      </c>
      <c r="U335" s="4"/>
      <c r="V335" s="4" t="e">
        <f>INDEX(Employee!#REF!,MATCH(U335,Employee!#REF!,0))</f>
        <v>#REF!</v>
      </c>
      <c r="W335" s="4" t="e">
        <f>INDEX(Employee!#REF!,MATCH(U335,Employee!#REF!,0))</f>
        <v>#REF!</v>
      </c>
      <c r="X335" s="4" t="e">
        <f>INDEX(Employee!#REF!,MATCH(U335,Employee!#REF!,0))</f>
        <v>#REF!</v>
      </c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 t="e">
        <f>INDEX(Employee!C:C,MATCH(AK335,Employee!B:B,0))</f>
        <v>#N/A</v>
      </c>
      <c r="AK335" s="4"/>
      <c r="AL335" s="4" t="e">
        <f>INDEX(Employee!D:D,MATCH(AK335,Employee!B:B,0))</f>
        <v>#N/A</v>
      </c>
      <c r="AM335" s="4" t="e">
        <f>INDEX(Employee!F:F,MATCH(AK335,Employee!B:B,0))</f>
        <v>#N/A</v>
      </c>
      <c r="AN335" s="4" t="e">
        <f>INDEX(Employee!H:H,MATCH(AK335,Employee!B:B,0))</f>
        <v>#N/A</v>
      </c>
      <c r="AO335" s="4"/>
      <c r="AP335" s="4"/>
      <c r="AQ335" s="4"/>
      <c r="AR335" s="4"/>
      <c r="AS335" s="4"/>
      <c r="BR335" s="6"/>
      <c r="CH335" s="6"/>
    </row>
    <row r="336" spans="1:86" hidden="1">
      <c r="A336" s="3">
        <f t="shared" si="21"/>
        <v>335</v>
      </c>
      <c r="B336" s="4" t="s">
        <v>14</v>
      </c>
      <c r="C336" s="4" t="s">
        <v>3</v>
      </c>
      <c r="D336" s="4">
        <f>INDEX(Employee!E:E,MATCH(AK336,Employee!B:B,0))</f>
        <v>0</v>
      </c>
      <c r="E336" s="4" t="str">
        <f>INDEX(Employee!F:F,MATCH(AK336,Employee!B:B,0))</f>
        <v>COO</v>
      </c>
      <c r="F336" s="4">
        <f>INDEX(Employee!G:G,MATCH(AK336,Employee!B:B,0))</f>
        <v>0</v>
      </c>
      <c r="G336" s="4" t="s">
        <v>119</v>
      </c>
      <c r="H336" s="4"/>
      <c r="I336" s="4" t="str">
        <f t="shared" si="22"/>
        <v>LAP0111</v>
      </c>
      <c r="J336" s="4" t="s">
        <v>99</v>
      </c>
      <c r="K336" s="7" t="s">
        <v>750</v>
      </c>
      <c r="L336" s="7" t="s">
        <v>51</v>
      </c>
      <c r="M336" s="4" t="str">
        <f t="shared" si="23"/>
        <v>512GB</v>
      </c>
      <c r="N336" s="13" t="b">
        <v>0</v>
      </c>
      <c r="O336" s="13" t="b">
        <v>0</v>
      </c>
      <c r="P336" s="4" t="s">
        <v>774</v>
      </c>
      <c r="Q336" s="14" t="s">
        <v>752</v>
      </c>
      <c r="R336" s="4" t="s">
        <v>753</v>
      </c>
      <c r="S336" s="10">
        <v>41150000</v>
      </c>
      <c r="T336" s="4" t="e">
        <f>INDEX(Employee!#REF!,MATCH(U336,Employee!#REF!,0))</f>
        <v>#REF!</v>
      </c>
      <c r="U336" s="4"/>
      <c r="V336" s="4" t="e">
        <f>INDEX(Employee!#REF!,MATCH(U336,Employee!#REF!,0))</f>
        <v>#REF!</v>
      </c>
      <c r="W336" s="4" t="e">
        <f>INDEX(Employee!#REF!,MATCH(U336,Employee!#REF!,0))</f>
        <v>#REF!</v>
      </c>
      <c r="X336" s="4" t="e">
        <f>INDEX(Employee!#REF!,MATCH(U336,Employee!#REF!,0))</f>
        <v>#REF!</v>
      </c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 t="str">
        <f>INDEX(Employee!C:C,MATCH(AK336,Employee!B:B,0))</f>
        <v>Trần Triệu Dương</v>
      </c>
      <c r="AK336" s="4" t="s">
        <v>397</v>
      </c>
      <c r="AL336" s="4" t="str">
        <f>INDEX(Employee!D:D,MATCH(AK336,Employee!B:B,0))</f>
        <v>COO</v>
      </c>
      <c r="AM336" s="4" t="str">
        <f>INDEX(Employee!F:F,MATCH(AK336,Employee!B:B,0))</f>
        <v>COO</v>
      </c>
      <c r="AN336" s="4" t="str">
        <f>INDEX(Employee!H:H,MATCH(AK336,Employee!B:B,0))</f>
        <v>Aleksandar Jelic (jelica)</v>
      </c>
      <c r="AO336" s="4"/>
      <c r="AP336" s="4"/>
      <c r="AQ336" s="4"/>
      <c r="AR336" s="4"/>
      <c r="AS336" s="4"/>
      <c r="BR336" s="6"/>
      <c r="CH336" s="6"/>
    </row>
    <row r="337" spans="1:86" hidden="1">
      <c r="A337" s="3">
        <f t="shared" si="21"/>
        <v>336</v>
      </c>
      <c r="B337" s="4" t="s">
        <v>14</v>
      </c>
      <c r="C337" s="4" t="s">
        <v>3</v>
      </c>
      <c r="D337" s="4" t="str">
        <f>INDEX(Employee!E:E,MATCH(AK337,Employee!B:B,0))</f>
        <v>BO</v>
      </c>
      <c r="E337" s="4" t="str">
        <f>INDEX(Employee!F:F,MATCH(AK337,Employee!B:B,0))</f>
        <v>Marketing</v>
      </c>
      <c r="F337" s="4" t="str">
        <f>INDEX(Employee!G:G,MATCH(AK337,Employee!B:B,0))</f>
        <v>Operation Team</v>
      </c>
      <c r="G337" s="4" t="s">
        <v>15</v>
      </c>
      <c r="H337" s="4"/>
      <c r="I337" s="4" t="str">
        <f t="shared" si="22"/>
        <v>LAP0112</v>
      </c>
      <c r="J337" s="4" t="s">
        <v>99</v>
      </c>
      <c r="K337" s="7" t="s">
        <v>775</v>
      </c>
      <c r="L337" s="7" t="s">
        <v>51</v>
      </c>
      <c r="M337" s="4" t="str">
        <f t="shared" si="23"/>
        <v xml:space="preserve">  1TB</v>
      </c>
      <c r="N337" s="13" t="b">
        <v>1</v>
      </c>
      <c r="O337" s="13" t="b">
        <v>0</v>
      </c>
      <c r="P337" s="4" t="s">
        <v>776</v>
      </c>
      <c r="Q337" s="14" t="s">
        <v>752</v>
      </c>
      <c r="R337" s="4" t="s">
        <v>753</v>
      </c>
      <c r="S337" s="10">
        <v>51290000</v>
      </c>
      <c r="T337" s="4" t="e">
        <f>INDEX(Employee!#REF!,MATCH(U337,Employee!#REF!,0))</f>
        <v>#REF!</v>
      </c>
      <c r="U337" s="4"/>
      <c r="V337" s="4" t="e">
        <f>INDEX(Employee!#REF!,MATCH(U337,Employee!#REF!,0))</f>
        <v>#REF!</v>
      </c>
      <c r="W337" s="4" t="e">
        <f>INDEX(Employee!#REF!,MATCH(U337,Employee!#REF!,0))</f>
        <v>#REF!</v>
      </c>
      <c r="X337" s="4" t="e">
        <f>INDEX(Employee!#REF!,MATCH(U337,Employee!#REF!,0))</f>
        <v>#REF!</v>
      </c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 t="str">
        <f>INDEX(Employee!C:C,MATCH(AK337,Employee!B:B,0))</f>
        <v>Đinh Vũ Tiến</v>
      </c>
      <c r="AK337" s="4" t="s">
        <v>545</v>
      </c>
      <c r="AL337" s="4" t="str">
        <f>INDEX(Employee!D:D,MATCH(AK337,Employee!B:B,0))</f>
        <v>Branding and Communications Lead</v>
      </c>
      <c r="AM337" s="4" t="str">
        <f>INDEX(Employee!F:F,MATCH(AK337,Employee!B:B,0))</f>
        <v>Marketing</v>
      </c>
      <c r="AN337" s="4" t="str">
        <f>INDEX(Employee!H:H,MATCH(AK337,Employee!B:B,0))</f>
        <v>Nguyễn Thị Thùy Trang</v>
      </c>
      <c r="AO337" s="4"/>
      <c r="AP337" s="4"/>
      <c r="AQ337" s="4"/>
      <c r="AR337" s="4"/>
      <c r="AS337" s="4"/>
      <c r="BR337" s="6"/>
      <c r="CH337" s="6"/>
    </row>
    <row r="338" spans="1:86" hidden="1">
      <c r="A338" s="3">
        <f t="shared" si="21"/>
        <v>337</v>
      </c>
      <c r="B338" s="4" t="s">
        <v>14</v>
      </c>
      <c r="C338" s="4" t="s">
        <v>3</v>
      </c>
      <c r="D338" s="4">
        <f>INDEX(Employee!E:E,MATCH(AK338,Employee!B:B,0))</f>
        <v>0</v>
      </c>
      <c r="E338" s="4" t="str">
        <f>INDEX(Employee!F:F,MATCH(AK338,Employee!B:B,0))</f>
        <v>Tech</v>
      </c>
      <c r="F338" s="4">
        <f>INDEX(Employee!G:G,MATCH(AK338,Employee!B:B,0))</f>
        <v>0</v>
      </c>
      <c r="G338" s="4" t="s">
        <v>119</v>
      </c>
      <c r="H338" s="4"/>
      <c r="I338" s="4" t="str">
        <f t="shared" si="22"/>
        <v>LAP0113</v>
      </c>
      <c r="J338" s="4" t="s">
        <v>99</v>
      </c>
      <c r="K338" s="7" t="s">
        <v>750</v>
      </c>
      <c r="L338" s="7" t="s">
        <v>51</v>
      </c>
      <c r="M338" s="4" t="str">
        <f t="shared" si="23"/>
        <v>512GB</v>
      </c>
      <c r="N338" s="13" t="b">
        <v>0</v>
      </c>
      <c r="O338" s="13" t="b">
        <v>0</v>
      </c>
      <c r="P338" s="4" t="s">
        <v>777</v>
      </c>
      <c r="Q338" s="14" t="s">
        <v>752</v>
      </c>
      <c r="R338" s="4" t="s">
        <v>753</v>
      </c>
      <c r="S338" s="10">
        <v>41150000</v>
      </c>
      <c r="T338" s="4" t="e">
        <f>INDEX(Employee!#REF!,MATCH(U338,Employee!#REF!,0))</f>
        <v>#REF!</v>
      </c>
      <c r="U338" s="4"/>
      <c r="V338" s="4" t="e">
        <f>INDEX(Employee!#REF!,MATCH(U338,Employee!#REF!,0))</f>
        <v>#REF!</v>
      </c>
      <c r="W338" s="4" t="e">
        <f>INDEX(Employee!#REF!,MATCH(U338,Employee!#REF!,0))</f>
        <v>#REF!</v>
      </c>
      <c r="X338" s="4" t="e">
        <f>INDEX(Employee!#REF!,MATCH(U338,Employee!#REF!,0))</f>
        <v>#REF!</v>
      </c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 t="str">
        <f>INDEX(Employee!C:C,MATCH(AK338,Employee!B:B,0))</f>
        <v>Đỗ Anh Tuấn</v>
      </c>
      <c r="AK338" s="4" t="s">
        <v>778</v>
      </c>
      <c r="AL338" s="4" t="str">
        <f>INDEX(Employee!D:D,MATCH(AK338,Employee!B:B,0))</f>
        <v>Software Engineer</v>
      </c>
      <c r="AM338" s="4" t="str">
        <f>INDEX(Employee!F:F,MATCH(AK338,Employee!B:B,0))</f>
        <v>Tech</v>
      </c>
      <c r="AN338" s="4" t="str">
        <f>INDEX(Employee!H:H,MATCH(AK338,Employee!B:B,0))</f>
        <v>Trần Triệu Dương (duongtt5)</v>
      </c>
      <c r="AO338" s="4"/>
      <c r="AP338" s="4"/>
      <c r="AQ338" s="4"/>
      <c r="AR338" s="4"/>
      <c r="AS338" s="4"/>
      <c r="BR338" s="6"/>
      <c r="CH338" s="6"/>
    </row>
    <row r="339" spans="1:86" hidden="1">
      <c r="A339" s="3">
        <f t="shared" si="21"/>
        <v>338</v>
      </c>
      <c r="B339" s="4" t="s">
        <v>14</v>
      </c>
      <c r="C339" s="4" t="s">
        <v>3</v>
      </c>
      <c r="D339" s="4">
        <f>INDEX(Employee!E:E,MATCH(AK339,Employee!B:B,0))</f>
        <v>0</v>
      </c>
      <c r="E339" s="4" t="str">
        <f>INDEX(Employee!F:F,MATCH(AK339,Employee!B:B,0))</f>
        <v>Tech</v>
      </c>
      <c r="F339" s="4">
        <f>INDEX(Employee!G:G,MATCH(AK339,Employee!B:B,0))</f>
        <v>0</v>
      </c>
      <c r="G339" s="4" t="s">
        <v>119</v>
      </c>
      <c r="H339" s="4"/>
      <c r="I339" s="4" t="str">
        <f t="shared" si="22"/>
        <v>LAP0114</v>
      </c>
      <c r="J339" s="4" t="s">
        <v>99</v>
      </c>
      <c r="K339" s="7" t="s">
        <v>750</v>
      </c>
      <c r="L339" s="7" t="s">
        <v>51</v>
      </c>
      <c r="M339" s="4" t="str">
        <f t="shared" si="23"/>
        <v>512GB</v>
      </c>
      <c r="N339" s="13" t="b">
        <v>0</v>
      </c>
      <c r="O339" s="13" t="b">
        <v>0</v>
      </c>
      <c r="P339" s="4" t="s">
        <v>779</v>
      </c>
      <c r="Q339" s="14" t="s">
        <v>752</v>
      </c>
      <c r="R339" s="4" t="s">
        <v>753</v>
      </c>
      <c r="S339" s="10">
        <v>41150000</v>
      </c>
      <c r="T339" s="4" t="e">
        <f>INDEX(Employee!#REF!,MATCH(U339,Employee!#REF!,0))</f>
        <v>#REF!</v>
      </c>
      <c r="U339" s="4"/>
      <c r="V339" s="4" t="e">
        <f>INDEX(Employee!#REF!,MATCH(U339,Employee!#REF!,0))</f>
        <v>#REF!</v>
      </c>
      <c r="W339" s="4" t="e">
        <f>INDEX(Employee!#REF!,MATCH(U339,Employee!#REF!,0))</f>
        <v>#REF!</v>
      </c>
      <c r="X339" s="4" t="e">
        <f>INDEX(Employee!#REF!,MATCH(U339,Employee!#REF!,0))</f>
        <v>#REF!</v>
      </c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 t="str">
        <f>INDEX(Employee!C:C,MATCH(AK339,Employee!B:B,0))</f>
        <v>Lương Minh Hoàng</v>
      </c>
      <c r="AK339" s="4" t="s">
        <v>481</v>
      </c>
      <c r="AL339" s="4" t="str">
        <f>INDEX(Employee!D:D,MATCH(AK339,Employee!B:B,0))</f>
        <v>Lead Software Engineer</v>
      </c>
      <c r="AM339" s="4" t="str">
        <f>INDEX(Employee!F:F,MATCH(AK339,Employee!B:B,0))</f>
        <v>Tech</v>
      </c>
      <c r="AN339" s="4" t="str">
        <f>INDEX(Employee!H:H,MATCH(AK339,Employee!B:B,0))</f>
        <v>Nguyễn Ngọc Châu Sang</v>
      </c>
      <c r="AO339" s="4"/>
      <c r="AP339" s="4"/>
      <c r="AQ339" s="4"/>
      <c r="AR339" s="4"/>
      <c r="AS339" s="4"/>
      <c r="BR339" s="6"/>
      <c r="CH339" s="6"/>
    </row>
    <row r="340" spans="1:86" hidden="1">
      <c r="A340" s="3">
        <f t="shared" si="21"/>
        <v>339</v>
      </c>
      <c r="B340" s="4" t="s">
        <v>14</v>
      </c>
      <c r="C340" s="4" t="s">
        <v>3</v>
      </c>
      <c r="D340" s="4">
        <f>INDEX(Employee!E:E,MATCH(AK340,Employee!B:B,0))</f>
        <v>0</v>
      </c>
      <c r="E340" s="4" t="str">
        <f>INDEX(Employee!F:F,MATCH(AK340,Employee!B:B,0))</f>
        <v>Data</v>
      </c>
      <c r="F340" s="4">
        <f>INDEX(Employee!G:G,MATCH(AK340,Employee!B:B,0))</f>
        <v>0</v>
      </c>
      <c r="G340" s="4" t="s">
        <v>119</v>
      </c>
      <c r="H340" s="4"/>
      <c r="I340" s="4" t="str">
        <f t="shared" si="22"/>
        <v>LAP0115</v>
      </c>
      <c r="J340" s="4" t="s">
        <v>99</v>
      </c>
      <c r="K340" s="7" t="s">
        <v>750</v>
      </c>
      <c r="L340" s="7" t="s">
        <v>51</v>
      </c>
      <c r="M340" s="4" t="str">
        <f t="shared" si="23"/>
        <v>512GB</v>
      </c>
      <c r="N340" s="13" t="b">
        <v>0</v>
      </c>
      <c r="O340" s="13" t="b">
        <v>0</v>
      </c>
      <c r="P340" s="4" t="s">
        <v>780</v>
      </c>
      <c r="Q340" s="14" t="s">
        <v>752</v>
      </c>
      <c r="R340" s="4" t="s">
        <v>753</v>
      </c>
      <c r="S340" s="10">
        <v>41150000</v>
      </c>
      <c r="T340" s="4" t="e">
        <f>INDEX(Employee!#REF!,MATCH(U340,Employee!#REF!,0))</f>
        <v>#REF!</v>
      </c>
      <c r="U340" s="4"/>
      <c r="V340" s="4" t="e">
        <f>INDEX(Employee!#REF!,MATCH(U340,Employee!#REF!,0))</f>
        <v>#REF!</v>
      </c>
      <c r="W340" s="4" t="e">
        <f>INDEX(Employee!#REF!,MATCH(U340,Employee!#REF!,0))</f>
        <v>#REF!</v>
      </c>
      <c r="X340" s="4" t="e">
        <f>INDEX(Employee!#REF!,MATCH(U340,Employee!#REF!,0))</f>
        <v>#REF!</v>
      </c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 t="str">
        <f>INDEX(Employee!C:C,MATCH(AK340,Employee!B:B,0))</f>
        <v>Nguyễn Huỳnh Thanh Phong</v>
      </c>
      <c r="AK340" s="4" t="s">
        <v>384</v>
      </c>
      <c r="AL340" s="4" t="str">
        <f>INDEX(Employee!D:D,MATCH(AK340,Employee!B:B,0))</f>
        <v>Senior Data Engineer</v>
      </c>
      <c r="AM340" s="4" t="str">
        <f>INDEX(Employee!F:F,MATCH(AK340,Employee!B:B,0))</f>
        <v>Data</v>
      </c>
      <c r="AN340" s="4" t="str">
        <f>INDEX(Employee!H:H,MATCH(AK340,Employee!B:B,0))</f>
        <v>Dương Huỳnh Nghĩa (nghiadh)</v>
      </c>
      <c r="AO340" s="4"/>
      <c r="AP340" s="4"/>
      <c r="AQ340" s="4"/>
      <c r="AR340" s="4"/>
      <c r="AS340" s="4"/>
      <c r="BR340" s="6"/>
      <c r="CH340" s="6"/>
    </row>
    <row r="341" spans="1:86" hidden="1">
      <c r="A341" s="3">
        <f t="shared" si="21"/>
        <v>340</v>
      </c>
      <c r="B341" s="4" t="s">
        <v>14</v>
      </c>
      <c r="C341" s="4" t="s">
        <v>3</v>
      </c>
      <c r="D341" s="4" t="str">
        <f>INDEX(Employee!E:E,MATCH(AK341,Employee!B:B,0))</f>
        <v>Project</v>
      </c>
      <c r="E341" s="4" t="str">
        <f>INDEX(Employee!F:F,MATCH(AK341,Employee!B:B,0))</f>
        <v>Tech</v>
      </c>
      <c r="F341" s="4" t="str">
        <f>INDEX(Employee!G:G,MATCH(AK341,Employee!B:B,0))</f>
        <v>Venture</v>
      </c>
      <c r="G341" s="4" t="s">
        <v>15</v>
      </c>
      <c r="H341" s="4"/>
      <c r="I341" s="4" t="str">
        <f t="shared" si="22"/>
        <v>LAP0116</v>
      </c>
      <c r="J341" s="4" t="s">
        <v>99</v>
      </c>
      <c r="K341" s="7" t="s">
        <v>750</v>
      </c>
      <c r="L341" s="7" t="s">
        <v>51</v>
      </c>
      <c r="M341" s="4" t="str">
        <f t="shared" si="23"/>
        <v>512GB</v>
      </c>
      <c r="N341" s="13" t="b">
        <v>1</v>
      </c>
      <c r="O341" s="13" t="b">
        <v>0</v>
      </c>
      <c r="P341" s="4" t="s">
        <v>781</v>
      </c>
      <c r="Q341" s="14" t="s">
        <v>752</v>
      </c>
      <c r="R341" s="4" t="s">
        <v>753</v>
      </c>
      <c r="S341" s="10">
        <v>41150000</v>
      </c>
      <c r="T341" s="4" t="e">
        <f>INDEX(Employee!#REF!,MATCH(U341,Employee!#REF!,0))</f>
        <v>#REF!</v>
      </c>
      <c r="U341" s="4"/>
      <c r="V341" s="4" t="e">
        <f>INDEX(Employee!#REF!,MATCH(U341,Employee!#REF!,0))</f>
        <v>#REF!</v>
      </c>
      <c r="W341" s="4" t="e">
        <f>INDEX(Employee!#REF!,MATCH(U341,Employee!#REF!,0))</f>
        <v>#REF!</v>
      </c>
      <c r="X341" s="4" t="e">
        <f>INDEX(Employee!#REF!,MATCH(U341,Employee!#REF!,0))</f>
        <v>#REF!</v>
      </c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 t="str">
        <f>INDEX(Employee!C:C,MATCH(AK341,Employee!B:B,0))</f>
        <v>Lại Thế Cường</v>
      </c>
      <c r="AK341" s="4" t="s">
        <v>539</v>
      </c>
      <c r="AL341" s="4" t="str">
        <f>INDEX(Employee!D:D,MATCH(AK341,Employee!B:B,0))</f>
        <v>Senior Software Engineer</v>
      </c>
      <c r="AM341" s="4" t="str">
        <f>INDEX(Employee!F:F,MATCH(AK341,Employee!B:B,0))</f>
        <v>Tech</v>
      </c>
      <c r="AN341" s="4" t="str">
        <f>INDEX(Employee!H:H,MATCH(AK341,Employee!B:B,0))</f>
        <v>Nguyễn Văn Bình (binhnv5)</v>
      </c>
      <c r="AO341" s="4"/>
      <c r="AP341" s="4"/>
      <c r="AQ341" s="4"/>
      <c r="AR341" s="4"/>
      <c r="AS341" s="4"/>
      <c r="BR341" s="6"/>
      <c r="CH341" s="6"/>
    </row>
    <row r="342" spans="1:86" hidden="1">
      <c r="A342" s="3">
        <f t="shared" si="21"/>
        <v>341</v>
      </c>
      <c r="B342" s="4" t="s">
        <v>14</v>
      </c>
      <c r="C342" s="4" t="s">
        <v>3</v>
      </c>
      <c r="D342" s="4" t="str">
        <f>INDEX(Employee!E:E,MATCH(AK342,Employee!B:B,0))</f>
        <v>Project</v>
      </c>
      <c r="E342" s="4" t="str">
        <f>INDEX(Employee!F:F,MATCH(AK342,Employee!B:B,0))</f>
        <v>Tech</v>
      </c>
      <c r="F342" s="4" t="str">
        <f>INDEX(Employee!G:G,MATCH(AK342,Employee!B:B,0))</f>
        <v>Venture</v>
      </c>
      <c r="G342" s="4" t="s">
        <v>15</v>
      </c>
      <c r="H342" s="4"/>
      <c r="I342" s="4" t="str">
        <f t="shared" si="22"/>
        <v>LAP0117</v>
      </c>
      <c r="J342" s="4" t="s">
        <v>99</v>
      </c>
      <c r="K342" s="7" t="s">
        <v>750</v>
      </c>
      <c r="L342" s="7" t="s">
        <v>51</v>
      </c>
      <c r="M342" s="4" t="str">
        <f t="shared" si="23"/>
        <v>512GB</v>
      </c>
      <c r="N342" s="13" t="b">
        <v>1</v>
      </c>
      <c r="O342" s="13" t="b">
        <v>0</v>
      </c>
      <c r="P342" s="4" t="s">
        <v>782</v>
      </c>
      <c r="Q342" s="14" t="s">
        <v>752</v>
      </c>
      <c r="R342" s="4" t="s">
        <v>753</v>
      </c>
      <c r="S342" s="10">
        <v>41150000</v>
      </c>
      <c r="T342" s="4" t="e">
        <f>INDEX(Employee!#REF!,MATCH(U342,Employee!#REF!,0))</f>
        <v>#REF!</v>
      </c>
      <c r="U342" s="4"/>
      <c r="V342" s="4" t="e">
        <f>INDEX(Employee!#REF!,MATCH(U342,Employee!#REF!,0))</f>
        <v>#REF!</v>
      </c>
      <c r="W342" s="4" t="e">
        <f>INDEX(Employee!#REF!,MATCH(U342,Employee!#REF!,0))</f>
        <v>#REF!</v>
      </c>
      <c r="X342" s="4" t="e">
        <f>INDEX(Employee!#REF!,MATCH(U342,Employee!#REF!,0))</f>
        <v>#REF!</v>
      </c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 t="str">
        <f>INDEX(Employee!C:C,MATCH(AK342,Employee!B:B,0))</f>
        <v>Nguyễn Hoàng Tâm</v>
      </c>
      <c r="AK342" s="4" t="s">
        <v>523</v>
      </c>
      <c r="AL342" s="4" t="str">
        <f>INDEX(Employee!D:D,MATCH(AK342,Employee!B:B,0))</f>
        <v>Senior Software Engineer</v>
      </c>
      <c r="AM342" s="4" t="str">
        <f>INDEX(Employee!F:F,MATCH(AK342,Employee!B:B,0))</f>
        <v>Tech</v>
      </c>
      <c r="AN342" s="4" t="str">
        <f>INDEX(Employee!H:H,MATCH(AK342,Employee!B:B,0))</f>
        <v>Phùng Thanh Huy (huypt3)</v>
      </c>
      <c r="AO342" s="4"/>
      <c r="AP342" s="4"/>
      <c r="AQ342" s="4"/>
      <c r="AR342" s="4"/>
      <c r="AS342" s="4"/>
      <c r="BR342" s="6"/>
      <c r="CH342" s="6"/>
    </row>
    <row r="343" spans="1:86" hidden="1">
      <c r="A343" s="3">
        <f t="shared" si="21"/>
        <v>342</v>
      </c>
      <c r="B343" s="4" t="s">
        <v>14</v>
      </c>
      <c r="C343" s="4" t="s">
        <v>3</v>
      </c>
      <c r="D343" s="4" t="str">
        <f>INDEX(Employee!E:E,MATCH(AK343,Employee!B:B,0))</f>
        <v>Project</v>
      </c>
      <c r="E343" s="4" t="str">
        <f>INDEX(Employee!F:F,MATCH(AK343,Employee!B:B,0))</f>
        <v>Data</v>
      </c>
      <c r="F343" s="4" t="str">
        <f>INDEX(Employee!G:G,MATCH(AK343,Employee!B:B,0))</f>
        <v>Venture</v>
      </c>
      <c r="G343" s="4" t="s">
        <v>17</v>
      </c>
      <c r="H343" s="4"/>
      <c r="I343" s="4" t="str">
        <f t="shared" si="22"/>
        <v>LAP0118</v>
      </c>
      <c r="J343" s="4" t="s">
        <v>99</v>
      </c>
      <c r="K343" s="7" t="s">
        <v>750</v>
      </c>
      <c r="L343" s="7" t="s">
        <v>51</v>
      </c>
      <c r="M343" s="4" t="str">
        <f t="shared" si="23"/>
        <v>512GB</v>
      </c>
      <c r="N343" s="13" t="b">
        <v>1</v>
      </c>
      <c r="O343" s="13" t="b">
        <v>0</v>
      </c>
      <c r="P343" s="4" t="s">
        <v>783</v>
      </c>
      <c r="Q343" s="14" t="s">
        <v>752</v>
      </c>
      <c r="R343" s="4" t="s">
        <v>753</v>
      </c>
      <c r="S343" s="10">
        <v>41150000</v>
      </c>
      <c r="T343" s="4" t="e">
        <f>INDEX(Employee!#REF!,MATCH(U343,Employee!#REF!,0))</f>
        <v>#REF!</v>
      </c>
      <c r="U343" s="4"/>
      <c r="V343" s="4" t="e">
        <f>INDEX(Employee!#REF!,MATCH(U343,Employee!#REF!,0))</f>
        <v>#REF!</v>
      </c>
      <c r="W343" s="4" t="e">
        <f>INDEX(Employee!#REF!,MATCH(U343,Employee!#REF!,0))</f>
        <v>#REF!</v>
      </c>
      <c r="X343" s="4" t="e">
        <f>INDEX(Employee!#REF!,MATCH(U343,Employee!#REF!,0))</f>
        <v>#REF!</v>
      </c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 t="str">
        <f>INDEX(Employee!C:C,MATCH(AK343,Employee!B:B,0))</f>
        <v>Nguyễn Trung Kiên</v>
      </c>
      <c r="AK343" s="4" t="s">
        <v>784</v>
      </c>
      <c r="AL343" s="4" t="str">
        <f>INDEX(Employee!D:D,MATCH(AK343,Employee!B:B,0))</f>
        <v>Data Lead</v>
      </c>
      <c r="AM343" s="4" t="str">
        <f>INDEX(Employee!F:F,MATCH(AK343,Employee!B:B,0))</f>
        <v>Data</v>
      </c>
      <c r="AN343" s="4" t="str">
        <f>INDEX(Employee!H:H,MATCH(AK343,Employee!B:B,0))</f>
        <v>Đoàn Nhật Duẩn (duandn)</v>
      </c>
      <c r="AO343" s="4"/>
      <c r="AP343" s="4"/>
      <c r="AQ343" s="4"/>
      <c r="AR343" s="4"/>
      <c r="AS343" s="4" t="s">
        <v>576</v>
      </c>
      <c r="BR343" s="6"/>
      <c r="CH343" s="6"/>
    </row>
    <row r="344" spans="1:86" hidden="1">
      <c r="A344" s="3">
        <f t="shared" si="21"/>
        <v>343</v>
      </c>
      <c r="B344" s="4" t="s">
        <v>14</v>
      </c>
      <c r="C344" s="4" t="s">
        <v>3</v>
      </c>
      <c r="D344" s="4" t="str">
        <f>INDEX(Employee!E:E,MATCH(AK344,Employee!B:B,0))</f>
        <v>Project</v>
      </c>
      <c r="E344" s="4" t="str">
        <f>INDEX(Employee!F:F,MATCH(AK344,Employee!B:B,0))</f>
        <v>Tech</v>
      </c>
      <c r="F344" s="4" t="str">
        <f>INDEX(Employee!G:G,MATCH(AK344,Employee!B:B,0))</f>
        <v>Venture</v>
      </c>
      <c r="G344" s="4" t="s">
        <v>15</v>
      </c>
      <c r="H344" s="4"/>
      <c r="I344" s="4" t="str">
        <f t="shared" si="22"/>
        <v>LAP0119</v>
      </c>
      <c r="J344" s="4" t="s">
        <v>99</v>
      </c>
      <c r="K344" s="7" t="s">
        <v>750</v>
      </c>
      <c r="L344" s="7" t="s">
        <v>51</v>
      </c>
      <c r="M344" s="4" t="str">
        <f t="shared" si="23"/>
        <v>512GB</v>
      </c>
      <c r="N344" s="13" t="b">
        <v>1</v>
      </c>
      <c r="O344" s="13" t="b">
        <v>0</v>
      </c>
      <c r="P344" s="4" t="s">
        <v>785</v>
      </c>
      <c r="Q344" s="14" t="s">
        <v>752</v>
      </c>
      <c r="R344" s="4" t="s">
        <v>753</v>
      </c>
      <c r="S344" s="10">
        <v>41150000</v>
      </c>
      <c r="T344" s="4" t="e">
        <f>INDEX(Employee!#REF!,MATCH(U344,Employee!#REF!,0))</f>
        <v>#REF!</v>
      </c>
      <c r="U344" s="4"/>
      <c r="V344" s="4" t="e">
        <f>INDEX(Employee!#REF!,MATCH(U344,Employee!#REF!,0))</f>
        <v>#REF!</v>
      </c>
      <c r="W344" s="4" t="e">
        <f>INDEX(Employee!#REF!,MATCH(U344,Employee!#REF!,0))</f>
        <v>#REF!</v>
      </c>
      <c r="X344" s="4" t="e">
        <f>INDEX(Employee!#REF!,MATCH(U344,Employee!#REF!,0))</f>
        <v>#REF!</v>
      </c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 t="str">
        <f>INDEX(Employee!C:C,MATCH(AK344,Employee!B:B,0))</f>
        <v>Lê Cao Long Nhật</v>
      </c>
      <c r="AK344" s="4" t="s">
        <v>425</v>
      </c>
      <c r="AL344" s="4" t="str">
        <f>INDEX(Employee!D:D,MATCH(AK344,Employee!B:B,0))</f>
        <v>Project Manager</v>
      </c>
      <c r="AM344" s="4" t="str">
        <f>INDEX(Employee!F:F,MATCH(AK344,Employee!B:B,0))</f>
        <v>Tech</v>
      </c>
      <c r="AN344" s="4" t="str">
        <f>INDEX(Employee!H:H,MATCH(AK344,Employee!B:B,0))</f>
        <v>Nguyễn Khánh Vy</v>
      </c>
      <c r="AO344" s="4"/>
      <c r="AP344" s="4"/>
      <c r="AQ344" s="4"/>
      <c r="AR344" s="4"/>
      <c r="AS344" s="4"/>
      <c r="BR344" s="6"/>
      <c r="CH344" s="6"/>
    </row>
    <row r="345" spans="1:86" hidden="1">
      <c r="A345" s="3">
        <f t="shared" si="21"/>
        <v>344</v>
      </c>
      <c r="B345" s="4" t="s">
        <v>14</v>
      </c>
      <c r="C345" s="4" t="s">
        <v>3</v>
      </c>
      <c r="D345" s="4" t="str">
        <f>INDEX(Employee!E:E,MATCH(AK345,Employee!B:B,0))</f>
        <v>Project</v>
      </c>
      <c r="E345" s="4" t="str">
        <f>INDEX(Employee!F:F,MATCH(AK345,Employee!B:B,0))</f>
        <v>Tech</v>
      </c>
      <c r="F345" s="4" t="str">
        <f>INDEX(Employee!G:G,MATCH(AK345,Employee!B:B,0))</f>
        <v>Venture</v>
      </c>
      <c r="G345" s="4" t="s">
        <v>15</v>
      </c>
      <c r="H345" s="4"/>
      <c r="I345" s="4" t="str">
        <f t="shared" si="22"/>
        <v>LAP0120</v>
      </c>
      <c r="J345" s="4" t="s">
        <v>99</v>
      </c>
      <c r="K345" s="7" t="s">
        <v>750</v>
      </c>
      <c r="L345" s="7" t="s">
        <v>51</v>
      </c>
      <c r="M345" s="4" t="str">
        <f t="shared" si="23"/>
        <v>512GB</v>
      </c>
      <c r="N345" s="13" t="b">
        <v>1</v>
      </c>
      <c r="O345" s="13" t="b">
        <v>0</v>
      </c>
      <c r="P345" s="4" t="s">
        <v>786</v>
      </c>
      <c r="Q345" s="14" t="s">
        <v>752</v>
      </c>
      <c r="R345" s="4" t="s">
        <v>753</v>
      </c>
      <c r="S345" s="10">
        <v>41150000</v>
      </c>
      <c r="T345" s="4" t="e">
        <f>INDEX(Employee!#REF!,MATCH(U345,Employee!#REF!,0))</f>
        <v>#REF!</v>
      </c>
      <c r="U345" s="4"/>
      <c r="V345" s="4" t="e">
        <f>INDEX(Employee!#REF!,MATCH(U345,Employee!#REF!,0))</f>
        <v>#REF!</v>
      </c>
      <c r="W345" s="4" t="e">
        <f>INDEX(Employee!#REF!,MATCH(U345,Employee!#REF!,0))</f>
        <v>#REF!</v>
      </c>
      <c r="X345" s="4" t="e">
        <f>INDEX(Employee!#REF!,MATCH(U345,Employee!#REF!,0))</f>
        <v>#REF!</v>
      </c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 t="str">
        <f>INDEX(Employee!C:C,MATCH(AK345,Employee!B:B,0))</f>
        <v>Nguyễn Văn Bình</v>
      </c>
      <c r="AK345" s="4" t="s">
        <v>447</v>
      </c>
      <c r="AL345" s="4" t="str">
        <f>INDEX(Employee!D:D,MATCH(AK345,Employee!B:B,0))</f>
        <v>Senior Software Engineer, Team Leader</v>
      </c>
      <c r="AM345" s="4" t="str">
        <f>INDEX(Employee!F:F,MATCH(AK345,Employee!B:B,0))</f>
        <v>Tech</v>
      </c>
      <c r="AN345" s="4" t="str">
        <f>INDEX(Employee!H:H,MATCH(AK345,Employee!B:B,0))</f>
        <v>Đoàn Nhật Duẩn (duandn)</v>
      </c>
      <c r="AO345" s="4"/>
      <c r="AP345" s="4"/>
      <c r="AQ345" s="4"/>
      <c r="AR345" s="4"/>
      <c r="AS345" s="4"/>
      <c r="BR345" s="6"/>
      <c r="CH345" s="6"/>
    </row>
    <row r="346" spans="1:86" hidden="1">
      <c r="A346" s="3">
        <f t="shared" si="21"/>
        <v>345</v>
      </c>
      <c r="B346" s="4" t="s">
        <v>14</v>
      </c>
      <c r="C346" s="4" t="s">
        <v>3</v>
      </c>
      <c r="D346" s="4" t="str">
        <f>INDEX(Employee!E:E,MATCH(AK346,Employee!B:B,0))</f>
        <v>Project</v>
      </c>
      <c r="E346" s="4" t="str">
        <f>INDEX(Employee!F:F,MATCH(AK346,Employee!B:B,0))</f>
        <v>Tech</v>
      </c>
      <c r="F346" s="4" t="str">
        <f>INDEX(Employee!G:G,MATCH(AK346,Employee!B:B,0))</f>
        <v>Resource Pool</v>
      </c>
      <c r="G346" s="4" t="s">
        <v>15</v>
      </c>
      <c r="H346" s="4"/>
      <c r="I346" s="4" t="str">
        <f t="shared" si="22"/>
        <v>LAP0121</v>
      </c>
      <c r="J346" s="4" t="s">
        <v>99</v>
      </c>
      <c r="K346" s="7" t="s">
        <v>750</v>
      </c>
      <c r="L346" s="7" t="s">
        <v>51</v>
      </c>
      <c r="M346" s="4" t="str">
        <f t="shared" si="23"/>
        <v>512GB</v>
      </c>
      <c r="N346" s="13" t="b">
        <v>1</v>
      </c>
      <c r="O346" s="13" t="b">
        <v>0</v>
      </c>
      <c r="P346" s="4" t="s">
        <v>787</v>
      </c>
      <c r="Q346" s="14" t="s">
        <v>752</v>
      </c>
      <c r="R346" s="4" t="s">
        <v>753</v>
      </c>
      <c r="S346" s="10">
        <v>41150000</v>
      </c>
      <c r="T346" s="4" t="e">
        <f>INDEX(Employee!#REF!,MATCH(U346,Employee!#REF!,0))</f>
        <v>#REF!</v>
      </c>
      <c r="U346" s="4"/>
      <c r="V346" s="4" t="e">
        <f>INDEX(Employee!#REF!,MATCH(U346,Employee!#REF!,0))</f>
        <v>#REF!</v>
      </c>
      <c r="W346" s="4" t="e">
        <f>INDEX(Employee!#REF!,MATCH(U346,Employee!#REF!,0))</f>
        <v>#REF!</v>
      </c>
      <c r="X346" s="4" t="e">
        <f>INDEX(Employee!#REF!,MATCH(U346,Employee!#REF!,0))</f>
        <v>#REF!</v>
      </c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 t="str">
        <f>INDEX(Employee!C:C,MATCH(AK346,Employee!B:B,0))</f>
        <v>Nguyễn Thiện Nhân</v>
      </c>
      <c r="AK346" s="4" t="s">
        <v>431</v>
      </c>
      <c r="AL346" s="4" t="str">
        <f>INDEX(Employee!D:D,MATCH(AK346,Employee!B:B,0))</f>
        <v>Senior Software Engineer</v>
      </c>
      <c r="AM346" s="4" t="str">
        <f>INDEX(Employee!F:F,MATCH(AK346,Employee!B:B,0))</f>
        <v>Tech</v>
      </c>
      <c r="AN346" s="4" t="str">
        <f>INDEX(Employee!H:H,MATCH(AK346,Employee!B:B,0))</f>
        <v>Đoàn Hải Nam</v>
      </c>
      <c r="AO346" s="4"/>
      <c r="AP346" s="4"/>
      <c r="AQ346" s="4"/>
      <c r="AR346" s="4"/>
      <c r="AS346" s="4"/>
      <c r="BR346" s="6"/>
      <c r="CH346" s="6"/>
    </row>
    <row r="347" spans="1:86" hidden="1">
      <c r="A347" s="3">
        <f t="shared" si="21"/>
        <v>346</v>
      </c>
      <c r="B347" s="4" t="s">
        <v>14</v>
      </c>
      <c r="C347" s="4" t="s">
        <v>3</v>
      </c>
      <c r="D347" s="4">
        <f>INDEX(Employee!E:E,MATCH(AK347,Employee!B:B,0))</f>
        <v>0</v>
      </c>
      <c r="E347" s="4" t="str">
        <f>INDEX(Employee!F:F,MATCH(AK347,Employee!B:B,0))</f>
        <v>Tech</v>
      </c>
      <c r="F347" s="4">
        <f>INDEX(Employee!G:G,MATCH(AK347,Employee!B:B,0))</f>
        <v>0</v>
      </c>
      <c r="G347" s="4" t="s">
        <v>119</v>
      </c>
      <c r="H347" s="4"/>
      <c r="I347" s="4" t="str">
        <f t="shared" si="22"/>
        <v>LAP0122</v>
      </c>
      <c r="J347" s="4" t="s">
        <v>99</v>
      </c>
      <c r="K347" s="7" t="s">
        <v>750</v>
      </c>
      <c r="L347" s="7" t="s">
        <v>51</v>
      </c>
      <c r="M347" s="4" t="str">
        <f t="shared" si="23"/>
        <v>512GB</v>
      </c>
      <c r="N347" s="13" t="b">
        <v>0</v>
      </c>
      <c r="O347" s="13" t="b">
        <v>0</v>
      </c>
      <c r="P347" s="4" t="s">
        <v>788</v>
      </c>
      <c r="Q347" s="14" t="s">
        <v>752</v>
      </c>
      <c r="R347" s="4" t="s">
        <v>753</v>
      </c>
      <c r="S347" s="10">
        <v>41150000</v>
      </c>
      <c r="T347" s="4" t="e">
        <f>INDEX(Employee!#REF!,MATCH(U347,Employee!#REF!,0))</f>
        <v>#REF!</v>
      </c>
      <c r="U347" s="4"/>
      <c r="V347" s="4" t="e">
        <f>INDEX(Employee!#REF!,MATCH(U347,Employee!#REF!,0))</f>
        <v>#REF!</v>
      </c>
      <c r="W347" s="4" t="e">
        <f>INDEX(Employee!#REF!,MATCH(U347,Employee!#REF!,0))</f>
        <v>#REF!</v>
      </c>
      <c r="X347" s="4" t="e">
        <f>INDEX(Employee!#REF!,MATCH(U347,Employee!#REF!,0))</f>
        <v>#REF!</v>
      </c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 t="str">
        <f>INDEX(Employee!C:C,MATCH(AK347,Employee!B:B,0))</f>
        <v>Nguyễn Đình Thái</v>
      </c>
      <c r="AK347" s="4" t="s">
        <v>392</v>
      </c>
      <c r="AL347" s="4" t="str">
        <f>INDEX(Employee!D:D,MATCH(AK347,Employee!B:B,0))</f>
        <v>Senior Software Engineer</v>
      </c>
      <c r="AM347" s="4" t="str">
        <f>INDEX(Employee!F:F,MATCH(AK347,Employee!B:B,0))</f>
        <v>Tech</v>
      </c>
      <c r="AN347" s="4" t="str">
        <f>INDEX(Employee!H:H,MATCH(AK347,Employee!B:B,0))</f>
        <v>Trần Triệu Dương (duongtt5)</v>
      </c>
      <c r="AO347" s="4"/>
      <c r="AP347" s="4"/>
      <c r="AQ347" s="4"/>
      <c r="AR347" s="4"/>
      <c r="AS347" s="4"/>
      <c r="BR347" s="6"/>
      <c r="CH347" s="6"/>
    </row>
    <row r="348" spans="1:86" hidden="1">
      <c r="A348" s="3">
        <f t="shared" si="21"/>
        <v>347</v>
      </c>
      <c r="B348" s="4" t="s">
        <v>14</v>
      </c>
      <c r="C348" s="4" t="s">
        <v>3</v>
      </c>
      <c r="D348" s="4">
        <f>INDEX(Employee!E:E,MATCH(AK348,Employee!B:B,0))</f>
        <v>0</v>
      </c>
      <c r="E348" s="4" t="str">
        <f>INDEX(Employee!F:F,MATCH(AK348,Employee!B:B,0))</f>
        <v>Tech</v>
      </c>
      <c r="F348" s="4">
        <f>INDEX(Employee!G:G,MATCH(AK348,Employee!B:B,0))</f>
        <v>0</v>
      </c>
      <c r="G348" s="4" t="s">
        <v>119</v>
      </c>
      <c r="H348" s="4"/>
      <c r="I348" s="4" t="str">
        <f t="shared" si="22"/>
        <v>LAP0123</v>
      </c>
      <c r="J348" s="4" t="s">
        <v>99</v>
      </c>
      <c r="K348" s="7" t="s">
        <v>750</v>
      </c>
      <c r="L348" s="7" t="s">
        <v>51</v>
      </c>
      <c r="M348" s="4" t="str">
        <f t="shared" si="23"/>
        <v>512GB</v>
      </c>
      <c r="N348" s="13" t="b">
        <v>0</v>
      </c>
      <c r="O348" s="13" t="b">
        <v>0</v>
      </c>
      <c r="P348" s="4" t="s">
        <v>789</v>
      </c>
      <c r="Q348" s="14" t="s">
        <v>752</v>
      </c>
      <c r="R348" s="4" t="s">
        <v>753</v>
      </c>
      <c r="S348" s="10">
        <v>41150000</v>
      </c>
      <c r="T348" s="4" t="e">
        <f>INDEX(Employee!#REF!,MATCH(U348,Employee!#REF!,0))</f>
        <v>#REF!</v>
      </c>
      <c r="U348" s="4"/>
      <c r="V348" s="4" t="e">
        <f>INDEX(Employee!#REF!,MATCH(U348,Employee!#REF!,0))</f>
        <v>#REF!</v>
      </c>
      <c r="W348" s="4" t="e">
        <f>INDEX(Employee!#REF!,MATCH(U348,Employee!#REF!,0))</f>
        <v>#REF!</v>
      </c>
      <c r="X348" s="4" t="e">
        <f>INDEX(Employee!#REF!,MATCH(U348,Employee!#REF!,0))</f>
        <v>#REF!</v>
      </c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 t="str">
        <f>INDEX(Employee!C:C,MATCH(AK348,Employee!B:B,0))</f>
        <v>Nguyễn Văn Lân</v>
      </c>
      <c r="AK348" s="4" t="s">
        <v>536</v>
      </c>
      <c r="AL348" s="4" t="str">
        <f>INDEX(Employee!D:D,MATCH(AK348,Employee!B:B,0))</f>
        <v>Software Engineer</v>
      </c>
      <c r="AM348" s="4" t="str">
        <f>INDEX(Employee!F:F,MATCH(AK348,Employee!B:B,0))</f>
        <v>Tech</v>
      </c>
      <c r="AN348" s="4" t="str">
        <f>INDEX(Employee!H:H,MATCH(AK348,Employee!B:B,0))</f>
        <v>Trần Triệu Dương (duongtt5)</v>
      </c>
      <c r="AO348" s="4"/>
      <c r="AP348" s="4"/>
      <c r="AQ348" s="4"/>
      <c r="AR348" s="4"/>
      <c r="AS348" s="4"/>
      <c r="BR348" s="6"/>
      <c r="CH348" s="6"/>
    </row>
    <row r="349" spans="1:86" hidden="1">
      <c r="A349" s="3">
        <f t="shared" si="21"/>
        <v>348</v>
      </c>
      <c r="B349" s="4" t="s">
        <v>14</v>
      </c>
      <c r="C349" s="4" t="s">
        <v>3</v>
      </c>
      <c r="D349" s="4">
        <f>INDEX(Employee!E:E,MATCH(AK349,Employee!B:B,0))</f>
        <v>0</v>
      </c>
      <c r="E349" s="4" t="str">
        <f>INDEX(Employee!F:F,MATCH(AK349,Employee!B:B,0))</f>
        <v>Tech</v>
      </c>
      <c r="F349" s="4">
        <f>INDEX(Employee!G:G,MATCH(AK349,Employee!B:B,0))</f>
        <v>0</v>
      </c>
      <c r="G349" s="4" t="s">
        <v>119</v>
      </c>
      <c r="H349" s="4"/>
      <c r="I349" s="4" t="str">
        <f t="shared" si="22"/>
        <v>LAP0124</v>
      </c>
      <c r="J349" s="4" t="s">
        <v>99</v>
      </c>
      <c r="K349" s="7" t="s">
        <v>750</v>
      </c>
      <c r="L349" s="7" t="s">
        <v>51</v>
      </c>
      <c r="M349" s="4" t="str">
        <f t="shared" si="23"/>
        <v>512GB</v>
      </c>
      <c r="N349" s="13" t="b">
        <v>0</v>
      </c>
      <c r="O349" s="13" t="b">
        <v>0</v>
      </c>
      <c r="P349" s="4" t="s">
        <v>790</v>
      </c>
      <c r="Q349" s="14" t="s">
        <v>752</v>
      </c>
      <c r="R349" s="4" t="s">
        <v>753</v>
      </c>
      <c r="S349" s="10">
        <v>41150000</v>
      </c>
      <c r="T349" s="4" t="e">
        <f>INDEX(Employee!#REF!,MATCH(U349,Employee!#REF!,0))</f>
        <v>#REF!</v>
      </c>
      <c r="U349" s="4"/>
      <c r="V349" s="4" t="e">
        <f>INDEX(Employee!#REF!,MATCH(U349,Employee!#REF!,0))</f>
        <v>#REF!</v>
      </c>
      <c r="W349" s="4" t="e">
        <f>INDEX(Employee!#REF!,MATCH(U349,Employee!#REF!,0))</f>
        <v>#REF!</v>
      </c>
      <c r="X349" s="4" t="e">
        <f>INDEX(Employee!#REF!,MATCH(U349,Employee!#REF!,0))</f>
        <v>#REF!</v>
      </c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 t="str">
        <f>INDEX(Employee!C:C,MATCH(AK349,Employee!B:B,0))</f>
        <v>Trịnh Xuân Vượng</v>
      </c>
      <c r="AK349" s="4" t="s">
        <v>389</v>
      </c>
      <c r="AL349" s="4" t="str">
        <f>INDEX(Employee!D:D,MATCH(AK349,Employee!B:B,0))</f>
        <v>Solutions Architect</v>
      </c>
      <c r="AM349" s="4" t="str">
        <f>INDEX(Employee!F:F,MATCH(AK349,Employee!B:B,0))</f>
        <v>Tech</v>
      </c>
      <c r="AN349" s="4" t="str">
        <f>INDEX(Employee!H:H,MATCH(AK349,Employee!B:B,0))</f>
        <v>Dương Huỳnh Nghĩa (nghiadh)</v>
      </c>
      <c r="AO349" s="4"/>
      <c r="AP349" s="4"/>
      <c r="AQ349" s="4"/>
      <c r="AR349" s="4"/>
      <c r="AS349" s="4" t="s">
        <v>517</v>
      </c>
      <c r="BR349" s="6"/>
      <c r="CH349" s="6"/>
    </row>
    <row r="350" spans="1:86" hidden="1">
      <c r="A350" s="3">
        <f t="shared" si="21"/>
        <v>349</v>
      </c>
      <c r="B350" s="4" t="s">
        <v>14</v>
      </c>
      <c r="C350" s="4" t="s">
        <v>3</v>
      </c>
      <c r="D350" s="4" t="str">
        <f>INDEX(Employee!E:E,MATCH(AK350,Employee!B:B,0))</f>
        <v>CTD</v>
      </c>
      <c r="E350" s="4" t="str">
        <f>INDEX(Employee!F:F,MATCH(AK350,Employee!B:B,0))</f>
        <v>CTD</v>
      </c>
      <c r="F350" s="4" t="str">
        <f>INDEX(Employee!G:G,MATCH(AK350,Employee!B:B,0))</f>
        <v>CTD</v>
      </c>
      <c r="G350" s="4" t="s">
        <v>15</v>
      </c>
      <c r="H350" s="4"/>
      <c r="I350" s="4" t="str">
        <f t="shared" si="22"/>
        <v>LAP0125</v>
      </c>
      <c r="J350" s="4" t="s">
        <v>99</v>
      </c>
      <c r="K350" s="7" t="s">
        <v>750</v>
      </c>
      <c r="L350" s="7" t="s">
        <v>51</v>
      </c>
      <c r="M350" s="4" t="str">
        <f t="shared" si="23"/>
        <v>512GB</v>
      </c>
      <c r="N350" s="13" t="b">
        <v>1</v>
      </c>
      <c r="O350" s="13" t="b">
        <v>0</v>
      </c>
      <c r="P350" s="4" t="s">
        <v>791</v>
      </c>
      <c r="Q350" s="14" t="s">
        <v>752</v>
      </c>
      <c r="R350" s="4" t="s">
        <v>753</v>
      </c>
      <c r="S350" s="10">
        <v>41150000</v>
      </c>
      <c r="T350" s="4" t="e">
        <f>INDEX(Employee!#REF!,MATCH(U350,Employee!#REF!,0))</f>
        <v>#REF!</v>
      </c>
      <c r="U350" s="4"/>
      <c r="V350" s="4" t="e">
        <f>INDEX(Employee!#REF!,MATCH(U350,Employee!#REF!,0))</f>
        <v>#REF!</v>
      </c>
      <c r="W350" s="4" t="e">
        <f>INDEX(Employee!#REF!,MATCH(U350,Employee!#REF!,0))</f>
        <v>#REF!</v>
      </c>
      <c r="X350" s="4" t="e">
        <f>INDEX(Employee!#REF!,MATCH(U350,Employee!#REF!,0))</f>
        <v>#REF!</v>
      </c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 t="str">
        <f>INDEX(Employee!C:C,MATCH(AK350,Employee!B:B,0))</f>
        <v>Đoàn Hải Nam</v>
      </c>
      <c r="AK350" s="4" t="s">
        <v>792</v>
      </c>
      <c r="AL350" s="4" t="str">
        <f>INDEX(Employee!D:D,MATCH(AK350,Employee!B:B,0))</f>
        <v>CIO</v>
      </c>
      <c r="AM350" s="4" t="str">
        <f>INDEX(Employee!F:F,MATCH(AK350,Employee!B:B,0))</f>
        <v>CTD</v>
      </c>
      <c r="AN350" s="4" t="str">
        <f>INDEX(Employee!H:H,MATCH(AK350,Employee!B:B,0))</f>
        <v>CTD</v>
      </c>
      <c r="AO350" s="4"/>
      <c r="AP350" s="4"/>
      <c r="AQ350" s="4"/>
      <c r="AR350" s="4"/>
      <c r="AS350" s="4"/>
      <c r="BR350" s="6"/>
      <c r="CH350" s="6"/>
    </row>
    <row r="351" spans="1:86" hidden="1">
      <c r="A351" s="3">
        <f t="shared" si="21"/>
        <v>350</v>
      </c>
      <c r="B351" s="4" t="s">
        <v>14</v>
      </c>
      <c r="C351" s="4" t="s">
        <v>4</v>
      </c>
      <c r="D351" s="4" t="str">
        <f>INDEX(Employee!E:E,MATCH(AK351,Employee!B:B,0))</f>
        <v>Undirect IT Staff</v>
      </c>
      <c r="E351" s="4" t="str">
        <f>INDEX(Employee!F:F,MATCH(AK351,Employee!B:B,0))</f>
        <v>Tech</v>
      </c>
      <c r="F351" s="4" t="str">
        <f>INDEX(Employee!G:G,MATCH(AK351,Employee!B:B,0))</f>
        <v>Operation Team</v>
      </c>
      <c r="G351" s="4" t="s">
        <v>15</v>
      </c>
      <c r="H351" s="4"/>
      <c r="I351" s="4" t="str">
        <f t="shared" si="22"/>
        <v>LAP0126</v>
      </c>
      <c r="J351" s="4" t="s">
        <v>99</v>
      </c>
      <c r="K351" s="7" t="s">
        <v>775</v>
      </c>
      <c r="L351" s="7" t="s">
        <v>51</v>
      </c>
      <c r="M351" s="4" t="str">
        <f t="shared" si="23"/>
        <v xml:space="preserve">  1TB</v>
      </c>
      <c r="N351" s="13" t="b">
        <v>1</v>
      </c>
      <c r="O351" s="13" t="b">
        <v>0</v>
      </c>
      <c r="P351" s="4" t="s">
        <v>793</v>
      </c>
      <c r="Q351" s="14" t="s">
        <v>752</v>
      </c>
      <c r="R351" s="4" t="s">
        <v>753</v>
      </c>
      <c r="S351" s="10">
        <v>51290000</v>
      </c>
      <c r="T351" s="4" t="e">
        <f>INDEX(Employee!#REF!,MATCH(U351,Employee!#REF!,0))</f>
        <v>#REF!</v>
      </c>
      <c r="U351" s="4"/>
      <c r="V351" s="4" t="e">
        <f>INDEX(Employee!#REF!,MATCH(U351,Employee!#REF!,0))</f>
        <v>#REF!</v>
      </c>
      <c r="W351" s="4" t="e">
        <f>INDEX(Employee!#REF!,MATCH(U351,Employee!#REF!,0))</f>
        <v>#REF!</v>
      </c>
      <c r="X351" s="4" t="e">
        <f>INDEX(Employee!#REF!,MATCH(U351,Employee!#REF!,0))</f>
        <v>#REF!</v>
      </c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 t="str">
        <f>INDEX(Employee!C:C,MATCH(AK351,Employee!B:B,0))</f>
        <v>Nguyễn Viết Khải</v>
      </c>
      <c r="AK351" s="4" t="s">
        <v>103</v>
      </c>
      <c r="AL351" s="4" t="str">
        <f>INDEX(Employee!D:D,MATCH(AK351,Employee!B:B,0))</f>
        <v>Lead IT Support Engineer</v>
      </c>
      <c r="AM351" s="4" t="str">
        <f>INDEX(Employee!F:F,MATCH(AK351,Employee!B:B,0))</f>
        <v>Tech</v>
      </c>
      <c r="AN351" s="4" t="str">
        <f>INDEX(Employee!H:H,MATCH(AK351,Employee!B:B,0))</f>
        <v>Đoàn Hải Nam</v>
      </c>
      <c r="AO351" s="4"/>
      <c r="AP351" s="4"/>
      <c r="AQ351" s="4"/>
      <c r="AR351" s="4"/>
      <c r="AS351" s="4"/>
      <c r="BR351" s="6"/>
      <c r="CH351" s="6"/>
    </row>
    <row r="352" spans="1:86" hidden="1">
      <c r="A352" s="3">
        <f t="shared" si="21"/>
        <v>351</v>
      </c>
      <c r="B352" s="4" t="s">
        <v>14</v>
      </c>
      <c r="C352" s="4" t="s">
        <v>3</v>
      </c>
      <c r="D352" s="4">
        <f>INDEX(Employee!E:E,MATCH(AK352,Employee!B:B,0))</f>
        <v>0</v>
      </c>
      <c r="E352" s="4" t="str">
        <f>INDEX(Employee!F:F,MATCH(AK352,Employee!B:B,0))</f>
        <v>Tech</v>
      </c>
      <c r="F352" s="4">
        <f>INDEX(Employee!G:G,MATCH(AK352,Employee!B:B,0))</f>
        <v>0</v>
      </c>
      <c r="G352" s="4" t="s">
        <v>119</v>
      </c>
      <c r="H352" s="4"/>
      <c r="I352" s="4" t="str">
        <f t="shared" si="22"/>
        <v>LAP0127</v>
      </c>
      <c r="J352" s="4" t="s">
        <v>99</v>
      </c>
      <c r="K352" s="7" t="s">
        <v>750</v>
      </c>
      <c r="L352" s="7" t="s">
        <v>51</v>
      </c>
      <c r="M352" s="4" t="str">
        <f t="shared" si="23"/>
        <v>512GB</v>
      </c>
      <c r="N352" s="13" t="b">
        <v>0</v>
      </c>
      <c r="O352" s="13" t="b">
        <v>0</v>
      </c>
      <c r="P352" s="4" t="s">
        <v>794</v>
      </c>
      <c r="Q352" s="14" t="s">
        <v>752</v>
      </c>
      <c r="R352" s="4" t="s">
        <v>753</v>
      </c>
      <c r="S352" s="10">
        <v>41150000</v>
      </c>
      <c r="T352" s="4" t="e">
        <f>INDEX(Employee!#REF!,MATCH(U352,Employee!#REF!,0))</f>
        <v>#REF!</v>
      </c>
      <c r="U352" s="4"/>
      <c r="V352" s="4" t="e">
        <f>INDEX(Employee!#REF!,MATCH(U352,Employee!#REF!,0))</f>
        <v>#REF!</v>
      </c>
      <c r="W352" s="4" t="e">
        <f>INDEX(Employee!#REF!,MATCH(U352,Employee!#REF!,0))</f>
        <v>#REF!</v>
      </c>
      <c r="X352" s="4" t="e">
        <f>INDEX(Employee!#REF!,MATCH(U352,Employee!#REF!,0))</f>
        <v>#REF!</v>
      </c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 t="str">
        <f>INDEX(Employee!C:C,MATCH(AK352,Employee!B:B,0))</f>
        <v>Nguyễn Quốc Bảo</v>
      </c>
      <c r="AK352" s="4" t="s">
        <v>459</v>
      </c>
      <c r="AL352" s="4" t="str">
        <f>INDEX(Employee!D:D,MATCH(AK352,Employee!B:B,0))</f>
        <v>DevOps Engineer</v>
      </c>
      <c r="AM352" s="4" t="str">
        <f>INDEX(Employee!F:F,MATCH(AK352,Employee!B:B,0))</f>
        <v>Tech</v>
      </c>
      <c r="AN352" s="4" t="str">
        <f>INDEX(Employee!H:H,MATCH(AK352,Employee!B:B,0))</f>
        <v>Trần Triệu Dương (duongtt5)</v>
      </c>
      <c r="AO352" s="4"/>
      <c r="AP352" s="4"/>
      <c r="AQ352" s="4"/>
      <c r="AR352" s="4"/>
      <c r="AS352" s="4"/>
      <c r="BR352" s="6"/>
      <c r="CH352" s="6"/>
    </row>
    <row r="353" spans="1:102" hidden="1">
      <c r="A353" s="3">
        <f t="shared" si="21"/>
        <v>352</v>
      </c>
      <c r="B353" s="4" t="s">
        <v>14</v>
      </c>
      <c r="C353" s="4" t="s">
        <v>3</v>
      </c>
      <c r="D353" s="4">
        <f>INDEX(Employee!E:E,MATCH(AK353,Employee!B:B,0))</f>
        <v>0</v>
      </c>
      <c r="E353" s="4" t="str">
        <f>INDEX(Employee!F:F,MATCH(AK353,Employee!B:B,0))</f>
        <v>Tech</v>
      </c>
      <c r="F353" s="4">
        <f>INDEX(Employee!G:G,MATCH(AK353,Employee!B:B,0))</f>
        <v>0</v>
      </c>
      <c r="G353" s="4" t="s">
        <v>119</v>
      </c>
      <c r="H353" s="4"/>
      <c r="I353" s="4" t="str">
        <f t="shared" si="22"/>
        <v>LAP0128</v>
      </c>
      <c r="J353" s="4" t="s">
        <v>99</v>
      </c>
      <c r="K353" s="7" t="s">
        <v>750</v>
      </c>
      <c r="L353" s="7" t="s">
        <v>51</v>
      </c>
      <c r="M353" s="4" t="str">
        <f t="shared" si="23"/>
        <v>512GB</v>
      </c>
      <c r="N353" s="13" t="b">
        <v>0</v>
      </c>
      <c r="O353" s="13" t="b">
        <v>0</v>
      </c>
      <c r="P353" s="4" t="s">
        <v>795</v>
      </c>
      <c r="Q353" s="14" t="s">
        <v>752</v>
      </c>
      <c r="R353" s="4" t="s">
        <v>753</v>
      </c>
      <c r="S353" s="10">
        <v>41150000</v>
      </c>
      <c r="T353" s="4" t="e">
        <f>INDEX(Employee!#REF!,MATCH(U353,Employee!#REF!,0))</f>
        <v>#REF!</v>
      </c>
      <c r="U353" s="4"/>
      <c r="V353" s="4" t="e">
        <f>INDEX(Employee!#REF!,MATCH(U353,Employee!#REF!,0))</f>
        <v>#REF!</v>
      </c>
      <c r="W353" s="4" t="e">
        <f>INDEX(Employee!#REF!,MATCH(U353,Employee!#REF!,0))</f>
        <v>#REF!</v>
      </c>
      <c r="X353" s="4" t="e">
        <f>INDEX(Employee!#REF!,MATCH(U353,Employee!#REF!,0))</f>
        <v>#REF!</v>
      </c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 t="str">
        <f>INDEX(Employee!C:C,MATCH(AK353,Employee!B:B,0))</f>
        <v>Nguyễn Anh Tuấn</v>
      </c>
      <c r="AK353" s="4" t="s">
        <v>796</v>
      </c>
      <c r="AL353" s="4" t="str">
        <f>INDEX(Employee!D:D,MATCH(AK353,Employee!B:B,0))</f>
        <v>Senior Software Engineer</v>
      </c>
      <c r="AM353" s="4" t="str">
        <f>INDEX(Employee!F:F,MATCH(AK353,Employee!B:B,0))</f>
        <v>Tech</v>
      </c>
      <c r="AN353" s="4" t="str">
        <f>INDEX(Employee!H:H,MATCH(AK353,Employee!B:B,0))</f>
        <v>Trần Triệu Dương (duongtt5)</v>
      </c>
      <c r="AO353" s="4"/>
      <c r="AP353" s="4"/>
      <c r="AQ353" s="4"/>
      <c r="AR353" s="4"/>
      <c r="AS353" s="4"/>
      <c r="BR353" s="6"/>
      <c r="CH353" s="6"/>
    </row>
    <row r="354" spans="1:102" hidden="1">
      <c r="A354" s="3">
        <f t="shared" si="21"/>
        <v>353</v>
      </c>
      <c r="B354" s="4" t="s">
        <v>14</v>
      </c>
      <c r="C354" s="4" t="s">
        <v>3</v>
      </c>
      <c r="D354" s="4">
        <f>INDEX(Employee!E:E,MATCH(AK354,Employee!B:B,0))</f>
        <v>0</v>
      </c>
      <c r="E354" s="4" t="str">
        <f>INDEX(Employee!F:F,MATCH(AK354,Employee!B:B,0))</f>
        <v>Tech</v>
      </c>
      <c r="F354" s="4">
        <f>INDEX(Employee!G:G,MATCH(AK354,Employee!B:B,0))</f>
        <v>0</v>
      </c>
      <c r="G354" s="4" t="s">
        <v>119</v>
      </c>
      <c r="H354" s="4"/>
      <c r="I354" s="4" t="str">
        <f t="shared" si="22"/>
        <v>LAP0129</v>
      </c>
      <c r="J354" s="4" t="s">
        <v>99</v>
      </c>
      <c r="K354" s="7" t="s">
        <v>750</v>
      </c>
      <c r="L354" s="7" t="s">
        <v>51</v>
      </c>
      <c r="M354" s="4" t="str">
        <f t="shared" si="23"/>
        <v>512GB</v>
      </c>
      <c r="N354" s="13" t="b">
        <v>0</v>
      </c>
      <c r="O354" s="13" t="b">
        <v>0</v>
      </c>
      <c r="P354" s="4" t="s">
        <v>797</v>
      </c>
      <c r="Q354" s="14" t="s">
        <v>752</v>
      </c>
      <c r="R354" s="4" t="s">
        <v>753</v>
      </c>
      <c r="S354" s="10">
        <v>41150000</v>
      </c>
      <c r="T354" s="4" t="e">
        <f>INDEX(Employee!#REF!,MATCH(U354,Employee!#REF!,0))</f>
        <v>#REF!</v>
      </c>
      <c r="U354" s="4"/>
      <c r="V354" s="4" t="e">
        <f>INDEX(Employee!#REF!,MATCH(U354,Employee!#REF!,0))</f>
        <v>#REF!</v>
      </c>
      <c r="W354" s="4" t="e">
        <f>INDEX(Employee!#REF!,MATCH(U354,Employee!#REF!,0))</f>
        <v>#REF!</v>
      </c>
      <c r="X354" s="4" t="e">
        <f>INDEX(Employee!#REF!,MATCH(U354,Employee!#REF!,0))</f>
        <v>#REF!</v>
      </c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 t="str">
        <f>INDEX(Employee!C:C,MATCH(AK354,Employee!B:B,0))</f>
        <v>Khổng Gia Bình</v>
      </c>
      <c r="AK354" s="4" t="s">
        <v>515</v>
      </c>
      <c r="AL354" s="4" t="str">
        <f>INDEX(Employee!D:D,MATCH(AK354,Employee!B:B,0))</f>
        <v>Software Engineer</v>
      </c>
      <c r="AM354" s="4" t="str">
        <f>INDEX(Employee!F:F,MATCH(AK354,Employee!B:B,0))</f>
        <v>Tech</v>
      </c>
      <c r="AN354" s="4" t="str">
        <f>INDEX(Employee!H:H,MATCH(AK354,Employee!B:B,0))</f>
        <v>Trần Triệu Dương (duongtt5)</v>
      </c>
      <c r="AO354" s="4"/>
      <c r="AP354" s="4"/>
      <c r="AQ354" s="4"/>
      <c r="AR354" s="4"/>
      <c r="AS354" s="4"/>
      <c r="BR354" s="6"/>
      <c r="CH354" s="6"/>
    </row>
    <row r="355" spans="1:102" hidden="1">
      <c r="A355" s="3">
        <f t="shared" si="21"/>
        <v>354</v>
      </c>
      <c r="B355" s="4" t="s">
        <v>14</v>
      </c>
      <c r="C355" s="4" t="s">
        <v>3</v>
      </c>
      <c r="D355" s="4">
        <f>INDEX(Employee!E:E,MATCH(AK355,Employee!B:B,0))</f>
        <v>0</v>
      </c>
      <c r="E355" s="4" t="str">
        <f>INDEX(Employee!F:F,MATCH(AK355,Employee!B:B,0))</f>
        <v>Tech</v>
      </c>
      <c r="F355" s="4">
        <f>INDEX(Employee!G:G,MATCH(AK355,Employee!B:B,0))</f>
        <v>0</v>
      </c>
      <c r="G355" s="4" t="s">
        <v>119</v>
      </c>
      <c r="H355" s="4"/>
      <c r="I355" s="4" t="str">
        <f t="shared" si="22"/>
        <v>LAP0130</v>
      </c>
      <c r="J355" s="4" t="s">
        <v>99</v>
      </c>
      <c r="K355" s="7" t="s">
        <v>750</v>
      </c>
      <c r="L355" s="7" t="s">
        <v>51</v>
      </c>
      <c r="M355" s="4" t="str">
        <f t="shared" si="23"/>
        <v>512GB</v>
      </c>
      <c r="N355" s="13" t="b">
        <v>0</v>
      </c>
      <c r="O355" s="13" t="b">
        <v>0</v>
      </c>
      <c r="P355" s="4" t="s">
        <v>798</v>
      </c>
      <c r="Q355" s="14" t="s">
        <v>752</v>
      </c>
      <c r="R355" s="4" t="s">
        <v>753</v>
      </c>
      <c r="S355" s="10">
        <v>41150000</v>
      </c>
      <c r="T355" s="4" t="e">
        <f>INDEX(Employee!#REF!,MATCH(U355,Employee!#REF!,0))</f>
        <v>#REF!</v>
      </c>
      <c r="U355" s="4"/>
      <c r="V355" s="4" t="e">
        <f>INDEX(Employee!#REF!,MATCH(U355,Employee!#REF!,0))</f>
        <v>#REF!</v>
      </c>
      <c r="W355" s="4" t="e">
        <f>INDEX(Employee!#REF!,MATCH(U355,Employee!#REF!,0))</f>
        <v>#REF!</v>
      </c>
      <c r="X355" s="4" t="e">
        <f>INDEX(Employee!#REF!,MATCH(U355,Employee!#REF!,0))</f>
        <v>#REF!</v>
      </c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 t="str">
        <f>INDEX(Employee!C:C,MATCH(AK355,Employee!B:B,0))</f>
        <v>Phạm Hồng Quốc Anh</v>
      </c>
      <c r="AK355" s="4" t="s">
        <v>513</v>
      </c>
      <c r="AL355" s="4" t="str">
        <f>INDEX(Employee!D:D,MATCH(AK355,Employee!B:B,0))</f>
        <v>Lead Software Engineer</v>
      </c>
      <c r="AM355" s="4" t="str">
        <f>INDEX(Employee!F:F,MATCH(AK355,Employee!B:B,0))</f>
        <v>Tech</v>
      </c>
      <c r="AN355" s="4" t="str">
        <f>INDEX(Employee!H:H,MATCH(AK355,Employee!B:B,0))</f>
        <v>Trần Triệu Dương (duongtt5)</v>
      </c>
      <c r="AO355" s="4"/>
      <c r="AP355" s="4"/>
      <c r="AQ355" s="4"/>
      <c r="AR355" s="4"/>
      <c r="AS355" s="4"/>
      <c r="BR355" s="6"/>
      <c r="CH355" s="6"/>
    </row>
    <row r="356" spans="1:102" hidden="1">
      <c r="A356" s="3">
        <f t="shared" si="21"/>
        <v>355</v>
      </c>
      <c r="B356" s="4" t="s">
        <v>22</v>
      </c>
      <c r="C356" s="4" t="s">
        <v>3</v>
      </c>
      <c r="D356" s="4" t="str">
        <f>INDEX(Employee!E:E,MATCH(AK356,Employee!B:B,0))</f>
        <v>Project</v>
      </c>
      <c r="E356" s="4" t="str">
        <f>INDEX(Employee!F:F,MATCH(AK356,Employee!B:B,0))</f>
        <v>Tech</v>
      </c>
      <c r="F356" s="4" t="str">
        <f>INDEX(Employee!G:G,MATCH(AK356,Employee!B:B,0))</f>
        <v>Venture</v>
      </c>
      <c r="G356" s="4" t="s">
        <v>15</v>
      </c>
      <c r="H356" s="4"/>
      <c r="I356" s="4" t="s">
        <v>799</v>
      </c>
      <c r="J356" s="4" t="s">
        <v>678</v>
      </c>
      <c r="K356" s="4" t="s">
        <v>679</v>
      </c>
      <c r="L356" s="4"/>
      <c r="M356" s="4"/>
      <c r="N356" s="13" t="b">
        <v>0</v>
      </c>
      <c r="O356" s="13" t="b">
        <v>0</v>
      </c>
      <c r="P356" s="4"/>
      <c r="Q356" s="14" t="s">
        <v>752</v>
      </c>
      <c r="R356" s="4" t="s">
        <v>753</v>
      </c>
      <c r="S356" s="10">
        <v>769000</v>
      </c>
      <c r="T356" s="4" t="e">
        <f>INDEX(Employee!#REF!,MATCH(U356,Employee!#REF!,0))</f>
        <v>#REF!</v>
      </c>
      <c r="U356" s="4" t="s">
        <v>292</v>
      </c>
      <c r="V356" s="4" t="e">
        <f>INDEX(Employee!#REF!,MATCH(U356,Employee!#REF!,0))</f>
        <v>#REF!</v>
      </c>
      <c r="W356" s="4" t="e">
        <f>INDEX(Employee!#REF!,MATCH(U356,Employee!#REF!,0))</f>
        <v>#REF!</v>
      </c>
      <c r="X356" s="4" t="e">
        <f>INDEX(Employee!#REF!,MATCH(U356,Employee!#REF!,0))</f>
        <v>#REF!</v>
      </c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 t="str">
        <f>INDEX(Employee!C:C,MATCH(AK356,Employee!B:B,0))</f>
        <v>Huỳnh Thúy Diễm</v>
      </c>
      <c r="AK356" s="4" t="s">
        <v>132</v>
      </c>
      <c r="AL356" s="4" t="str">
        <f>INDEX(Employee!D:D,MATCH(AK356,Employee!B:B,0))</f>
        <v>Fresher Business Analyst</v>
      </c>
      <c r="AM356" s="4" t="str">
        <f>INDEX(Employee!F:F,MATCH(AK356,Employee!B:B,0))</f>
        <v>Tech</v>
      </c>
      <c r="AN356" s="4" t="str">
        <f>INDEX(Employee!H:H,MATCH(AK356,Employee!B:B,0))</f>
        <v>Nguyễn Khánh Vy</v>
      </c>
      <c r="AO356" s="4"/>
      <c r="AP356" s="4"/>
      <c r="AQ356" s="4"/>
      <c r="AR356" s="4"/>
      <c r="AS356" s="4"/>
      <c r="CH356" s="6"/>
      <c r="CX356" s="6"/>
    </row>
    <row r="357" spans="1:102" hidden="1">
      <c r="A357" s="3">
        <f t="shared" si="21"/>
        <v>356</v>
      </c>
      <c r="B357" s="4" t="s">
        <v>22</v>
      </c>
      <c r="C357" s="4" t="s">
        <v>4</v>
      </c>
      <c r="D357" s="4" t="e">
        <f>INDEX(Employee!E:E,MATCH(AK357,Employee!B:B,0))</f>
        <v>#N/A</v>
      </c>
      <c r="E357" s="4" t="e">
        <f>INDEX(Employee!F:F,MATCH(AK357,Employee!B:B,0))</f>
        <v>#N/A</v>
      </c>
      <c r="F357" s="4" t="e">
        <f>INDEX(Employee!G:G,MATCH(AK357,Employee!B:B,0))</f>
        <v>#N/A</v>
      </c>
      <c r="G357" s="4" t="s">
        <v>15</v>
      </c>
      <c r="H357" s="4"/>
      <c r="I357" s="4" t="str">
        <f t="shared" ref="I357:I379" si="24">IF(I356="","", "CAB"&amp;TEXT(VALUE(RIGHT(I356,4))+1,"0000"))</f>
        <v>CAB0039</v>
      </c>
      <c r="J357" s="4" t="s">
        <v>678</v>
      </c>
      <c r="K357" s="4" t="s">
        <v>679</v>
      </c>
      <c r="L357" s="4"/>
      <c r="M357" s="4"/>
      <c r="N357" s="13" t="b">
        <v>0</v>
      </c>
      <c r="O357" s="13" t="b">
        <v>0</v>
      </c>
      <c r="P357" s="4"/>
      <c r="Q357" s="14" t="s">
        <v>752</v>
      </c>
      <c r="R357" s="4" t="s">
        <v>753</v>
      </c>
      <c r="S357" s="10">
        <v>769000</v>
      </c>
      <c r="T357" s="4" t="e">
        <f>INDEX(Employee!#REF!,MATCH(U357,Employee!#REF!,0))</f>
        <v>#REF!</v>
      </c>
      <c r="U357" s="4" t="s">
        <v>292</v>
      </c>
      <c r="V357" s="4" t="e">
        <f>INDEX(Employee!#REF!,MATCH(U357,Employee!#REF!,0))</f>
        <v>#REF!</v>
      </c>
      <c r="W357" s="4" t="e">
        <f>INDEX(Employee!#REF!,MATCH(U357,Employee!#REF!,0))</f>
        <v>#REF!</v>
      </c>
      <c r="X357" s="4" t="e">
        <f>INDEX(Employee!#REF!,MATCH(U357,Employee!#REF!,0))</f>
        <v>#REF!</v>
      </c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 t="e">
        <f>INDEX(Employee!C:C,MATCH(AK357,Employee!B:B,0))</f>
        <v>#N/A</v>
      </c>
      <c r="AK357" s="4"/>
      <c r="AL357" s="4" t="e">
        <f>INDEX(Employee!D:D,MATCH(AK357,Employee!B:B,0))</f>
        <v>#N/A</v>
      </c>
      <c r="AM357" s="4" t="e">
        <f>INDEX(Employee!F:F,MATCH(AK357,Employee!B:B,0))</f>
        <v>#N/A</v>
      </c>
      <c r="AN357" s="4" t="e">
        <f>INDEX(Employee!H:H,MATCH(AK357,Employee!B:B,0))</f>
        <v>#N/A</v>
      </c>
      <c r="AO357" s="4"/>
      <c r="AP357" s="4"/>
      <c r="AQ357" s="4"/>
      <c r="AR357" s="4"/>
      <c r="AS357" s="4"/>
      <c r="CH357" s="6"/>
      <c r="CX357" s="6"/>
    </row>
    <row r="358" spans="1:102" hidden="1">
      <c r="A358" s="3">
        <f t="shared" ref="A358:A389" si="25">IF(B358&lt;&gt;"",ROW()-1,"")</f>
        <v>357</v>
      </c>
      <c r="B358" s="4" t="s">
        <v>22</v>
      </c>
      <c r="C358" s="4" t="s">
        <v>3</v>
      </c>
      <c r="D358" s="4" t="str">
        <f>INDEX(Employee!E:E,MATCH(AK358,Employee!B:B,0))</f>
        <v>Project</v>
      </c>
      <c r="E358" s="4" t="str">
        <f>INDEX(Employee!F:F,MATCH(AK358,Employee!B:B,0))</f>
        <v>Tech</v>
      </c>
      <c r="F358" s="4" t="str">
        <f>INDEX(Employee!G:G,MATCH(AK358,Employee!B:B,0))</f>
        <v>Venture</v>
      </c>
      <c r="G358" s="4" t="s">
        <v>15</v>
      </c>
      <c r="H358" s="4"/>
      <c r="I358" s="4" t="str">
        <f t="shared" si="24"/>
        <v>CAB0040</v>
      </c>
      <c r="J358" s="4" t="s">
        <v>678</v>
      </c>
      <c r="K358" s="4" t="s">
        <v>679</v>
      </c>
      <c r="L358" s="4"/>
      <c r="M358" s="4"/>
      <c r="N358" s="13" t="b">
        <v>0</v>
      </c>
      <c r="O358" s="13" t="b">
        <v>0</v>
      </c>
      <c r="P358" s="4"/>
      <c r="Q358" s="14" t="s">
        <v>752</v>
      </c>
      <c r="R358" s="4" t="s">
        <v>753</v>
      </c>
      <c r="S358" s="10">
        <v>769000</v>
      </c>
      <c r="T358" s="4" t="e">
        <f>INDEX(Employee!#REF!,MATCH(U358,Employee!#REF!,0))</f>
        <v>#REF!</v>
      </c>
      <c r="U358" s="4" t="s">
        <v>292</v>
      </c>
      <c r="V358" s="4" t="e">
        <f>INDEX(Employee!#REF!,MATCH(U358,Employee!#REF!,0))</f>
        <v>#REF!</v>
      </c>
      <c r="W358" s="4" t="e">
        <f>INDEX(Employee!#REF!,MATCH(U358,Employee!#REF!,0))</f>
        <v>#REF!</v>
      </c>
      <c r="X358" s="4" t="e">
        <f>INDEX(Employee!#REF!,MATCH(U358,Employee!#REF!,0))</f>
        <v>#REF!</v>
      </c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 t="str">
        <f>INDEX(Employee!C:C,MATCH(AK358,Employee!B:B,0))</f>
        <v>Võ Thành Nhơn</v>
      </c>
      <c r="AK358" s="4" t="s">
        <v>544</v>
      </c>
      <c r="AL358" s="4" t="str">
        <f>INDEX(Employee!D:D,MATCH(AK358,Employee!B:B,0))</f>
        <v>Senior DevOps Engineer</v>
      </c>
      <c r="AM358" s="4" t="str">
        <f>INDEX(Employee!F:F,MATCH(AK358,Employee!B:B,0))</f>
        <v>Tech</v>
      </c>
      <c r="AN358" s="4" t="str">
        <f>INDEX(Employee!H:H,MATCH(AK358,Employee!B:B,0))</f>
        <v>Đoàn Nhật Duẩn (duandn)</v>
      </c>
      <c r="AO358" s="4"/>
      <c r="AP358" s="4"/>
      <c r="AQ358" s="4"/>
      <c r="AR358" s="4"/>
      <c r="AS358" s="4"/>
      <c r="CH358" s="6"/>
      <c r="CX358" s="6"/>
    </row>
    <row r="359" spans="1:102" hidden="1">
      <c r="A359" s="3">
        <f t="shared" si="25"/>
        <v>358</v>
      </c>
      <c r="B359" s="4" t="s">
        <v>22</v>
      </c>
      <c r="C359" s="4" t="s">
        <v>4</v>
      </c>
      <c r="D359" s="4" t="e">
        <f>INDEX(Employee!E:E,MATCH(AK359,Employee!B:B,0))</f>
        <v>#N/A</v>
      </c>
      <c r="E359" s="4" t="e">
        <f>INDEX(Employee!F:F,MATCH(AK359,Employee!B:B,0))</f>
        <v>#N/A</v>
      </c>
      <c r="F359" s="4" t="e">
        <f>INDEX(Employee!G:G,MATCH(AK359,Employee!B:B,0))</f>
        <v>#N/A</v>
      </c>
      <c r="G359" s="4" t="s">
        <v>15</v>
      </c>
      <c r="H359" s="4"/>
      <c r="I359" s="4" t="str">
        <f t="shared" si="24"/>
        <v>CAB0041</v>
      </c>
      <c r="J359" s="4" t="s">
        <v>678</v>
      </c>
      <c r="K359" s="4" t="s">
        <v>679</v>
      </c>
      <c r="L359" s="4"/>
      <c r="M359" s="4"/>
      <c r="N359" s="13" t="b">
        <v>0</v>
      </c>
      <c r="O359" s="13" t="b">
        <v>0</v>
      </c>
      <c r="P359" s="4"/>
      <c r="Q359" s="14" t="s">
        <v>752</v>
      </c>
      <c r="R359" s="4" t="s">
        <v>753</v>
      </c>
      <c r="S359" s="10">
        <v>769000</v>
      </c>
      <c r="T359" s="4" t="e">
        <f>INDEX(Employee!#REF!,MATCH(U359,Employee!#REF!,0))</f>
        <v>#REF!</v>
      </c>
      <c r="U359" s="4" t="s">
        <v>292</v>
      </c>
      <c r="V359" s="4" t="e">
        <f>INDEX(Employee!#REF!,MATCH(U359,Employee!#REF!,0))</f>
        <v>#REF!</v>
      </c>
      <c r="W359" s="4" t="e">
        <f>INDEX(Employee!#REF!,MATCH(U359,Employee!#REF!,0))</f>
        <v>#REF!</v>
      </c>
      <c r="X359" s="4" t="e">
        <f>INDEX(Employee!#REF!,MATCH(U359,Employee!#REF!,0))</f>
        <v>#REF!</v>
      </c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 t="e">
        <f>INDEX(Employee!C:C,MATCH(AK359,Employee!B:B,0))</f>
        <v>#N/A</v>
      </c>
      <c r="AK359" s="4"/>
      <c r="AL359" s="4" t="e">
        <f>INDEX(Employee!D:D,MATCH(AK359,Employee!B:B,0))</f>
        <v>#N/A</v>
      </c>
      <c r="AM359" s="4" t="e">
        <f>INDEX(Employee!F:F,MATCH(AK359,Employee!B:B,0))</f>
        <v>#N/A</v>
      </c>
      <c r="AN359" s="4" t="e">
        <f>INDEX(Employee!H:H,MATCH(AK359,Employee!B:B,0))</f>
        <v>#N/A</v>
      </c>
      <c r="AO359" s="4"/>
      <c r="AP359" s="4"/>
      <c r="AQ359" s="4"/>
      <c r="AR359" s="4"/>
      <c r="AS359" s="4"/>
      <c r="CH359" s="6"/>
      <c r="CX359" s="6"/>
    </row>
    <row r="360" spans="1:102" hidden="1">
      <c r="A360" s="3">
        <f t="shared" si="25"/>
        <v>359</v>
      </c>
      <c r="B360" s="4" t="s">
        <v>22</v>
      </c>
      <c r="C360" s="4" t="s">
        <v>4</v>
      </c>
      <c r="D360" s="4" t="e">
        <f>INDEX(Employee!E:E,MATCH(AK360,Employee!B:B,0))</f>
        <v>#N/A</v>
      </c>
      <c r="E360" s="4" t="e">
        <f>INDEX(Employee!F:F,MATCH(AK360,Employee!B:B,0))</f>
        <v>#N/A</v>
      </c>
      <c r="F360" s="4" t="e">
        <f>INDEX(Employee!G:G,MATCH(AK360,Employee!B:B,0))</f>
        <v>#N/A</v>
      </c>
      <c r="G360" s="4" t="s">
        <v>15</v>
      </c>
      <c r="H360" s="4"/>
      <c r="I360" s="4" t="str">
        <f t="shared" si="24"/>
        <v>CAB0042</v>
      </c>
      <c r="J360" s="4" t="s">
        <v>678</v>
      </c>
      <c r="K360" s="4" t="s">
        <v>679</v>
      </c>
      <c r="L360" s="4"/>
      <c r="M360" s="4"/>
      <c r="N360" s="13" t="b">
        <v>0</v>
      </c>
      <c r="O360" s="13" t="b">
        <v>0</v>
      </c>
      <c r="P360" s="4"/>
      <c r="Q360" s="14" t="s">
        <v>752</v>
      </c>
      <c r="R360" s="4" t="s">
        <v>753</v>
      </c>
      <c r="S360" s="10">
        <v>769000</v>
      </c>
      <c r="T360" s="4" t="e">
        <f>INDEX(Employee!#REF!,MATCH(U360,Employee!#REF!,0))</f>
        <v>#REF!</v>
      </c>
      <c r="U360" s="4" t="s">
        <v>292</v>
      </c>
      <c r="V360" s="4" t="e">
        <f>INDEX(Employee!#REF!,MATCH(U360,Employee!#REF!,0))</f>
        <v>#REF!</v>
      </c>
      <c r="W360" s="4" t="e">
        <f>INDEX(Employee!#REF!,MATCH(U360,Employee!#REF!,0))</f>
        <v>#REF!</v>
      </c>
      <c r="X360" s="4" t="e">
        <f>INDEX(Employee!#REF!,MATCH(U360,Employee!#REF!,0))</f>
        <v>#REF!</v>
      </c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 t="e">
        <f>INDEX(Employee!C:C,MATCH(AK360,Employee!B:B,0))</f>
        <v>#N/A</v>
      </c>
      <c r="AK360" s="4"/>
      <c r="AL360" s="4" t="e">
        <f>INDEX(Employee!D:D,MATCH(AK360,Employee!B:B,0))</f>
        <v>#N/A</v>
      </c>
      <c r="AM360" s="4" t="e">
        <f>INDEX(Employee!F:F,MATCH(AK360,Employee!B:B,0))</f>
        <v>#N/A</v>
      </c>
      <c r="AN360" s="4" t="e">
        <f>INDEX(Employee!H:H,MATCH(AK360,Employee!B:B,0))</f>
        <v>#N/A</v>
      </c>
      <c r="AO360" s="4"/>
      <c r="AP360" s="4"/>
      <c r="AQ360" s="4"/>
      <c r="AR360" s="4"/>
      <c r="AS360" s="4"/>
      <c r="CH360" s="6"/>
      <c r="CX360" s="6"/>
    </row>
    <row r="361" spans="1:102" hidden="1">
      <c r="A361" s="3">
        <f t="shared" si="25"/>
        <v>360</v>
      </c>
      <c r="B361" s="4" t="s">
        <v>22</v>
      </c>
      <c r="C361" s="4" t="s">
        <v>4</v>
      </c>
      <c r="D361" s="4" t="e">
        <f>INDEX(Employee!E:E,MATCH(AK361,Employee!B:B,0))</f>
        <v>#N/A</v>
      </c>
      <c r="E361" s="4" t="e">
        <f>INDEX(Employee!F:F,MATCH(AK361,Employee!B:B,0))</f>
        <v>#N/A</v>
      </c>
      <c r="F361" s="4" t="e">
        <f>INDEX(Employee!G:G,MATCH(AK361,Employee!B:B,0))</f>
        <v>#N/A</v>
      </c>
      <c r="G361" s="4" t="s">
        <v>15</v>
      </c>
      <c r="H361" s="4"/>
      <c r="I361" s="4" t="str">
        <f t="shared" si="24"/>
        <v>CAB0043</v>
      </c>
      <c r="J361" s="4" t="s">
        <v>678</v>
      </c>
      <c r="K361" s="4" t="s">
        <v>679</v>
      </c>
      <c r="L361" s="4"/>
      <c r="M361" s="4"/>
      <c r="N361" s="13" t="b">
        <v>0</v>
      </c>
      <c r="O361" s="13" t="b">
        <v>0</v>
      </c>
      <c r="P361" s="4"/>
      <c r="Q361" s="14" t="s">
        <v>752</v>
      </c>
      <c r="R361" s="4" t="s">
        <v>753</v>
      </c>
      <c r="S361" s="10">
        <v>769000</v>
      </c>
      <c r="T361" s="4" t="e">
        <f>INDEX(Employee!#REF!,MATCH(U361,Employee!#REF!,0))</f>
        <v>#REF!</v>
      </c>
      <c r="U361" s="4" t="s">
        <v>292</v>
      </c>
      <c r="V361" s="4" t="e">
        <f>INDEX(Employee!#REF!,MATCH(U361,Employee!#REF!,0))</f>
        <v>#REF!</v>
      </c>
      <c r="W361" s="4" t="e">
        <f>INDEX(Employee!#REF!,MATCH(U361,Employee!#REF!,0))</f>
        <v>#REF!</v>
      </c>
      <c r="X361" s="4" t="e">
        <f>INDEX(Employee!#REF!,MATCH(U361,Employee!#REF!,0))</f>
        <v>#REF!</v>
      </c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 t="e">
        <f>INDEX(Employee!C:C,MATCH(AK361,Employee!B:B,0))</f>
        <v>#N/A</v>
      </c>
      <c r="AK361" s="4"/>
      <c r="AL361" s="4" t="e">
        <f>INDEX(Employee!D:D,MATCH(AK361,Employee!B:B,0))</f>
        <v>#N/A</v>
      </c>
      <c r="AM361" s="4" t="e">
        <f>INDEX(Employee!F:F,MATCH(AK361,Employee!B:B,0))</f>
        <v>#N/A</v>
      </c>
      <c r="AN361" s="4" t="e">
        <f>INDEX(Employee!H:H,MATCH(AK361,Employee!B:B,0))</f>
        <v>#N/A</v>
      </c>
      <c r="AO361" s="4"/>
      <c r="AP361" s="4"/>
      <c r="AQ361" s="4"/>
      <c r="AR361" s="4"/>
      <c r="AS361" s="4"/>
      <c r="CH361" s="6"/>
      <c r="CX361" s="6"/>
    </row>
    <row r="362" spans="1:102" hidden="1">
      <c r="A362" s="3">
        <f t="shared" si="25"/>
        <v>361</v>
      </c>
      <c r="B362" s="4" t="s">
        <v>22</v>
      </c>
      <c r="C362" s="4" t="s">
        <v>3</v>
      </c>
      <c r="D362" s="4" t="str">
        <f>INDEX(Employee!E:E,MATCH(AK362,Employee!B:B,0))</f>
        <v>Project</v>
      </c>
      <c r="E362" s="4" t="str">
        <f>INDEX(Employee!F:F,MATCH(AK362,Employee!B:B,0))</f>
        <v>Tech</v>
      </c>
      <c r="F362" s="4" t="str">
        <f>INDEX(Employee!G:G,MATCH(AK362,Employee!B:B,0))</f>
        <v>Venture</v>
      </c>
      <c r="G362" s="4" t="s">
        <v>15</v>
      </c>
      <c r="H362" s="4"/>
      <c r="I362" s="4" t="str">
        <f t="shared" si="24"/>
        <v>CAB0044</v>
      </c>
      <c r="J362" s="4" t="s">
        <v>678</v>
      </c>
      <c r="K362" s="4" t="s">
        <v>679</v>
      </c>
      <c r="L362" s="4"/>
      <c r="M362" s="4"/>
      <c r="N362" s="13" t="b">
        <v>0</v>
      </c>
      <c r="O362" s="13" t="b">
        <v>0</v>
      </c>
      <c r="P362" s="4"/>
      <c r="Q362" s="14" t="s">
        <v>752</v>
      </c>
      <c r="R362" s="4" t="s">
        <v>753</v>
      </c>
      <c r="S362" s="10">
        <v>769000</v>
      </c>
      <c r="T362" s="4" t="e">
        <f>INDEX(Employee!#REF!,MATCH(U362,Employee!#REF!,0))</f>
        <v>#REF!</v>
      </c>
      <c r="U362" s="4" t="s">
        <v>292</v>
      </c>
      <c r="V362" s="4" t="e">
        <f>INDEX(Employee!#REF!,MATCH(U362,Employee!#REF!,0))</f>
        <v>#REF!</v>
      </c>
      <c r="W362" s="4" t="e">
        <f>INDEX(Employee!#REF!,MATCH(U362,Employee!#REF!,0))</f>
        <v>#REF!</v>
      </c>
      <c r="X362" s="4" t="e">
        <f>INDEX(Employee!#REF!,MATCH(U362,Employee!#REF!,0))</f>
        <v>#REF!</v>
      </c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 t="str">
        <f>INDEX(Employee!C:C,MATCH(AK362,Employee!B:B,0))</f>
        <v>Lê Cao Long Nhật</v>
      </c>
      <c r="AK362" s="4" t="s">
        <v>425</v>
      </c>
      <c r="AL362" s="4" t="str">
        <f>INDEX(Employee!D:D,MATCH(AK362,Employee!B:B,0))</f>
        <v>Project Manager</v>
      </c>
      <c r="AM362" s="4" t="str">
        <f>INDEX(Employee!F:F,MATCH(AK362,Employee!B:B,0))</f>
        <v>Tech</v>
      </c>
      <c r="AN362" s="4" t="str">
        <f>INDEX(Employee!H:H,MATCH(AK362,Employee!B:B,0))</f>
        <v>Nguyễn Khánh Vy</v>
      </c>
      <c r="AO362" s="4"/>
      <c r="AP362" s="4"/>
      <c r="AQ362" s="4"/>
      <c r="AR362" s="4"/>
      <c r="AS362" s="4"/>
      <c r="CH362" s="6"/>
      <c r="CX362" s="6"/>
    </row>
    <row r="363" spans="1:102" hidden="1">
      <c r="A363" s="3">
        <f t="shared" si="25"/>
        <v>362</v>
      </c>
      <c r="B363" s="4" t="s">
        <v>22</v>
      </c>
      <c r="C363" s="4" t="s">
        <v>4</v>
      </c>
      <c r="D363" s="4" t="e">
        <f>INDEX(Employee!E:E,MATCH(AK363,Employee!B:B,0))</f>
        <v>#N/A</v>
      </c>
      <c r="E363" s="4" t="e">
        <f>INDEX(Employee!F:F,MATCH(AK363,Employee!B:B,0))</f>
        <v>#N/A</v>
      </c>
      <c r="F363" s="4" t="e">
        <f>INDEX(Employee!G:G,MATCH(AK363,Employee!B:B,0))</f>
        <v>#N/A</v>
      </c>
      <c r="G363" s="4" t="s">
        <v>15</v>
      </c>
      <c r="H363" s="4"/>
      <c r="I363" s="4" t="str">
        <f t="shared" si="24"/>
        <v>CAB0045</v>
      </c>
      <c r="J363" s="4" t="s">
        <v>678</v>
      </c>
      <c r="K363" s="4" t="s">
        <v>679</v>
      </c>
      <c r="L363" s="4"/>
      <c r="M363" s="4"/>
      <c r="N363" s="13" t="b">
        <v>0</v>
      </c>
      <c r="O363" s="13" t="b">
        <v>0</v>
      </c>
      <c r="P363" s="4"/>
      <c r="Q363" s="14" t="s">
        <v>752</v>
      </c>
      <c r="R363" s="4" t="s">
        <v>753</v>
      </c>
      <c r="S363" s="10">
        <v>769000</v>
      </c>
      <c r="T363" s="4" t="e">
        <f>INDEX(Employee!#REF!,MATCH(U363,Employee!#REF!,0))</f>
        <v>#REF!</v>
      </c>
      <c r="U363" s="4" t="s">
        <v>292</v>
      </c>
      <c r="V363" s="4" t="e">
        <f>INDEX(Employee!#REF!,MATCH(U363,Employee!#REF!,0))</f>
        <v>#REF!</v>
      </c>
      <c r="W363" s="4" t="e">
        <f>INDEX(Employee!#REF!,MATCH(U363,Employee!#REF!,0))</f>
        <v>#REF!</v>
      </c>
      <c r="X363" s="4" t="e">
        <f>INDEX(Employee!#REF!,MATCH(U363,Employee!#REF!,0))</f>
        <v>#REF!</v>
      </c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 t="e">
        <f>INDEX(Employee!C:C,MATCH(AK363,Employee!B:B,0))</f>
        <v>#N/A</v>
      </c>
      <c r="AK363" s="4"/>
      <c r="AL363" s="4" t="e">
        <f>INDEX(Employee!D:D,MATCH(AK363,Employee!B:B,0))</f>
        <v>#N/A</v>
      </c>
      <c r="AM363" s="4" t="e">
        <f>INDEX(Employee!F:F,MATCH(AK363,Employee!B:B,0))</f>
        <v>#N/A</v>
      </c>
      <c r="AN363" s="4" t="e">
        <f>INDEX(Employee!H:H,MATCH(AK363,Employee!B:B,0))</f>
        <v>#N/A</v>
      </c>
      <c r="AO363" s="4"/>
      <c r="AP363" s="4"/>
      <c r="AQ363" s="4"/>
      <c r="AR363" s="4"/>
      <c r="AS363" s="4"/>
      <c r="CH363" s="6"/>
      <c r="CX363" s="6"/>
    </row>
    <row r="364" spans="1:102" hidden="1">
      <c r="A364" s="3">
        <f t="shared" si="25"/>
        <v>363</v>
      </c>
      <c r="B364" s="4" t="s">
        <v>22</v>
      </c>
      <c r="C364" s="4" t="s">
        <v>4</v>
      </c>
      <c r="D364" s="4" t="e">
        <f>INDEX(Employee!E:E,MATCH(AK364,Employee!B:B,0))</f>
        <v>#N/A</v>
      </c>
      <c r="E364" s="4" t="e">
        <f>INDEX(Employee!F:F,MATCH(AK364,Employee!B:B,0))</f>
        <v>#N/A</v>
      </c>
      <c r="F364" s="4" t="e">
        <f>INDEX(Employee!G:G,MATCH(AK364,Employee!B:B,0))</f>
        <v>#N/A</v>
      </c>
      <c r="G364" s="4" t="s">
        <v>15</v>
      </c>
      <c r="H364" s="4"/>
      <c r="I364" s="4" t="str">
        <f t="shared" si="24"/>
        <v>CAB0046</v>
      </c>
      <c r="J364" s="4" t="s">
        <v>678</v>
      </c>
      <c r="K364" s="4" t="s">
        <v>679</v>
      </c>
      <c r="L364" s="4"/>
      <c r="M364" s="4"/>
      <c r="N364" s="13" t="b">
        <v>0</v>
      </c>
      <c r="O364" s="13" t="b">
        <v>0</v>
      </c>
      <c r="P364" s="4"/>
      <c r="Q364" s="14" t="s">
        <v>752</v>
      </c>
      <c r="R364" s="4" t="s">
        <v>753</v>
      </c>
      <c r="S364" s="10">
        <v>769000</v>
      </c>
      <c r="T364" s="4" t="e">
        <f>INDEX(Employee!#REF!,MATCH(U364,Employee!#REF!,0))</f>
        <v>#REF!</v>
      </c>
      <c r="U364" s="4" t="s">
        <v>292</v>
      </c>
      <c r="V364" s="4" t="e">
        <f>INDEX(Employee!#REF!,MATCH(U364,Employee!#REF!,0))</f>
        <v>#REF!</v>
      </c>
      <c r="W364" s="4" t="e">
        <f>INDEX(Employee!#REF!,MATCH(U364,Employee!#REF!,0))</f>
        <v>#REF!</v>
      </c>
      <c r="X364" s="4" t="e">
        <f>INDEX(Employee!#REF!,MATCH(U364,Employee!#REF!,0))</f>
        <v>#REF!</v>
      </c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 t="e">
        <f>INDEX(Employee!C:C,MATCH(AK364,Employee!B:B,0))</f>
        <v>#N/A</v>
      </c>
      <c r="AK364" s="4"/>
      <c r="AL364" s="4" t="e">
        <f>INDEX(Employee!D:D,MATCH(AK364,Employee!B:B,0))</f>
        <v>#N/A</v>
      </c>
      <c r="AM364" s="4" t="e">
        <f>INDEX(Employee!F:F,MATCH(AK364,Employee!B:B,0))</f>
        <v>#N/A</v>
      </c>
      <c r="AN364" s="4" t="e">
        <f>INDEX(Employee!H:H,MATCH(AK364,Employee!B:B,0))</f>
        <v>#N/A</v>
      </c>
      <c r="AO364" s="4"/>
      <c r="AP364" s="4"/>
      <c r="AQ364" s="4"/>
      <c r="AR364" s="4"/>
      <c r="AS364" s="4"/>
      <c r="CH364" s="6"/>
      <c r="CX364" s="6"/>
    </row>
    <row r="365" spans="1:102" hidden="1">
      <c r="A365" s="3">
        <f t="shared" si="25"/>
        <v>364</v>
      </c>
      <c r="B365" s="4" t="s">
        <v>22</v>
      </c>
      <c r="C365" s="4" t="s">
        <v>4</v>
      </c>
      <c r="D365" s="4" t="e">
        <f>INDEX(Employee!E:E,MATCH(AK365,Employee!B:B,0))</f>
        <v>#N/A</v>
      </c>
      <c r="E365" s="4" t="e">
        <f>INDEX(Employee!F:F,MATCH(AK365,Employee!B:B,0))</f>
        <v>#N/A</v>
      </c>
      <c r="F365" s="4" t="e">
        <f>INDEX(Employee!G:G,MATCH(AK365,Employee!B:B,0))</f>
        <v>#N/A</v>
      </c>
      <c r="G365" s="4" t="s">
        <v>15</v>
      </c>
      <c r="H365" s="4"/>
      <c r="I365" s="4" t="str">
        <f t="shared" si="24"/>
        <v>CAB0047</v>
      </c>
      <c r="J365" s="4" t="s">
        <v>678</v>
      </c>
      <c r="K365" s="4" t="s">
        <v>679</v>
      </c>
      <c r="L365" s="4"/>
      <c r="M365" s="4"/>
      <c r="N365" s="13" t="b">
        <v>0</v>
      </c>
      <c r="O365" s="13" t="b">
        <v>0</v>
      </c>
      <c r="P365" s="4"/>
      <c r="Q365" s="14" t="s">
        <v>752</v>
      </c>
      <c r="R365" s="4" t="s">
        <v>753</v>
      </c>
      <c r="S365" s="10">
        <v>769000</v>
      </c>
      <c r="T365" s="4" t="e">
        <f>INDEX(Employee!#REF!,MATCH(U365,Employee!#REF!,0))</f>
        <v>#REF!</v>
      </c>
      <c r="U365" s="4" t="s">
        <v>292</v>
      </c>
      <c r="V365" s="4" t="e">
        <f>INDEX(Employee!#REF!,MATCH(U365,Employee!#REF!,0))</f>
        <v>#REF!</v>
      </c>
      <c r="W365" s="4" t="e">
        <f>INDEX(Employee!#REF!,MATCH(U365,Employee!#REF!,0))</f>
        <v>#REF!</v>
      </c>
      <c r="X365" s="4" t="e">
        <f>INDEX(Employee!#REF!,MATCH(U365,Employee!#REF!,0))</f>
        <v>#REF!</v>
      </c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 t="e">
        <f>INDEX(Employee!C:C,MATCH(AK365,Employee!B:B,0))</f>
        <v>#N/A</v>
      </c>
      <c r="AK365" s="4"/>
      <c r="AL365" s="4" t="e">
        <f>INDEX(Employee!D:D,MATCH(AK365,Employee!B:B,0))</f>
        <v>#N/A</v>
      </c>
      <c r="AM365" s="4" t="e">
        <f>INDEX(Employee!F:F,MATCH(AK365,Employee!B:B,0))</f>
        <v>#N/A</v>
      </c>
      <c r="AN365" s="4" t="e">
        <f>INDEX(Employee!H:H,MATCH(AK365,Employee!B:B,0))</f>
        <v>#N/A</v>
      </c>
      <c r="AO365" s="4"/>
      <c r="AP365" s="4"/>
      <c r="AQ365" s="4"/>
      <c r="AR365" s="4"/>
      <c r="AS365" s="4"/>
      <c r="CH365" s="6"/>
      <c r="CX365" s="6"/>
    </row>
    <row r="366" spans="1:102" hidden="1">
      <c r="A366" s="3">
        <f t="shared" si="25"/>
        <v>365</v>
      </c>
      <c r="B366" s="4" t="s">
        <v>22</v>
      </c>
      <c r="C366" s="4" t="s">
        <v>4</v>
      </c>
      <c r="D366" s="4" t="e">
        <f>INDEX(Employee!E:E,MATCH(AK366,Employee!B:B,0))</f>
        <v>#N/A</v>
      </c>
      <c r="E366" s="4" t="e">
        <f>INDEX(Employee!F:F,MATCH(AK366,Employee!B:B,0))</f>
        <v>#N/A</v>
      </c>
      <c r="F366" s="4" t="e">
        <f>INDEX(Employee!G:G,MATCH(AK366,Employee!B:B,0))</f>
        <v>#N/A</v>
      </c>
      <c r="G366" s="4" t="s">
        <v>15</v>
      </c>
      <c r="H366" s="4"/>
      <c r="I366" s="4" t="str">
        <f t="shared" si="24"/>
        <v>CAB0048</v>
      </c>
      <c r="J366" s="4" t="s">
        <v>678</v>
      </c>
      <c r="K366" s="4" t="s">
        <v>679</v>
      </c>
      <c r="L366" s="4"/>
      <c r="M366" s="4"/>
      <c r="N366" s="13" t="b">
        <v>0</v>
      </c>
      <c r="O366" s="13" t="b">
        <v>0</v>
      </c>
      <c r="P366" s="4"/>
      <c r="Q366" s="14" t="s">
        <v>752</v>
      </c>
      <c r="R366" s="4" t="s">
        <v>753</v>
      </c>
      <c r="S366" s="10">
        <v>769000</v>
      </c>
      <c r="T366" s="4" t="e">
        <f>INDEX(Employee!#REF!,MATCH(U366,Employee!#REF!,0))</f>
        <v>#REF!</v>
      </c>
      <c r="U366" s="4" t="s">
        <v>292</v>
      </c>
      <c r="V366" s="4" t="e">
        <f>INDEX(Employee!#REF!,MATCH(U366,Employee!#REF!,0))</f>
        <v>#REF!</v>
      </c>
      <c r="W366" s="4" t="e">
        <f>INDEX(Employee!#REF!,MATCH(U366,Employee!#REF!,0))</f>
        <v>#REF!</v>
      </c>
      <c r="X366" s="4" t="e">
        <f>INDEX(Employee!#REF!,MATCH(U366,Employee!#REF!,0))</f>
        <v>#REF!</v>
      </c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 t="e">
        <f>INDEX(Employee!C:C,MATCH(AK366,Employee!B:B,0))</f>
        <v>#N/A</v>
      </c>
      <c r="AK366" s="4"/>
      <c r="AL366" s="4" t="e">
        <f>INDEX(Employee!D:D,MATCH(AK366,Employee!B:B,0))</f>
        <v>#N/A</v>
      </c>
      <c r="AM366" s="4" t="e">
        <f>INDEX(Employee!F:F,MATCH(AK366,Employee!B:B,0))</f>
        <v>#N/A</v>
      </c>
      <c r="AN366" s="4" t="e">
        <f>INDEX(Employee!H:H,MATCH(AK366,Employee!B:B,0))</f>
        <v>#N/A</v>
      </c>
      <c r="AO366" s="4"/>
      <c r="AP366" s="4"/>
      <c r="AQ366" s="4"/>
      <c r="AR366" s="4"/>
      <c r="AS366" s="4"/>
      <c r="CH366" s="6"/>
      <c r="CX366" s="6"/>
    </row>
    <row r="367" spans="1:102" hidden="1">
      <c r="A367" s="3">
        <f t="shared" si="25"/>
        <v>366</v>
      </c>
      <c r="B367" s="4" t="s">
        <v>22</v>
      </c>
      <c r="C367" s="4" t="s">
        <v>4</v>
      </c>
      <c r="D367" s="4" t="e">
        <f>INDEX(Employee!E:E,MATCH(AK367,Employee!B:B,0))</f>
        <v>#N/A</v>
      </c>
      <c r="E367" s="4" t="e">
        <f>INDEX(Employee!F:F,MATCH(AK367,Employee!B:B,0))</f>
        <v>#N/A</v>
      </c>
      <c r="F367" s="4" t="e">
        <f>INDEX(Employee!G:G,MATCH(AK367,Employee!B:B,0))</f>
        <v>#N/A</v>
      </c>
      <c r="G367" s="4" t="s">
        <v>15</v>
      </c>
      <c r="H367" s="4"/>
      <c r="I367" s="4" t="str">
        <f t="shared" si="24"/>
        <v>CAB0049</v>
      </c>
      <c r="J367" s="4" t="s">
        <v>678</v>
      </c>
      <c r="K367" s="4" t="s">
        <v>679</v>
      </c>
      <c r="L367" s="4"/>
      <c r="M367" s="4"/>
      <c r="N367" s="13" t="b">
        <v>0</v>
      </c>
      <c r="O367" s="13" t="b">
        <v>0</v>
      </c>
      <c r="P367" s="4"/>
      <c r="Q367" s="14" t="s">
        <v>752</v>
      </c>
      <c r="R367" s="4" t="s">
        <v>753</v>
      </c>
      <c r="S367" s="10">
        <v>769000</v>
      </c>
      <c r="T367" s="4" t="e">
        <f>INDEX(Employee!#REF!,MATCH(U367,Employee!#REF!,0))</f>
        <v>#REF!</v>
      </c>
      <c r="U367" s="4" t="s">
        <v>292</v>
      </c>
      <c r="V367" s="4" t="e">
        <f>INDEX(Employee!#REF!,MATCH(U367,Employee!#REF!,0))</f>
        <v>#REF!</v>
      </c>
      <c r="W367" s="4" t="e">
        <f>INDEX(Employee!#REF!,MATCH(U367,Employee!#REF!,0))</f>
        <v>#REF!</v>
      </c>
      <c r="X367" s="4" t="e">
        <f>INDEX(Employee!#REF!,MATCH(U367,Employee!#REF!,0))</f>
        <v>#REF!</v>
      </c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 t="e">
        <f>INDEX(Employee!C:C,MATCH(AK367,Employee!B:B,0))</f>
        <v>#N/A</v>
      </c>
      <c r="AK367" s="4"/>
      <c r="AL367" s="4" t="e">
        <f>INDEX(Employee!D:D,MATCH(AK367,Employee!B:B,0))</f>
        <v>#N/A</v>
      </c>
      <c r="AM367" s="4" t="e">
        <f>INDEX(Employee!F:F,MATCH(AK367,Employee!B:B,0))</f>
        <v>#N/A</v>
      </c>
      <c r="AN367" s="4" t="e">
        <f>INDEX(Employee!H:H,MATCH(AK367,Employee!B:B,0))</f>
        <v>#N/A</v>
      </c>
      <c r="AO367" s="4"/>
      <c r="AP367" s="4"/>
      <c r="AQ367" s="4"/>
      <c r="AR367" s="4"/>
      <c r="AS367" s="4"/>
      <c r="CH367" s="6"/>
      <c r="CX367" s="6"/>
    </row>
    <row r="368" spans="1:102" hidden="1">
      <c r="A368" s="3">
        <f t="shared" si="25"/>
        <v>367</v>
      </c>
      <c r="B368" s="4" t="s">
        <v>22</v>
      </c>
      <c r="C368" s="4" t="s">
        <v>3</v>
      </c>
      <c r="D368" s="4">
        <f>INDEX(Employee!E:E,MATCH(AK368,Employee!B:B,0))</f>
        <v>0</v>
      </c>
      <c r="E368" s="4" t="str">
        <f>INDEX(Employee!F:F,MATCH(AK368,Employee!B:B,0))</f>
        <v>Tech</v>
      </c>
      <c r="F368" s="4">
        <f>INDEX(Employee!G:G,MATCH(AK368,Employee!B:B,0))</f>
        <v>0</v>
      </c>
      <c r="G368" s="4" t="s">
        <v>119</v>
      </c>
      <c r="H368" s="4"/>
      <c r="I368" s="4" t="str">
        <f t="shared" si="24"/>
        <v>CAB0050</v>
      </c>
      <c r="J368" s="4" t="s">
        <v>678</v>
      </c>
      <c r="K368" s="4" t="s">
        <v>679</v>
      </c>
      <c r="L368" s="4"/>
      <c r="M368" s="4"/>
      <c r="N368" s="13" t="b">
        <v>0</v>
      </c>
      <c r="O368" s="13" t="b">
        <v>0</v>
      </c>
      <c r="P368" s="4"/>
      <c r="Q368" s="14" t="s">
        <v>752</v>
      </c>
      <c r="R368" s="4" t="s">
        <v>753</v>
      </c>
      <c r="S368" s="10">
        <v>769000</v>
      </c>
      <c r="T368" s="4" t="e">
        <f>INDEX(Employee!#REF!,MATCH(U368,Employee!#REF!,0))</f>
        <v>#REF!</v>
      </c>
      <c r="U368" s="4" t="s">
        <v>292</v>
      </c>
      <c r="V368" s="4" t="e">
        <f>INDEX(Employee!#REF!,MATCH(U368,Employee!#REF!,0))</f>
        <v>#REF!</v>
      </c>
      <c r="W368" s="4" t="e">
        <f>INDEX(Employee!#REF!,MATCH(U368,Employee!#REF!,0))</f>
        <v>#REF!</v>
      </c>
      <c r="X368" s="4" t="e">
        <f>INDEX(Employee!#REF!,MATCH(U368,Employee!#REF!,0))</f>
        <v>#REF!</v>
      </c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 t="str">
        <f>INDEX(Employee!C:C,MATCH(AK368,Employee!B:B,0))</f>
        <v>Phạm Hồng Quốc Anh</v>
      </c>
      <c r="AK368" s="4" t="s">
        <v>513</v>
      </c>
      <c r="AL368" s="4" t="str">
        <f>INDEX(Employee!D:D,MATCH(AK368,Employee!B:B,0))</f>
        <v>Lead Software Engineer</v>
      </c>
      <c r="AM368" s="4" t="str">
        <f>INDEX(Employee!F:F,MATCH(AK368,Employee!B:B,0))</f>
        <v>Tech</v>
      </c>
      <c r="AN368" s="4" t="str">
        <f>INDEX(Employee!H:H,MATCH(AK368,Employee!B:B,0))</f>
        <v>Trần Triệu Dương (duongtt5)</v>
      </c>
      <c r="AO368" s="4"/>
      <c r="AP368" s="4"/>
      <c r="AQ368" s="4"/>
      <c r="AR368" s="4"/>
      <c r="AS368" s="4"/>
      <c r="CH368" s="6"/>
      <c r="CX368" s="6"/>
    </row>
    <row r="369" spans="1:102" hidden="1">
      <c r="A369" s="3">
        <f t="shared" si="25"/>
        <v>368</v>
      </c>
      <c r="B369" s="4" t="s">
        <v>22</v>
      </c>
      <c r="C369" s="4" t="s">
        <v>4</v>
      </c>
      <c r="D369" s="4" t="e">
        <f>INDEX(Employee!E:E,MATCH(AK369,Employee!B:B,0))</f>
        <v>#N/A</v>
      </c>
      <c r="E369" s="4" t="e">
        <f>INDEX(Employee!F:F,MATCH(AK369,Employee!B:B,0))</f>
        <v>#N/A</v>
      </c>
      <c r="F369" s="4" t="e">
        <f>INDEX(Employee!G:G,MATCH(AK369,Employee!B:B,0))</f>
        <v>#N/A</v>
      </c>
      <c r="G369" s="4" t="s">
        <v>15</v>
      </c>
      <c r="H369" s="4"/>
      <c r="I369" s="4" t="str">
        <f t="shared" si="24"/>
        <v>CAB0051</v>
      </c>
      <c r="J369" s="4" t="s">
        <v>678</v>
      </c>
      <c r="K369" s="4" t="s">
        <v>679</v>
      </c>
      <c r="L369" s="4"/>
      <c r="M369" s="4"/>
      <c r="N369" s="13" t="b">
        <v>0</v>
      </c>
      <c r="O369" s="13" t="b">
        <v>0</v>
      </c>
      <c r="P369" s="4"/>
      <c r="Q369" s="14" t="s">
        <v>752</v>
      </c>
      <c r="R369" s="4" t="s">
        <v>753</v>
      </c>
      <c r="S369" s="10">
        <v>769000</v>
      </c>
      <c r="T369" s="4" t="e">
        <f>INDEX(Employee!#REF!,MATCH(U369,Employee!#REF!,0))</f>
        <v>#REF!</v>
      </c>
      <c r="U369" s="4" t="s">
        <v>292</v>
      </c>
      <c r="V369" s="4" t="e">
        <f>INDEX(Employee!#REF!,MATCH(U369,Employee!#REF!,0))</f>
        <v>#REF!</v>
      </c>
      <c r="W369" s="4" t="e">
        <f>INDEX(Employee!#REF!,MATCH(U369,Employee!#REF!,0))</f>
        <v>#REF!</v>
      </c>
      <c r="X369" s="4" t="e">
        <f>INDEX(Employee!#REF!,MATCH(U369,Employee!#REF!,0))</f>
        <v>#REF!</v>
      </c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 t="e">
        <f>INDEX(Employee!C:C,MATCH(AK369,Employee!B:B,0))</f>
        <v>#N/A</v>
      </c>
      <c r="AK369" s="4"/>
      <c r="AL369" s="4" t="e">
        <f>INDEX(Employee!D:D,MATCH(AK369,Employee!B:B,0))</f>
        <v>#N/A</v>
      </c>
      <c r="AM369" s="4" t="e">
        <f>INDEX(Employee!F:F,MATCH(AK369,Employee!B:B,0))</f>
        <v>#N/A</v>
      </c>
      <c r="AN369" s="4" t="e">
        <f>INDEX(Employee!H:H,MATCH(AK369,Employee!B:B,0))</f>
        <v>#N/A</v>
      </c>
      <c r="AO369" s="4"/>
      <c r="AP369" s="4"/>
      <c r="AQ369" s="4"/>
      <c r="AR369" s="4"/>
      <c r="AS369" s="4"/>
      <c r="CH369" s="6"/>
      <c r="CX369" s="6"/>
    </row>
    <row r="370" spans="1:102" hidden="1">
      <c r="A370" s="3">
        <f t="shared" si="25"/>
        <v>369</v>
      </c>
      <c r="B370" s="4" t="s">
        <v>22</v>
      </c>
      <c r="C370" s="4" t="s">
        <v>4</v>
      </c>
      <c r="D370" s="4" t="e">
        <f>INDEX(Employee!E:E,MATCH(AK370,Employee!B:B,0))</f>
        <v>#N/A</v>
      </c>
      <c r="E370" s="4" t="e">
        <f>INDEX(Employee!F:F,MATCH(AK370,Employee!B:B,0))</f>
        <v>#N/A</v>
      </c>
      <c r="F370" s="4" t="e">
        <f>INDEX(Employee!G:G,MATCH(AK370,Employee!B:B,0))</f>
        <v>#N/A</v>
      </c>
      <c r="G370" s="4" t="s">
        <v>15</v>
      </c>
      <c r="H370" s="4"/>
      <c r="I370" s="4" t="str">
        <f t="shared" si="24"/>
        <v>CAB0052</v>
      </c>
      <c r="J370" s="4" t="s">
        <v>678</v>
      </c>
      <c r="K370" s="4" t="s">
        <v>679</v>
      </c>
      <c r="L370" s="4"/>
      <c r="M370" s="4"/>
      <c r="N370" s="13" t="b">
        <v>0</v>
      </c>
      <c r="O370" s="13" t="b">
        <v>0</v>
      </c>
      <c r="P370" s="4"/>
      <c r="Q370" s="14" t="s">
        <v>752</v>
      </c>
      <c r="R370" s="4" t="s">
        <v>753</v>
      </c>
      <c r="S370" s="10">
        <v>769000</v>
      </c>
      <c r="T370" s="4" t="e">
        <f>INDEX(Employee!#REF!,MATCH(U370,Employee!#REF!,0))</f>
        <v>#REF!</v>
      </c>
      <c r="U370" s="4" t="s">
        <v>292</v>
      </c>
      <c r="V370" s="4" t="e">
        <f>INDEX(Employee!#REF!,MATCH(U370,Employee!#REF!,0))</f>
        <v>#REF!</v>
      </c>
      <c r="W370" s="4" t="e">
        <f>INDEX(Employee!#REF!,MATCH(U370,Employee!#REF!,0))</f>
        <v>#REF!</v>
      </c>
      <c r="X370" s="4" t="e">
        <f>INDEX(Employee!#REF!,MATCH(U370,Employee!#REF!,0))</f>
        <v>#REF!</v>
      </c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 t="e">
        <f>INDEX(Employee!C:C,MATCH(AK370,Employee!B:B,0))</f>
        <v>#N/A</v>
      </c>
      <c r="AK370" s="4"/>
      <c r="AL370" s="4" t="e">
        <f>INDEX(Employee!D:D,MATCH(AK370,Employee!B:B,0))</f>
        <v>#N/A</v>
      </c>
      <c r="AM370" s="4" t="e">
        <f>INDEX(Employee!F:F,MATCH(AK370,Employee!B:B,0))</f>
        <v>#N/A</v>
      </c>
      <c r="AN370" s="4" t="e">
        <f>INDEX(Employee!H:H,MATCH(AK370,Employee!B:B,0))</f>
        <v>#N/A</v>
      </c>
      <c r="AO370" s="4"/>
      <c r="AP370" s="4"/>
      <c r="AQ370" s="4"/>
      <c r="AR370" s="4"/>
      <c r="AS370" s="4"/>
      <c r="CH370" s="6"/>
      <c r="CX370" s="6"/>
    </row>
    <row r="371" spans="1:102" hidden="1">
      <c r="A371" s="3">
        <f t="shared" si="25"/>
        <v>370</v>
      </c>
      <c r="B371" s="4" t="s">
        <v>22</v>
      </c>
      <c r="C371" s="4" t="s">
        <v>4</v>
      </c>
      <c r="D371" s="4" t="e">
        <f>INDEX(Employee!E:E,MATCH(AK371,Employee!B:B,0))</f>
        <v>#N/A</v>
      </c>
      <c r="E371" s="4" t="e">
        <f>INDEX(Employee!F:F,MATCH(AK371,Employee!B:B,0))</f>
        <v>#N/A</v>
      </c>
      <c r="F371" s="4" t="e">
        <f>INDEX(Employee!G:G,MATCH(AK371,Employee!B:B,0))</f>
        <v>#N/A</v>
      </c>
      <c r="G371" s="4" t="s">
        <v>15</v>
      </c>
      <c r="H371" s="4"/>
      <c r="I371" s="4" t="str">
        <f t="shared" si="24"/>
        <v>CAB0053</v>
      </c>
      <c r="J371" s="4" t="s">
        <v>678</v>
      </c>
      <c r="K371" s="4" t="s">
        <v>679</v>
      </c>
      <c r="L371" s="4"/>
      <c r="M371" s="4"/>
      <c r="N371" s="13" t="b">
        <v>0</v>
      </c>
      <c r="O371" s="13" t="b">
        <v>0</v>
      </c>
      <c r="P371" s="4"/>
      <c r="Q371" s="14" t="s">
        <v>752</v>
      </c>
      <c r="R371" s="4" t="s">
        <v>753</v>
      </c>
      <c r="S371" s="10">
        <v>769000</v>
      </c>
      <c r="T371" s="4" t="e">
        <f>INDEX(Employee!#REF!,MATCH(U371,Employee!#REF!,0))</f>
        <v>#REF!</v>
      </c>
      <c r="U371" s="4" t="s">
        <v>292</v>
      </c>
      <c r="V371" s="4" t="e">
        <f>INDEX(Employee!#REF!,MATCH(U371,Employee!#REF!,0))</f>
        <v>#REF!</v>
      </c>
      <c r="W371" s="4" t="e">
        <f>INDEX(Employee!#REF!,MATCH(U371,Employee!#REF!,0))</f>
        <v>#REF!</v>
      </c>
      <c r="X371" s="4" t="e">
        <f>INDEX(Employee!#REF!,MATCH(U371,Employee!#REF!,0))</f>
        <v>#REF!</v>
      </c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 t="e">
        <f>INDEX(Employee!C:C,MATCH(AK371,Employee!B:B,0))</f>
        <v>#N/A</v>
      </c>
      <c r="AK371" s="4"/>
      <c r="AL371" s="4" t="e">
        <f>INDEX(Employee!D:D,MATCH(AK371,Employee!B:B,0))</f>
        <v>#N/A</v>
      </c>
      <c r="AM371" s="4" t="e">
        <f>INDEX(Employee!F:F,MATCH(AK371,Employee!B:B,0))</f>
        <v>#N/A</v>
      </c>
      <c r="AN371" s="4" t="e">
        <f>INDEX(Employee!H:H,MATCH(AK371,Employee!B:B,0))</f>
        <v>#N/A</v>
      </c>
      <c r="AO371" s="4"/>
      <c r="AP371" s="4"/>
      <c r="AQ371" s="4"/>
      <c r="AR371" s="4"/>
      <c r="AS371" s="4"/>
      <c r="CH371" s="6"/>
      <c r="CX371" s="6"/>
    </row>
    <row r="372" spans="1:102" hidden="1">
      <c r="A372" s="3">
        <f t="shared" si="25"/>
        <v>371</v>
      </c>
      <c r="B372" s="4" t="s">
        <v>22</v>
      </c>
      <c r="C372" s="4" t="s">
        <v>4</v>
      </c>
      <c r="D372" s="4" t="e">
        <f>INDEX(Employee!E:E,MATCH(AK372,Employee!B:B,0))</f>
        <v>#N/A</v>
      </c>
      <c r="E372" s="4" t="e">
        <f>INDEX(Employee!F:F,MATCH(AK372,Employee!B:B,0))</f>
        <v>#N/A</v>
      </c>
      <c r="F372" s="4" t="e">
        <f>INDEX(Employee!G:G,MATCH(AK372,Employee!B:B,0))</f>
        <v>#N/A</v>
      </c>
      <c r="G372" s="4" t="s">
        <v>15</v>
      </c>
      <c r="H372" s="4"/>
      <c r="I372" s="4" t="str">
        <f t="shared" si="24"/>
        <v>CAB0054</v>
      </c>
      <c r="J372" s="4" t="s">
        <v>678</v>
      </c>
      <c r="K372" s="4" t="s">
        <v>679</v>
      </c>
      <c r="L372" s="4"/>
      <c r="M372" s="4"/>
      <c r="N372" s="13" t="b">
        <v>0</v>
      </c>
      <c r="O372" s="13" t="b">
        <v>0</v>
      </c>
      <c r="P372" s="4"/>
      <c r="Q372" s="14" t="s">
        <v>752</v>
      </c>
      <c r="R372" s="4" t="s">
        <v>753</v>
      </c>
      <c r="S372" s="10">
        <v>769000</v>
      </c>
      <c r="T372" s="4" t="e">
        <f>INDEX(Employee!#REF!,MATCH(U372,Employee!#REF!,0))</f>
        <v>#REF!</v>
      </c>
      <c r="U372" s="4" t="s">
        <v>292</v>
      </c>
      <c r="V372" s="4" t="e">
        <f>INDEX(Employee!#REF!,MATCH(U372,Employee!#REF!,0))</f>
        <v>#REF!</v>
      </c>
      <c r="W372" s="4" t="e">
        <f>INDEX(Employee!#REF!,MATCH(U372,Employee!#REF!,0))</f>
        <v>#REF!</v>
      </c>
      <c r="X372" s="4" t="e">
        <f>INDEX(Employee!#REF!,MATCH(U372,Employee!#REF!,0))</f>
        <v>#REF!</v>
      </c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 t="e">
        <f>INDEX(Employee!C:C,MATCH(AK372,Employee!B:B,0))</f>
        <v>#N/A</v>
      </c>
      <c r="AK372" s="4"/>
      <c r="AL372" s="4" t="e">
        <f>INDEX(Employee!D:D,MATCH(AK372,Employee!B:B,0))</f>
        <v>#N/A</v>
      </c>
      <c r="AM372" s="4" t="e">
        <f>INDEX(Employee!F:F,MATCH(AK372,Employee!B:B,0))</f>
        <v>#N/A</v>
      </c>
      <c r="AN372" s="4" t="e">
        <f>INDEX(Employee!H:H,MATCH(AK372,Employee!B:B,0))</f>
        <v>#N/A</v>
      </c>
      <c r="AO372" s="4"/>
      <c r="AP372" s="4"/>
      <c r="AQ372" s="4"/>
      <c r="AR372" s="4"/>
      <c r="AS372" s="4"/>
      <c r="CH372" s="6"/>
      <c r="CX372" s="6"/>
    </row>
    <row r="373" spans="1:102" hidden="1">
      <c r="A373" s="3">
        <f t="shared" si="25"/>
        <v>372</v>
      </c>
      <c r="B373" s="4" t="s">
        <v>22</v>
      </c>
      <c r="C373" s="4" t="s">
        <v>4</v>
      </c>
      <c r="D373" s="4" t="e">
        <f>INDEX(Employee!E:E,MATCH(AK373,Employee!B:B,0))</f>
        <v>#N/A</v>
      </c>
      <c r="E373" s="4" t="e">
        <f>INDEX(Employee!F:F,MATCH(AK373,Employee!B:B,0))</f>
        <v>#N/A</v>
      </c>
      <c r="F373" s="4" t="e">
        <f>INDEX(Employee!G:G,MATCH(AK373,Employee!B:B,0))</f>
        <v>#N/A</v>
      </c>
      <c r="G373" s="4" t="s">
        <v>15</v>
      </c>
      <c r="H373" s="4"/>
      <c r="I373" s="4" t="str">
        <f t="shared" si="24"/>
        <v>CAB0055</v>
      </c>
      <c r="J373" s="4" t="s">
        <v>678</v>
      </c>
      <c r="K373" s="4" t="s">
        <v>679</v>
      </c>
      <c r="L373" s="4"/>
      <c r="M373" s="4"/>
      <c r="N373" s="13" t="b">
        <v>0</v>
      </c>
      <c r="O373" s="13" t="b">
        <v>0</v>
      </c>
      <c r="P373" s="4"/>
      <c r="Q373" s="14" t="s">
        <v>752</v>
      </c>
      <c r="R373" s="4" t="s">
        <v>753</v>
      </c>
      <c r="S373" s="10">
        <v>769000</v>
      </c>
      <c r="T373" s="4" t="e">
        <f>INDEX(Employee!#REF!,MATCH(U373,Employee!#REF!,0))</f>
        <v>#REF!</v>
      </c>
      <c r="U373" s="4" t="s">
        <v>292</v>
      </c>
      <c r="V373" s="4" t="e">
        <f>INDEX(Employee!#REF!,MATCH(U373,Employee!#REF!,0))</f>
        <v>#REF!</v>
      </c>
      <c r="W373" s="4" t="e">
        <f>INDEX(Employee!#REF!,MATCH(U373,Employee!#REF!,0))</f>
        <v>#REF!</v>
      </c>
      <c r="X373" s="4" t="e">
        <f>INDEX(Employee!#REF!,MATCH(U373,Employee!#REF!,0))</f>
        <v>#REF!</v>
      </c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 t="e">
        <f>INDEX(Employee!C:C,MATCH(AK373,Employee!B:B,0))</f>
        <v>#N/A</v>
      </c>
      <c r="AK373" s="4"/>
      <c r="AL373" s="4" t="e">
        <f>INDEX(Employee!D:D,MATCH(AK373,Employee!B:B,0))</f>
        <v>#N/A</v>
      </c>
      <c r="AM373" s="4" t="e">
        <f>INDEX(Employee!F:F,MATCH(AK373,Employee!B:B,0))</f>
        <v>#N/A</v>
      </c>
      <c r="AN373" s="4" t="e">
        <f>INDEX(Employee!H:H,MATCH(AK373,Employee!B:B,0))</f>
        <v>#N/A</v>
      </c>
      <c r="AO373" s="4"/>
      <c r="AP373" s="4"/>
      <c r="AQ373" s="4"/>
      <c r="AR373" s="4"/>
      <c r="AS373" s="4"/>
      <c r="CH373" s="6"/>
      <c r="CX373" s="6"/>
    </row>
    <row r="374" spans="1:102" hidden="1">
      <c r="A374" s="3">
        <f t="shared" si="25"/>
        <v>373</v>
      </c>
      <c r="B374" s="4" t="s">
        <v>22</v>
      </c>
      <c r="C374" s="4" t="s">
        <v>4</v>
      </c>
      <c r="D374" s="4" t="e">
        <f>INDEX(Employee!E:E,MATCH(AK374,Employee!B:B,0))</f>
        <v>#N/A</v>
      </c>
      <c r="E374" s="4" t="e">
        <f>INDEX(Employee!F:F,MATCH(AK374,Employee!B:B,0))</f>
        <v>#N/A</v>
      </c>
      <c r="F374" s="4" t="e">
        <f>INDEX(Employee!G:G,MATCH(AK374,Employee!B:B,0))</f>
        <v>#N/A</v>
      </c>
      <c r="G374" s="4" t="s">
        <v>15</v>
      </c>
      <c r="H374" s="4"/>
      <c r="I374" s="4" t="str">
        <f t="shared" si="24"/>
        <v>CAB0056</v>
      </c>
      <c r="J374" s="4" t="s">
        <v>678</v>
      </c>
      <c r="K374" s="4" t="s">
        <v>679</v>
      </c>
      <c r="L374" s="4"/>
      <c r="M374" s="4"/>
      <c r="N374" s="13" t="b">
        <v>0</v>
      </c>
      <c r="O374" s="13" t="b">
        <v>0</v>
      </c>
      <c r="P374" s="4"/>
      <c r="Q374" s="14" t="s">
        <v>752</v>
      </c>
      <c r="R374" s="4" t="s">
        <v>753</v>
      </c>
      <c r="S374" s="10">
        <v>769000</v>
      </c>
      <c r="T374" s="4" t="e">
        <f>INDEX(Employee!#REF!,MATCH(U374,Employee!#REF!,0))</f>
        <v>#REF!</v>
      </c>
      <c r="U374" s="4" t="s">
        <v>292</v>
      </c>
      <c r="V374" s="4" t="e">
        <f>INDEX(Employee!#REF!,MATCH(U374,Employee!#REF!,0))</f>
        <v>#REF!</v>
      </c>
      <c r="W374" s="4" t="e">
        <f>INDEX(Employee!#REF!,MATCH(U374,Employee!#REF!,0))</f>
        <v>#REF!</v>
      </c>
      <c r="X374" s="4" t="e">
        <f>INDEX(Employee!#REF!,MATCH(U374,Employee!#REF!,0))</f>
        <v>#REF!</v>
      </c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 t="e">
        <f>INDEX(Employee!C:C,MATCH(AK374,Employee!B:B,0))</f>
        <v>#N/A</v>
      </c>
      <c r="AK374" s="4"/>
      <c r="AL374" s="4" t="e">
        <f>INDEX(Employee!D:D,MATCH(AK374,Employee!B:B,0))</f>
        <v>#N/A</v>
      </c>
      <c r="AM374" s="4" t="e">
        <f>INDEX(Employee!F:F,MATCH(AK374,Employee!B:B,0))</f>
        <v>#N/A</v>
      </c>
      <c r="AN374" s="4" t="e">
        <f>INDEX(Employee!H:H,MATCH(AK374,Employee!B:B,0))</f>
        <v>#N/A</v>
      </c>
      <c r="AO374" s="4"/>
      <c r="AP374" s="4"/>
      <c r="AQ374" s="4"/>
      <c r="AR374" s="4"/>
      <c r="AS374" s="4"/>
      <c r="CH374" s="6"/>
      <c r="CX374" s="6"/>
    </row>
    <row r="375" spans="1:102" hidden="1">
      <c r="A375" s="3">
        <f t="shared" si="25"/>
        <v>374</v>
      </c>
      <c r="B375" s="4" t="s">
        <v>22</v>
      </c>
      <c r="C375" s="4" t="s">
        <v>3</v>
      </c>
      <c r="D375" s="4">
        <f>INDEX(Employee!E:E,MATCH(AK375,Employee!B:B,0))</f>
        <v>0</v>
      </c>
      <c r="E375" s="4" t="str">
        <f>INDEX(Employee!F:F,MATCH(AK375,Employee!B:B,0))</f>
        <v>Tech</v>
      </c>
      <c r="F375" s="4">
        <f>INDEX(Employee!G:G,MATCH(AK375,Employee!B:B,0))</f>
        <v>0</v>
      </c>
      <c r="G375" s="4" t="s">
        <v>119</v>
      </c>
      <c r="H375" s="4"/>
      <c r="I375" s="4" t="str">
        <f t="shared" si="24"/>
        <v>CAB0057</v>
      </c>
      <c r="J375" s="4" t="s">
        <v>678</v>
      </c>
      <c r="K375" s="4" t="s">
        <v>679</v>
      </c>
      <c r="L375" s="4"/>
      <c r="M375" s="4"/>
      <c r="N375" s="13" t="b">
        <v>0</v>
      </c>
      <c r="O375" s="13" t="b">
        <v>0</v>
      </c>
      <c r="P375" s="4"/>
      <c r="Q375" s="14" t="s">
        <v>752</v>
      </c>
      <c r="R375" s="4" t="s">
        <v>753</v>
      </c>
      <c r="S375" s="10">
        <v>769000</v>
      </c>
      <c r="T375" s="4" t="e">
        <f>INDEX(Employee!#REF!,MATCH(U375,Employee!#REF!,0))</f>
        <v>#REF!</v>
      </c>
      <c r="U375" s="4" t="s">
        <v>292</v>
      </c>
      <c r="V375" s="4" t="e">
        <f>INDEX(Employee!#REF!,MATCH(U375,Employee!#REF!,0))</f>
        <v>#REF!</v>
      </c>
      <c r="W375" s="4" t="e">
        <f>INDEX(Employee!#REF!,MATCH(U375,Employee!#REF!,0))</f>
        <v>#REF!</v>
      </c>
      <c r="X375" s="4" t="e">
        <f>INDEX(Employee!#REF!,MATCH(U375,Employee!#REF!,0))</f>
        <v>#REF!</v>
      </c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 t="str">
        <f>INDEX(Employee!C:C,MATCH(AK375,Employee!B:B,0))</f>
        <v>Trần Kiên</v>
      </c>
      <c r="AK375" s="4" t="s">
        <v>198</v>
      </c>
      <c r="AL375" s="4" t="str">
        <f>INDEX(Employee!D:D,MATCH(AK375,Employee!B:B,0))</f>
        <v>QC Engineer</v>
      </c>
      <c r="AM375" s="4" t="str">
        <f>INDEX(Employee!F:F,MATCH(AK375,Employee!B:B,0))</f>
        <v>Tech</v>
      </c>
      <c r="AN375" s="4" t="str">
        <f>INDEX(Employee!H:H,MATCH(AK375,Employee!B:B,0))</f>
        <v>Trần Triệu Dương (duongtt5)</v>
      </c>
      <c r="AO375" s="4"/>
      <c r="AP375" s="4"/>
      <c r="AQ375" s="4"/>
      <c r="AR375" s="4"/>
      <c r="AS375" s="4"/>
      <c r="CH375" s="6"/>
      <c r="CX375" s="6"/>
    </row>
    <row r="376" spans="1:102" hidden="1">
      <c r="A376" s="3">
        <f t="shared" si="25"/>
        <v>375</v>
      </c>
      <c r="B376" s="4" t="s">
        <v>22</v>
      </c>
      <c r="C376" s="4" t="s">
        <v>4</v>
      </c>
      <c r="D376" s="4" t="e">
        <f>INDEX(Employee!E:E,MATCH(AK376,Employee!B:B,0))</f>
        <v>#N/A</v>
      </c>
      <c r="E376" s="4" t="e">
        <f>INDEX(Employee!F:F,MATCH(AK376,Employee!B:B,0))</f>
        <v>#N/A</v>
      </c>
      <c r="F376" s="4" t="e">
        <f>INDEX(Employee!G:G,MATCH(AK376,Employee!B:B,0))</f>
        <v>#N/A</v>
      </c>
      <c r="G376" s="4" t="s">
        <v>15</v>
      </c>
      <c r="H376" s="4"/>
      <c r="I376" s="4" t="str">
        <f t="shared" si="24"/>
        <v>CAB0058</v>
      </c>
      <c r="J376" s="4" t="s">
        <v>678</v>
      </c>
      <c r="K376" s="4" t="s">
        <v>679</v>
      </c>
      <c r="L376" s="4"/>
      <c r="M376" s="4"/>
      <c r="N376" s="13" t="b">
        <v>0</v>
      </c>
      <c r="O376" s="13" t="b">
        <v>0</v>
      </c>
      <c r="P376" s="4"/>
      <c r="Q376" s="14" t="s">
        <v>752</v>
      </c>
      <c r="R376" s="4" t="s">
        <v>753</v>
      </c>
      <c r="S376" s="10">
        <v>769000</v>
      </c>
      <c r="T376" s="4" t="e">
        <f>INDEX(Employee!#REF!,MATCH(U376,Employee!#REF!,0))</f>
        <v>#REF!</v>
      </c>
      <c r="U376" s="4" t="s">
        <v>292</v>
      </c>
      <c r="V376" s="4" t="e">
        <f>INDEX(Employee!#REF!,MATCH(U376,Employee!#REF!,0))</f>
        <v>#REF!</v>
      </c>
      <c r="W376" s="4" t="e">
        <f>INDEX(Employee!#REF!,MATCH(U376,Employee!#REF!,0))</f>
        <v>#REF!</v>
      </c>
      <c r="X376" s="4" t="e">
        <f>INDEX(Employee!#REF!,MATCH(U376,Employee!#REF!,0))</f>
        <v>#REF!</v>
      </c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 t="e">
        <f>INDEX(Employee!C:C,MATCH(AK376,Employee!B:B,0))</f>
        <v>#N/A</v>
      </c>
      <c r="AK376" s="4"/>
      <c r="AL376" s="4" t="e">
        <f>INDEX(Employee!D:D,MATCH(AK376,Employee!B:B,0))</f>
        <v>#N/A</v>
      </c>
      <c r="AM376" s="4" t="e">
        <f>INDEX(Employee!F:F,MATCH(AK376,Employee!B:B,0))</f>
        <v>#N/A</v>
      </c>
      <c r="AN376" s="4" t="e">
        <f>INDEX(Employee!H:H,MATCH(AK376,Employee!B:B,0))</f>
        <v>#N/A</v>
      </c>
      <c r="AO376" s="4"/>
      <c r="AP376" s="4"/>
      <c r="AQ376" s="4"/>
      <c r="AR376" s="4"/>
      <c r="AS376" s="4"/>
      <c r="CH376" s="6"/>
      <c r="CX376" s="6"/>
    </row>
    <row r="377" spans="1:102" hidden="1">
      <c r="A377" s="3">
        <f t="shared" si="25"/>
        <v>376</v>
      </c>
      <c r="B377" s="4" t="s">
        <v>22</v>
      </c>
      <c r="C377" s="4" t="s">
        <v>4</v>
      </c>
      <c r="D377" s="4" t="e">
        <f>INDEX(Employee!E:E,MATCH(AK377,Employee!B:B,0))</f>
        <v>#N/A</v>
      </c>
      <c r="E377" s="4" t="e">
        <f>INDEX(Employee!F:F,MATCH(AK377,Employee!B:B,0))</f>
        <v>#N/A</v>
      </c>
      <c r="F377" s="4" t="e">
        <f>INDEX(Employee!G:G,MATCH(AK377,Employee!B:B,0))</f>
        <v>#N/A</v>
      </c>
      <c r="G377" s="4" t="s">
        <v>15</v>
      </c>
      <c r="H377" s="4"/>
      <c r="I377" s="4" t="str">
        <f t="shared" si="24"/>
        <v>CAB0059</v>
      </c>
      <c r="J377" s="4" t="s">
        <v>678</v>
      </c>
      <c r="K377" s="4" t="s">
        <v>679</v>
      </c>
      <c r="L377" s="4"/>
      <c r="M377" s="4"/>
      <c r="N377" s="13" t="b">
        <v>0</v>
      </c>
      <c r="O377" s="13" t="b">
        <v>0</v>
      </c>
      <c r="P377" s="4"/>
      <c r="Q377" s="14" t="s">
        <v>752</v>
      </c>
      <c r="R377" s="4" t="s">
        <v>753</v>
      </c>
      <c r="S377" s="10">
        <v>769000</v>
      </c>
      <c r="T377" s="4" t="e">
        <f>INDEX(Employee!#REF!,MATCH(U377,Employee!#REF!,0))</f>
        <v>#REF!</v>
      </c>
      <c r="U377" s="4" t="s">
        <v>292</v>
      </c>
      <c r="V377" s="4" t="e">
        <f>INDEX(Employee!#REF!,MATCH(U377,Employee!#REF!,0))</f>
        <v>#REF!</v>
      </c>
      <c r="W377" s="4" t="e">
        <f>INDEX(Employee!#REF!,MATCH(U377,Employee!#REF!,0))</f>
        <v>#REF!</v>
      </c>
      <c r="X377" s="4" t="e">
        <f>INDEX(Employee!#REF!,MATCH(U377,Employee!#REF!,0))</f>
        <v>#REF!</v>
      </c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 t="e">
        <f>INDEX(Employee!C:C,MATCH(AK377,Employee!B:B,0))</f>
        <v>#N/A</v>
      </c>
      <c r="AK377" s="4"/>
      <c r="AL377" s="4" t="e">
        <f>INDEX(Employee!D:D,MATCH(AK377,Employee!B:B,0))</f>
        <v>#N/A</v>
      </c>
      <c r="AM377" s="4" t="e">
        <f>INDEX(Employee!F:F,MATCH(AK377,Employee!B:B,0))</f>
        <v>#N/A</v>
      </c>
      <c r="AN377" s="4" t="e">
        <f>INDEX(Employee!H:H,MATCH(AK377,Employee!B:B,0))</f>
        <v>#N/A</v>
      </c>
      <c r="AO377" s="4"/>
      <c r="AP377" s="4"/>
      <c r="AQ377" s="4"/>
      <c r="AR377" s="4"/>
      <c r="AS377" s="4"/>
      <c r="CH377" s="6"/>
      <c r="CX377" s="6"/>
    </row>
    <row r="378" spans="1:102" hidden="1">
      <c r="A378" s="3">
        <f t="shared" si="25"/>
        <v>377</v>
      </c>
      <c r="B378" s="4" t="s">
        <v>22</v>
      </c>
      <c r="C378" s="4" t="s">
        <v>4</v>
      </c>
      <c r="D378" s="4" t="e">
        <f>INDEX(Employee!E:E,MATCH(AK378,Employee!B:B,0))</f>
        <v>#N/A</v>
      </c>
      <c r="E378" s="4" t="e">
        <f>INDEX(Employee!F:F,MATCH(AK378,Employee!B:B,0))</f>
        <v>#N/A</v>
      </c>
      <c r="F378" s="4" t="e">
        <f>INDEX(Employee!G:G,MATCH(AK378,Employee!B:B,0))</f>
        <v>#N/A</v>
      </c>
      <c r="G378" s="4" t="s">
        <v>15</v>
      </c>
      <c r="H378" s="4"/>
      <c r="I378" s="4" t="str">
        <f t="shared" si="24"/>
        <v>CAB0060</v>
      </c>
      <c r="J378" s="4" t="s">
        <v>678</v>
      </c>
      <c r="K378" s="4" t="s">
        <v>679</v>
      </c>
      <c r="L378" s="4"/>
      <c r="M378" s="4"/>
      <c r="N378" s="13" t="b">
        <v>0</v>
      </c>
      <c r="O378" s="13" t="b">
        <v>0</v>
      </c>
      <c r="P378" s="4"/>
      <c r="Q378" s="14" t="s">
        <v>752</v>
      </c>
      <c r="R378" s="4" t="s">
        <v>753</v>
      </c>
      <c r="S378" s="10">
        <v>769000</v>
      </c>
      <c r="T378" s="4" t="e">
        <f>INDEX(Employee!#REF!,MATCH(U378,Employee!#REF!,0))</f>
        <v>#REF!</v>
      </c>
      <c r="U378" s="4" t="s">
        <v>292</v>
      </c>
      <c r="V378" s="4" t="e">
        <f>INDEX(Employee!#REF!,MATCH(U378,Employee!#REF!,0))</f>
        <v>#REF!</v>
      </c>
      <c r="W378" s="4" t="e">
        <f>INDEX(Employee!#REF!,MATCH(U378,Employee!#REF!,0))</f>
        <v>#REF!</v>
      </c>
      <c r="X378" s="4" t="e">
        <f>INDEX(Employee!#REF!,MATCH(U378,Employee!#REF!,0))</f>
        <v>#REF!</v>
      </c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 t="e">
        <f>INDEX(Employee!C:C,MATCH(AK378,Employee!B:B,0))</f>
        <v>#N/A</v>
      </c>
      <c r="AK378" s="4"/>
      <c r="AL378" s="4" t="e">
        <f>INDEX(Employee!D:D,MATCH(AK378,Employee!B:B,0))</f>
        <v>#N/A</v>
      </c>
      <c r="AM378" s="4" t="e">
        <f>INDEX(Employee!F:F,MATCH(AK378,Employee!B:B,0))</f>
        <v>#N/A</v>
      </c>
      <c r="AN378" s="4" t="e">
        <f>INDEX(Employee!H:H,MATCH(AK378,Employee!B:B,0))</f>
        <v>#N/A</v>
      </c>
      <c r="AO378" s="4"/>
      <c r="AP378" s="4"/>
      <c r="AQ378" s="4"/>
      <c r="AR378" s="4"/>
      <c r="AS378" s="4"/>
      <c r="CH378" s="6"/>
      <c r="CX378" s="6"/>
    </row>
    <row r="379" spans="1:102" hidden="1">
      <c r="A379" s="3">
        <f t="shared" si="25"/>
        <v>378</v>
      </c>
      <c r="B379" s="4" t="s">
        <v>22</v>
      </c>
      <c r="C379" s="4" t="s">
        <v>4</v>
      </c>
      <c r="D379" s="4" t="e">
        <f>INDEX(Employee!E:E,MATCH(AK379,Employee!B:B,0))</f>
        <v>#N/A</v>
      </c>
      <c r="E379" s="4" t="e">
        <f>INDEX(Employee!F:F,MATCH(AK379,Employee!B:B,0))</f>
        <v>#N/A</v>
      </c>
      <c r="F379" s="4" t="e">
        <f>INDEX(Employee!G:G,MATCH(AK379,Employee!B:B,0))</f>
        <v>#N/A</v>
      </c>
      <c r="G379" s="4" t="s">
        <v>15</v>
      </c>
      <c r="H379" s="4"/>
      <c r="I379" s="4" t="str">
        <f t="shared" si="24"/>
        <v>CAB0061</v>
      </c>
      <c r="J379" s="4" t="s">
        <v>678</v>
      </c>
      <c r="K379" s="4" t="s">
        <v>679</v>
      </c>
      <c r="L379" s="4"/>
      <c r="M379" s="4"/>
      <c r="N379" s="13" t="b">
        <v>0</v>
      </c>
      <c r="O379" s="13" t="b">
        <v>0</v>
      </c>
      <c r="P379" s="4"/>
      <c r="Q379" s="14" t="s">
        <v>752</v>
      </c>
      <c r="R379" s="4" t="s">
        <v>753</v>
      </c>
      <c r="S379" s="10">
        <v>769000</v>
      </c>
      <c r="T379" s="4" t="e">
        <f>INDEX(Employee!#REF!,MATCH(U379,Employee!#REF!,0))</f>
        <v>#REF!</v>
      </c>
      <c r="U379" s="4" t="s">
        <v>292</v>
      </c>
      <c r="V379" s="4" t="e">
        <f>INDEX(Employee!#REF!,MATCH(U379,Employee!#REF!,0))</f>
        <v>#REF!</v>
      </c>
      <c r="W379" s="4" t="e">
        <f>INDEX(Employee!#REF!,MATCH(U379,Employee!#REF!,0))</f>
        <v>#REF!</v>
      </c>
      <c r="X379" s="4" t="e">
        <f>INDEX(Employee!#REF!,MATCH(U379,Employee!#REF!,0))</f>
        <v>#REF!</v>
      </c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 t="e">
        <f>INDEX(Employee!C:C,MATCH(AK379,Employee!B:B,0))</f>
        <v>#N/A</v>
      </c>
      <c r="AK379" s="4"/>
      <c r="AL379" s="4" t="e">
        <f>INDEX(Employee!D:D,MATCH(AK379,Employee!B:B,0))</f>
        <v>#N/A</v>
      </c>
      <c r="AM379" s="4" t="e">
        <f>INDEX(Employee!F:F,MATCH(AK379,Employee!B:B,0))</f>
        <v>#N/A</v>
      </c>
      <c r="AN379" s="4" t="e">
        <f>INDEX(Employee!H:H,MATCH(AK379,Employee!B:B,0))</f>
        <v>#N/A</v>
      </c>
      <c r="AO379" s="4"/>
      <c r="AP379" s="4"/>
      <c r="AQ379" s="4"/>
      <c r="AR379" s="4"/>
      <c r="AS379" s="4"/>
      <c r="CH379" s="6"/>
      <c r="CX379" s="6"/>
    </row>
    <row r="380" spans="1:102" hidden="1">
      <c r="A380" s="3">
        <f t="shared" si="25"/>
        <v>379</v>
      </c>
      <c r="B380" s="4" t="s">
        <v>16</v>
      </c>
      <c r="C380" s="4" t="s">
        <v>4</v>
      </c>
      <c r="D380" s="4" t="e">
        <f>INDEX(Employee!E:E,MATCH(AK380,Employee!B:B,0))</f>
        <v>#N/A</v>
      </c>
      <c r="E380" s="4" t="e">
        <f>INDEX(Employee!F:F,MATCH(AK380,Employee!B:B,0))</f>
        <v>#N/A</v>
      </c>
      <c r="F380" s="4" t="e">
        <f>INDEX(Employee!G:G,MATCH(AK380,Employee!B:B,0))</f>
        <v>#N/A</v>
      </c>
      <c r="G380" s="4" t="s">
        <v>119</v>
      </c>
      <c r="H380" s="4"/>
      <c r="I380" s="4" t="s">
        <v>800</v>
      </c>
      <c r="J380" s="4" t="s">
        <v>107</v>
      </c>
      <c r="K380" s="7" t="s">
        <v>108</v>
      </c>
      <c r="L380" s="7"/>
      <c r="M380" s="7"/>
      <c r="N380" s="13" t="b">
        <v>1</v>
      </c>
      <c r="O380" s="13" t="b">
        <v>0</v>
      </c>
      <c r="P380" s="15" t="s">
        <v>801</v>
      </c>
      <c r="Q380" s="14" t="s">
        <v>752</v>
      </c>
      <c r="R380" s="4" t="s">
        <v>753</v>
      </c>
      <c r="S380" s="10">
        <v>4250000</v>
      </c>
      <c r="T380" s="4" t="e">
        <f>INDEX(Employee!#REF!,MATCH(U380,Employee!#REF!,0))</f>
        <v>#REF!</v>
      </c>
      <c r="U380" s="4"/>
      <c r="V380" s="4" t="e">
        <f>INDEX(Employee!#REF!,MATCH(U380,Employee!#REF!,0))</f>
        <v>#REF!</v>
      </c>
      <c r="W380" s="4" t="e">
        <f>INDEX(Employee!#REF!,MATCH(U380,Employee!#REF!,0))</f>
        <v>#REF!</v>
      </c>
      <c r="X380" s="4" t="e">
        <f>INDEX(Employee!#REF!,MATCH(U380,Employee!#REF!,0))</f>
        <v>#REF!</v>
      </c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 t="e">
        <f>INDEX(Employee!C:C,MATCH(AK380,Employee!B:B,0))</f>
        <v>#N/A</v>
      </c>
      <c r="AK380" s="4"/>
      <c r="AL380" s="4" t="e">
        <f>INDEX(Employee!D:D,MATCH(AK380,Employee!B:B,0))</f>
        <v>#N/A</v>
      </c>
      <c r="AM380" s="4" t="e">
        <f>INDEX(Employee!F:F,MATCH(AK380,Employee!B:B,0))</f>
        <v>#N/A</v>
      </c>
      <c r="AN380" s="4" t="e">
        <f>INDEX(Employee!H:H,MATCH(AK380,Employee!B:B,0))</f>
        <v>#N/A</v>
      </c>
      <c r="AO380" s="4"/>
      <c r="AP380" s="4"/>
      <c r="AQ380" s="4"/>
      <c r="AR380" s="4"/>
      <c r="AS380" s="4" t="s">
        <v>517</v>
      </c>
      <c r="BR380" s="6"/>
      <c r="CH380" s="6"/>
      <c r="CX380" s="6"/>
    </row>
    <row r="381" spans="1:102" hidden="1">
      <c r="A381" s="3">
        <f t="shared" si="25"/>
        <v>380</v>
      </c>
      <c r="B381" s="4" t="s">
        <v>16</v>
      </c>
      <c r="C381" s="4" t="s">
        <v>4</v>
      </c>
      <c r="D381" s="4" t="e">
        <f>INDEX(Employee!E:E,MATCH(AK381,Employee!B:B,0))</f>
        <v>#N/A</v>
      </c>
      <c r="E381" s="4" t="e">
        <f>INDEX(Employee!F:F,MATCH(AK381,Employee!B:B,0))</f>
        <v>#N/A</v>
      </c>
      <c r="F381" s="4" t="e">
        <f>INDEX(Employee!G:G,MATCH(AK381,Employee!B:B,0))</f>
        <v>#N/A</v>
      </c>
      <c r="G381" s="4" t="s">
        <v>119</v>
      </c>
      <c r="H381" s="4"/>
      <c r="I381" s="4" t="str">
        <f t="shared" ref="I381:I387" si="26">IF(I380="","", "MON"&amp;TEXT(VALUE(RIGHT(I380,4))+1,"0000"))</f>
        <v>MON0091</v>
      </c>
      <c r="J381" s="4" t="s">
        <v>107</v>
      </c>
      <c r="K381" s="7" t="s">
        <v>108</v>
      </c>
      <c r="L381" s="7"/>
      <c r="M381" s="7"/>
      <c r="N381" s="13" t="b">
        <v>0</v>
      </c>
      <c r="O381" s="13" t="b">
        <v>0</v>
      </c>
      <c r="P381" s="15" t="s">
        <v>802</v>
      </c>
      <c r="Q381" s="14" t="s">
        <v>752</v>
      </c>
      <c r="R381" s="4" t="s">
        <v>753</v>
      </c>
      <c r="S381" s="10">
        <v>4250000</v>
      </c>
      <c r="T381" s="4" t="e">
        <f>INDEX(Employee!#REF!,MATCH(U381,Employee!#REF!,0))</f>
        <v>#REF!</v>
      </c>
      <c r="U381" s="4"/>
      <c r="V381" s="4" t="e">
        <f>INDEX(Employee!#REF!,MATCH(U381,Employee!#REF!,0))</f>
        <v>#REF!</v>
      </c>
      <c r="W381" s="4" t="e">
        <f>INDEX(Employee!#REF!,MATCH(U381,Employee!#REF!,0))</f>
        <v>#REF!</v>
      </c>
      <c r="X381" s="4" t="e">
        <f>INDEX(Employee!#REF!,MATCH(U381,Employee!#REF!,0))</f>
        <v>#REF!</v>
      </c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 t="e">
        <f>INDEX(Employee!C:C,MATCH(AK381,Employee!B:B,0))</f>
        <v>#N/A</v>
      </c>
      <c r="AK381" s="4"/>
      <c r="AL381" s="4" t="e">
        <f>INDEX(Employee!D:D,MATCH(AK381,Employee!B:B,0))</f>
        <v>#N/A</v>
      </c>
      <c r="AM381" s="4" t="e">
        <f>INDEX(Employee!F:F,MATCH(AK381,Employee!B:B,0))</f>
        <v>#N/A</v>
      </c>
      <c r="AN381" s="4" t="e">
        <f>INDEX(Employee!H:H,MATCH(AK381,Employee!B:B,0))</f>
        <v>#N/A</v>
      </c>
      <c r="AO381" s="4"/>
      <c r="AP381" s="4"/>
      <c r="AQ381" s="4"/>
      <c r="AR381" s="4"/>
      <c r="AS381" s="4"/>
      <c r="BR381" s="6"/>
      <c r="CH381" s="6"/>
      <c r="CX381" s="6"/>
    </row>
    <row r="382" spans="1:102" hidden="1">
      <c r="A382" s="3">
        <f t="shared" si="25"/>
        <v>381</v>
      </c>
      <c r="B382" s="4" t="s">
        <v>16</v>
      </c>
      <c r="C382" s="4" t="s">
        <v>4</v>
      </c>
      <c r="D382" s="4" t="e">
        <f>INDEX(Employee!E:E,MATCH(AK382,Employee!B:B,0))</f>
        <v>#N/A</v>
      </c>
      <c r="E382" s="4" t="e">
        <f>INDEX(Employee!F:F,MATCH(AK382,Employee!B:B,0))</f>
        <v>#N/A</v>
      </c>
      <c r="F382" s="4" t="e">
        <f>INDEX(Employee!G:G,MATCH(AK382,Employee!B:B,0))</f>
        <v>#N/A</v>
      </c>
      <c r="G382" s="4" t="s">
        <v>119</v>
      </c>
      <c r="H382" s="4"/>
      <c r="I382" s="4" t="str">
        <f t="shared" si="26"/>
        <v>MON0092</v>
      </c>
      <c r="J382" s="4" t="s">
        <v>107</v>
      </c>
      <c r="K382" s="7" t="s">
        <v>108</v>
      </c>
      <c r="L382" s="7"/>
      <c r="M382" s="7"/>
      <c r="N382" s="13" t="b">
        <v>1</v>
      </c>
      <c r="O382" s="13" t="b">
        <v>0</v>
      </c>
      <c r="P382" s="15" t="s">
        <v>803</v>
      </c>
      <c r="Q382" s="14" t="s">
        <v>752</v>
      </c>
      <c r="R382" s="4" t="s">
        <v>753</v>
      </c>
      <c r="S382" s="10">
        <v>4250000</v>
      </c>
      <c r="T382" s="4" t="e">
        <f>INDEX(Employee!#REF!,MATCH(U382,Employee!#REF!,0))</f>
        <v>#REF!</v>
      </c>
      <c r="U382" s="4"/>
      <c r="V382" s="4" t="e">
        <f>INDEX(Employee!#REF!,MATCH(U382,Employee!#REF!,0))</f>
        <v>#REF!</v>
      </c>
      <c r="W382" s="4" t="e">
        <f>INDEX(Employee!#REF!,MATCH(U382,Employee!#REF!,0))</f>
        <v>#REF!</v>
      </c>
      <c r="X382" s="4" t="e">
        <f>INDEX(Employee!#REF!,MATCH(U382,Employee!#REF!,0))</f>
        <v>#REF!</v>
      </c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 t="e">
        <f>INDEX(Employee!C:C,MATCH(AK382,Employee!B:B,0))</f>
        <v>#N/A</v>
      </c>
      <c r="AK382" s="4"/>
      <c r="AL382" s="4" t="e">
        <f>INDEX(Employee!D:D,MATCH(AK382,Employee!B:B,0))</f>
        <v>#N/A</v>
      </c>
      <c r="AM382" s="4" t="e">
        <f>INDEX(Employee!F:F,MATCH(AK382,Employee!B:B,0))</f>
        <v>#N/A</v>
      </c>
      <c r="AN382" s="4" t="e">
        <f>INDEX(Employee!H:H,MATCH(AK382,Employee!B:B,0))</f>
        <v>#N/A</v>
      </c>
      <c r="AO382" s="4"/>
      <c r="AP382" s="4"/>
      <c r="AQ382" s="4"/>
      <c r="AR382" s="4"/>
      <c r="AS382" s="4"/>
      <c r="BR382" s="6"/>
      <c r="CH382" s="6"/>
      <c r="CX382" s="6"/>
    </row>
    <row r="383" spans="1:102" hidden="1">
      <c r="A383" s="3">
        <f t="shared" si="25"/>
        <v>382</v>
      </c>
      <c r="B383" s="4" t="s">
        <v>16</v>
      </c>
      <c r="C383" s="4" t="s">
        <v>4</v>
      </c>
      <c r="D383" s="4" t="e">
        <f>INDEX(Employee!E:E,MATCH(AK383,Employee!B:B,0))</f>
        <v>#N/A</v>
      </c>
      <c r="E383" s="4" t="e">
        <f>INDEX(Employee!F:F,MATCH(AK383,Employee!B:B,0))</f>
        <v>#N/A</v>
      </c>
      <c r="F383" s="4" t="e">
        <f>INDEX(Employee!G:G,MATCH(AK383,Employee!B:B,0))</f>
        <v>#N/A</v>
      </c>
      <c r="G383" s="4" t="s">
        <v>119</v>
      </c>
      <c r="H383" s="4"/>
      <c r="I383" s="4" t="str">
        <f t="shared" si="26"/>
        <v>MON0093</v>
      </c>
      <c r="J383" s="4" t="s">
        <v>107</v>
      </c>
      <c r="K383" s="7" t="s">
        <v>108</v>
      </c>
      <c r="L383" s="7"/>
      <c r="M383" s="7"/>
      <c r="N383" s="13" t="b">
        <v>0</v>
      </c>
      <c r="O383" s="13" t="b">
        <v>0</v>
      </c>
      <c r="P383" s="15" t="s">
        <v>804</v>
      </c>
      <c r="Q383" s="14" t="s">
        <v>752</v>
      </c>
      <c r="R383" s="4" t="s">
        <v>753</v>
      </c>
      <c r="S383" s="10">
        <v>4250000</v>
      </c>
      <c r="T383" s="4" t="e">
        <f>INDEX(Employee!#REF!,MATCH(U383,Employee!#REF!,0))</f>
        <v>#REF!</v>
      </c>
      <c r="U383" s="4"/>
      <c r="V383" s="4" t="e">
        <f>INDEX(Employee!#REF!,MATCH(U383,Employee!#REF!,0))</f>
        <v>#REF!</v>
      </c>
      <c r="W383" s="4" t="e">
        <f>INDEX(Employee!#REF!,MATCH(U383,Employee!#REF!,0))</f>
        <v>#REF!</v>
      </c>
      <c r="X383" s="4" t="e">
        <f>INDEX(Employee!#REF!,MATCH(U383,Employee!#REF!,0))</f>
        <v>#REF!</v>
      </c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 t="e">
        <f>INDEX(Employee!C:C,MATCH(AK383,Employee!B:B,0))</f>
        <v>#N/A</v>
      </c>
      <c r="AK383" s="4"/>
      <c r="AL383" s="4" t="e">
        <f>INDEX(Employee!D:D,MATCH(AK383,Employee!B:B,0))</f>
        <v>#N/A</v>
      </c>
      <c r="AM383" s="4" t="e">
        <f>INDEX(Employee!F:F,MATCH(AK383,Employee!B:B,0))</f>
        <v>#N/A</v>
      </c>
      <c r="AN383" s="4" t="e">
        <f>INDEX(Employee!H:H,MATCH(AK383,Employee!B:B,0))</f>
        <v>#N/A</v>
      </c>
      <c r="AO383" s="4"/>
      <c r="AP383" s="4"/>
      <c r="AQ383" s="4"/>
      <c r="AR383" s="4"/>
      <c r="AS383" s="4"/>
      <c r="BR383" s="6"/>
      <c r="CH383" s="6"/>
      <c r="CX383" s="6"/>
    </row>
    <row r="384" spans="1:102" hidden="1">
      <c r="A384" s="3">
        <f t="shared" si="25"/>
        <v>383</v>
      </c>
      <c r="B384" s="4" t="s">
        <v>16</v>
      </c>
      <c r="C384" s="4" t="s">
        <v>4</v>
      </c>
      <c r="D384" s="4" t="e">
        <f>INDEX(Employee!E:E,MATCH(AK384,Employee!B:B,0))</f>
        <v>#N/A</v>
      </c>
      <c r="E384" s="4" t="e">
        <f>INDEX(Employee!F:F,MATCH(AK384,Employee!B:B,0))</f>
        <v>#N/A</v>
      </c>
      <c r="F384" s="4" t="e">
        <f>INDEX(Employee!G:G,MATCH(AK384,Employee!B:B,0))</f>
        <v>#N/A</v>
      </c>
      <c r="G384" s="4" t="s">
        <v>119</v>
      </c>
      <c r="H384" s="4"/>
      <c r="I384" s="4" t="str">
        <f t="shared" si="26"/>
        <v>MON0094</v>
      </c>
      <c r="J384" s="4" t="s">
        <v>107</v>
      </c>
      <c r="K384" s="7" t="s">
        <v>108</v>
      </c>
      <c r="L384" s="7"/>
      <c r="M384" s="7"/>
      <c r="N384" s="13" t="b">
        <v>1</v>
      </c>
      <c r="O384" s="13" t="b">
        <v>0</v>
      </c>
      <c r="P384" s="15" t="s">
        <v>805</v>
      </c>
      <c r="Q384" s="14" t="s">
        <v>752</v>
      </c>
      <c r="R384" s="4" t="s">
        <v>753</v>
      </c>
      <c r="S384" s="10">
        <v>4250000</v>
      </c>
      <c r="T384" s="4" t="e">
        <f>INDEX(Employee!#REF!,MATCH(U384,Employee!#REF!,0))</f>
        <v>#REF!</v>
      </c>
      <c r="U384" s="4"/>
      <c r="V384" s="4" t="e">
        <f>INDEX(Employee!#REF!,MATCH(U384,Employee!#REF!,0))</f>
        <v>#REF!</v>
      </c>
      <c r="W384" s="4" t="e">
        <f>INDEX(Employee!#REF!,MATCH(U384,Employee!#REF!,0))</f>
        <v>#REF!</v>
      </c>
      <c r="X384" s="4" t="e">
        <f>INDEX(Employee!#REF!,MATCH(U384,Employee!#REF!,0))</f>
        <v>#REF!</v>
      </c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 t="e">
        <f>INDEX(Employee!C:C,MATCH(AK384,Employee!B:B,0))</f>
        <v>#N/A</v>
      </c>
      <c r="AK384" s="4"/>
      <c r="AL384" s="4" t="e">
        <f>INDEX(Employee!D:D,MATCH(AK384,Employee!B:B,0))</f>
        <v>#N/A</v>
      </c>
      <c r="AM384" s="4" t="e">
        <f>INDEX(Employee!F:F,MATCH(AK384,Employee!B:B,0))</f>
        <v>#N/A</v>
      </c>
      <c r="AN384" s="4" t="e">
        <f>INDEX(Employee!H:H,MATCH(AK384,Employee!B:B,0))</f>
        <v>#N/A</v>
      </c>
      <c r="AO384" s="4"/>
      <c r="AP384" s="4"/>
      <c r="AQ384" s="4"/>
      <c r="AR384" s="4"/>
      <c r="AS384" s="4"/>
      <c r="BR384" s="6"/>
      <c r="CH384" s="6"/>
      <c r="CX384" s="6"/>
    </row>
    <row r="385" spans="1:102" hidden="1">
      <c r="A385" s="3">
        <f t="shared" si="25"/>
        <v>384</v>
      </c>
      <c r="B385" s="4" t="s">
        <v>16</v>
      </c>
      <c r="C385" s="4" t="s">
        <v>4</v>
      </c>
      <c r="D385" s="4" t="e">
        <f>INDEX(Employee!E:E,MATCH(AK385,Employee!B:B,0))</f>
        <v>#N/A</v>
      </c>
      <c r="E385" s="4" t="e">
        <f>INDEX(Employee!F:F,MATCH(AK385,Employee!B:B,0))</f>
        <v>#N/A</v>
      </c>
      <c r="F385" s="4" t="e">
        <f>INDEX(Employee!G:G,MATCH(AK385,Employee!B:B,0))</f>
        <v>#N/A</v>
      </c>
      <c r="G385" s="4" t="s">
        <v>119</v>
      </c>
      <c r="H385" s="4"/>
      <c r="I385" s="4" t="str">
        <f t="shared" si="26"/>
        <v>MON0095</v>
      </c>
      <c r="J385" s="4" t="s">
        <v>107</v>
      </c>
      <c r="K385" s="7" t="s">
        <v>108</v>
      </c>
      <c r="L385" s="7"/>
      <c r="M385" s="7"/>
      <c r="N385" s="13" t="b">
        <v>1</v>
      </c>
      <c r="O385" s="13" t="b">
        <v>0</v>
      </c>
      <c r="P385" s="15" t="s">
        <v>806</v>
      </c>
      <c r="Q385" s="14" t="s">
        <v>752</v>
      </c>
      <c r="R385" s="4" t="s">
        <v>753</v>
      </c>
      <c r="S385" s="10">
        <v>4250000</v>
      </c>
      <c r="T385" s="4" t="e">
        <f>INDEX(Employee!#REF!,MATCH(U385,Employee!#REF!,0))</f>
        <v>#REF!</v>
      </c>
      <c r="U385" s="4"/>
      <c r="V385" s="4" t="e">
        <f>INDEX(Employee!#REF!,MATCH(U385,Employee!#REF!,0))</f>
        <v>#REF!</v>
      </c>
      <c r="W385" s="4" t="e">
        <f>INDEX(Employee!#REF!,MATCH(U385,Employee!#REF!,0))</f>
        <v>#REF!</v>
      </c>
      <c r="X385" s="4" t="e">
        <f>INDEX(Employee!#REF!,MATCH(U385,Employee!#REF!,0))</f>
        <v>#REF!</v>
      </c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 t="e">
        <f>INDEX(Employee!C:C,MATCH(AK385,Employee!B:B,0))</f>
        <v>#N/A</v>
      </c>
      <c r="AK385" s="4"/>
      <c r="AL385" s="4" t="e">
        <f>INDEX(Employee!D:D,MATCH(AK385,Employee!B:B,0))</f>
        <v>#N/A</v>
      </c>
      <c r="AM385" s="4" t="e">
        <f>INDEX(Employee!F:F,MATCH(AK385,Employee!B:B,0))</f>
        <v>#N/A</v>
      </c>
      <c r="AN385" s="4" t="e">
        <f>INDEX(Employee!H:H,MATCH(AK385,Employee!B:B,0))</f>
        <v>#N/A</v>
      </c>
      <c r="AO385" s="4"/>
      <c r="AP385" s="4"/>
      <c r="AQ385" s="4"/>
      <c r="AR385" s="4"/>
      <c r="AS385" s="4"/>
      <c r="BR385" s="6"/>
      <c r="CH385" s="6"/>
      <c r="CX385" s="6"/>
    </row>
    <row r="386" spans="1:102" hidden="1">
      <c r="A386" s="3">
        <f t="shared" si="25"/>
        <v>385</v>
      </c>
      <c r="B386" s="4" t="s">
        <v>16</v>
      </c>
      <c r="C386" s="4" t="s">
        <v>4</v>
      </c>
      <c r="D386" s="4" t="e">
        <f>INDEX(Employee!E:E,MATCH(AK386,Employee!B:B,0))</f>
        <v>#N/A</v>
      </c>
      <c r="E386" s="4" t="e">
        <f>INDEX(Employee!F:F,MATCH(AK386,Employee!B:B,0))</f>
        <v>#N/A</v>
      </c>
      <c r="F386" s="4" t="e">
        <f>INDEX(Employee!G:G,MATCH(AK386,Employee!B:B,0))</f>
        <v>#N/A</v>
      </c>
      <c r="G386" s="4" t="s">
        <v>119</v>
      </c>
      <c r="H386" s="4"/>
      <c r="I386" s="4" t="str">
        <f t="shared" si="26"/>
        <v>MON0096</v>
      </c>
      <c r="J386" s="4" t="s">
        <v>107</v>
      </c>
      <c r="K386" s="7" t="s">
        <v>108</v>
      </c>
      <c r="L386" s="7"/>
      <c r="M386" s="7"/>
      <c r="N386" s="13" t="b">
        <v>1</v>
      </c>
      <c r="O386" s="13" t="b">
        <v>0</v>
      </c>
      <c r="P386" s="15" t="s">
        <v>807</v>
      </c>
      <c r="Q386" s="14" t="s">
        <v>752</v>
      </c>
      <c r="R386" s="4" t="s">
        <v>753</v>
      </c>
      <c r="S386" s="10">
        <v>4250000</v>
      </c>
      <c r="T386" s="4" t="e">
        <f>INDEX(Employee!#REF!,MATCH(U386,Employee!#REF!,0))</f>
        <v>#REF!</v>
      </c>
      <c r="U386" s="4"/>
      <c r="V386" s="4" t="e">
        <f>INDEX(Employee!#REF!,MATCH(U386,Employee!#REF!,0))</f>
        <v>#REF!</v>
      </c>
      <c r="W386" s="4" t="e">
        <f>INDEX(Employee!#REF!,MATCH(U386,Employee!#REF!,0))</f>
        <v>#REF!</v>
      </c>
      <c r="X386" s="4" t="e">
        <f>INDEX(Employee!#REF!,MATCH(U386,Employee!#REF!,0))</f>
        <v>#REF!</v>
      </c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 t="e">
        <f>INDEX(Employee!C:C,MATCH(AK386,Employee!B:B,0))</f>
        <v>#N/A</v>
      </c>
      <c r="AK386" s="4"/>
      <c r="AL386" s="4" t="e">
        <f>INDEX(Employee!D:D,MATCH(AK386,Employee!B:B,0))</f>
        <v>#N/A</v>
      </c>
      <c r="AM386" s="4" t="e">
        <f>INDEX(Employee!F:F,MATCH(AK386,Employee!B:B,0))</f>
        <v>#N/A</v>
      </c>
      <c r="AN386" s="4" t="e">
        <f>INDEX(Employee!H:H,MATCH(AK386,Employee!B:B,0))</f>
        <v>#N/A</v>
      </c>
      <c r="AO386" s="4"/>
      <c r="AP386" s="4"/>
      <c r="AQ386" s="4"/>
      <c r="AR386" s="4"/>
      <c r="AS386" s="4"/>
      <c r="BR386" s="6"/>
      <c r="CH386" s="6"/>
      <c r="CX386" s="6"/>
    </row>
    <row r="387" spans="1:102" hidden="1">
      <c r="A387" s="3">
        <f t="shared" si="25"/>
        <v>386</v>
      </c>
      <c r="B387" s="4" t="s">
        <v>16</v>
      </c>
      <c r="C387" s="4" t="s">
        <v>4</v>
      </c>
      <c r="D387" s="4" t="e">
        <f>INDEX(Employee!E:E,MATCH(AK387,Employee!B:B,0))</f>
        <v>#N/A</v>
      </c>
      <c r="E387" s="4" t="e">
        <f>INDEX(Employee!F:F,MATCH(AK387,Employee!B:B,0))</f>
        <v>#N/A</v>
      </c>
      <c r="F387" s="4" t="e">
        <f>INDEX(Employee!G:G,MATCH(AK387,Employee!B:B,0))</f>
        <v>#N/A</v>
      </c>
      <c r="G387" s="4" t="s">
        <v>15</v>
      </c>
      <c r="H387" s="4"/>
      <c r="I387" s="4" t="str">
        <f t="shared" si="26"/>
        <v>MON0097</v>
      </c>
      <c r="J387" s="4" t="s">
        <v>107</v>
      </c>
      <c r="K387" s="7" t="s">
        <v>108</v>
      </c>
      <c r="L387" s="7"/>
      <c r="M387" s="7"/>
      <c r="N387" s="13" t="b">
        <v>0</v>
      </c>
      <c r="O387" s="13" t="b">
        <v>0</v>
      </c>
      <c r="P387" s="15" t="s">
        <v>808</v>
      </c>
      <c r="Q387" s="14" t="s">
        <v>752</v>
      </c>
      <c r="R387" s="4" t="s">
        <v>753</v>
      </c>
      <c r="S387" s="10">
        <v>4250000</v>
      </c>
      <c r="T387" s="4" t="e">
        <f>INDEX(Employee!#REF!,MATCH(U387,Employee!#REF!,0))</f>
        <v>#REF!</v>
      </c>
      <c r="U387" s="4"/>
      <c r="V387" s="4" t="e">
        <f>INDEX(Employee!#REF!,MATCH(U387,Employee!#REF!,0))</f>
        <v>#REF!</v>
      </c>
      <c r="W387" s="4" t="e">
        <f>INDEX(Employee!#REF!,MATCH(U387,Employee!#REF!,0))</f>
        <v>#REF!</v>
      </c>
      <c r="X387" s="4" t="e">
        <f>INDEX(Employee!#REF!,MATCH(U387,Employee!#REF!,0))</f>
        <v>#REF!</v>
      </c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 t="e">
        <f>INDEX(Employee!C:C,MATCH(AK387,Employee!B:B,0))</f>
        <v>#N/A</v>
      </c>
      <c r="AK387" s="4"/>
      <c r="AL387" s="4" t="e">
        <f>INDEX(Employee!D:D,MATCH(AK387,Employee!B:B,0))</f>
        <v>#N/A</v>
      </c>
      <c r="AM387" s="4" t="e">
        <f>INDEX(Employee!F:F,MATCH(AK387,Employee!B:B,0))</f>
        <v>#N/A</v>
      </c>
      <c r="AN387" s="4" t="e">
        <f>INDEX(Employee!H:H,MATCH(AK387,Employee!B:B,0))</f>
        <v>#N/A</v>
      </c>
      <c r="AO387" s="4"/>
      <c r="AP387" s="4"/>
      <c r="AQ387" s="4"/>
      <c r="AR387" s="4"/>
      <c r="AS387" s="4"/>
      <c r="BR387" s="6"/>
      <c r="CH387" s="6"/>
      <c r="CX387" s="6"/>
    </row>
    <row r="388" spans="1:102" hidden="1">
      <c r="A388" s="3">
        <f t="shared" ref="A388:A427" si="27">IF(B388&lt;&gt;"",ROW()-1,"")</f>
        <v>387</v>
      </c>
      <c r="B388" s="4" t="s">
        <v>16</v>
      </c>
      <c r="C388" s="4" t="s">
        <v>4</v>
      </c>
      <c r="D388" s="4" t="e">
        <f>INDEX(Employee!E:E,MATCH(AK388,Employee!B:B,0))</f>
        <v>#N/A</v>
      </c>
      <c r="E388" s="4" t="e">
        <f>INDEX(Employee!F:F,MATCH(AK388,Employee!B:B,0))</f>
        <v>#N/A</v>
      </c>
      <c r="F388" s="4" t="e">
        <f>INDEX(Employee!G:G,MATCH(AK388,Employee!B:B,0))</f>
        <v>#N/A</v>
      </c>
      <c r="G388" s="4" t="s">
        <v>119</v>
      </c>
      <c r="H388" s="4"/>
      <c r="I388" s="4" t="str">
        <f t="shared" ref="I388:I412" si="28">IF(I387="","", "MON"&amp;TEXT(VALUE(RIGHT(I387,4))+1,"0000"))</f>
        <v>MON0098</v>
      </c>
      <c r="J388" s="4" t="s">
        <v>107</v>
      </c>
      <c r="K388" s="7" t="s">
        <v>108</v>
      </c>
      <c r="L388" s="7"/>
      <c r="M388" s="7"/>
      <c r="N388" s="13" t="b">
        <v>0</v>
      </c>
      <c r="O388" s="13" t="b">
        <v>0</v>
      </c>
      <c r="P388" s="15" t="s">
        <v>809</v>
      </c>
      <c r="Q388" s="14" t="s">
        <v>752</v>
      </c>
      <c r="R388" s="4" t="s">
        <v>753</v>
      </c>
      <c r="S388" s="10">
        <v>4250000</v>
      </c>
      <c r="T388" s="4" t="e">
        <f>INDEX(Employee!#REF!,MATCH(U388,Employee!#REF!,0))</f>
        <v>#REF!</v>
      </c>
      <c r="U388" s="4"/>
      <c r="V388" s="4" t="e">
        <f>INDEX(Employee!#REF!,MATCH(U388,Employee!#REF!,0))</f>
        <v>#REF!</v>
      </c>
      <c r="W388" s="4" t="e">
        <f>INDEX(Employee!#REF!,MATCH(U388,Employee!#REF!,0))</f>
        <v>#REF!</v>
      </c>
      <c r="X388" s="4" t="e">
        <f>INDEX(Employee!#REF!,MATCH(U388,Employee!#REF!,0))</f>
        <v>#REF!</v>
      </c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 t="e">
        <f>INDEX(Employee!C:C,MATCH(AK388,Employee!B:B,0))</f>
        <v>#N/A</v>
      </c>
      <c r="AK388" s="4"/>
      <c r="AL388" s="4" t="e">
        <f>INDEX(Employee!D:D,MATCH(AK388,Employee!B:B,0))</f>
        <v>#N/A</v>
      </c>
      <c r="AM388" s="4" t="e">
        <f>INDEX(Employee!F:F,MATCH(AK388,Employee!B:B,0))</f>
        <v>#N/A</v>
      </c>
      <c r="AN388" s="4" t="e">
        <f>INDEX(Employee!H:H,MATCH(AK388,Employee!B:B,0))</f>
        <v>#N/A</v>
      </c>
      <c r="AO388" s="4"/>
      <c r="AP388" s="4"/>
      <c r="AQ388" s="4"/>
      <c r="AR388" s="4"/>
      <c r="AS388" s="4"/>
      <c r="BR388" s="6"/>
      <c r="CH388" s="6"/>
      <c r="CX388" s="6"/>
    </row>
    <row r="389" spans="1:102" hidden="1">
      <c r="A389" s="3">
        <f t="shared" si="27"/>
        <v>388</v>
      </c>
      <c r="B389" s="4" t="s">
        <v>16</v>
      </c>
      <c r="C389" s="4" t="s">
        <v>4</v>
      </c>
      <c r="D389" s="4" t="e">
        <f>INDEX(Employee!E:E,MATCH(AK389,Employee!B:B,0))</f>
        <v>#N/A</v>
      </c>
      <c r="E389" s="4" t="e">
        <f>INDEX(Employee!F:F,MATCH(AK389,Employee!B:B,0))</f>
        <v>#N/A</v>
      </c>
      <c r="F389" s="4" t="e">
        <f>INDEX(Employee!G:G,MATCH(AK389,Employee!B:B,0))</f>
        <v>#N/A</v>
      </c>
      <c r="G389" s="4" t="s">
        <v>119</v>
      </c>
      <c r="H389" s="4"/>
      <c r="I389" s="4" t="str">
        <f t="shared" si="28"/>
        <v>MON0099</v>
      </c>
      <c r="J389" s="4" t="s">
        <v>107</v>
      </c>
      <c r="K389" s="4" t="s">
        <v>108</v>
      </c>
      <c r="L389" s="7"/>
      <c r="M389" s="7"/>
      <c r="N389" s="13" t="b">
        <v>0</v>
      </c>
      <c r="O389" s="13" t="b">
        <v>0</v>
      </c>
      <c r="P389" s="15" t="s">
        <v>810</v>
      </c>
      <c r="Q389" s="14" t="s">
        <v>752</v>
      </c>
      <c r="R389" s="4" t="s">
        <v>753</v>
      </c>
      <c r="S389" s="10">
        <v>4250000</v>
      </c>
      <c r="T389" s="4" t="e">
        <f>INDEX(Employee!#REF!,MATCH(U389,Employee!#REF!,0))</f>
        <v>#REF!</v>
      </c>
      <c r="U389" s="4"/>
      <c r="V389" s="4" t="e">
        <f>INDEX(Employee!#REF!,MATCH(U389,Employee!#REF!,0))</f>
        <v>#REF!</v>
      </c>
      <c r="W389" s="4" t="e">
        <f>INDEX(Employee!#REF!,MATCH(U389,Employee!#REF!,0))</f>
        <v>#REF!</v>
      </c>
      <c r="X389" s="4" t="e">
        <f>INDEX(Employee!#REF!,MATCH(U389,Employee!#REF!,0))</f>
        <v>#REF!</v>
      </c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 t="e">
        <f>INDEX(Employee!C:C,MATCH(AK389,Employee!B:B,0))</f>
        <v>#N/A</v>
      </c>
      <c r="AK389" s="4"/>
      <c r="AL389" s="4" t="e">
        <f>INDEX(Employee!D:D,MATCH(AK389,Employee!B:B,0))</f>
        <v>#N/A</v>
      </c>
      <c r="AM389" s="4" t="e">
        <f>INDEX(Employee!F:F,MATCH(AK389,Employee!B:B,0))</f>
        <v>#N/A</v>
      </c>
      <c r="AN389" s="4" t="e">
        <f>INDEX(Employee!H:H,MATCH(AK389,Employee!B:B,0))</f>
        <v>#N/A</v>
      </c>
      <c r="AO389" s="4"/>
      <c r="AP389" s="4"/>
      <c r="AQ389" s="4"/>
      <c r="AR389" s="4"/>
      <c r="AS389" s="4"/>
      <c r="BR389" s="6"/>
      <c r="CH389" s="6"/>
      <c r="CX389" s="6"/>
    </row>
    <row r="390" spans="1:102" hidden="1">
      <c r="A390" s="3">
        <f t="shared" si="27"/>
        <v>389</v>
      </c>
      <c r="B390" s="4" t="s">
        <v>16</v>
      </c>
      <c r="C390" s="4" t="s">
        <v>4</v>
      </c>
      <c r="D390" s="4" t="e">
        <f>INDEX(Employee!E:E,MATCH(AK390,Employee!B:B,0))</f>
        <v>#N/A</v>
      </c>
      <c r="E390" s="4" t="e">
        <f>INDEX(Employee!F:F,MATCH(AK390,Employee!B:B,0))</f>
        <v>#N/A</v>
      </c>
      <c r="F390" s="4" t="e">
        <f>INDEX(Employee!G:G,MATCH(AK390,Employee!B:B,0))</f>
        <v>#N/A</v>
      </c>
      <c r="G390" s="4" t="s">
        <v>119</v>
      </c>
      <c r="H390" s="4"/>
      <c r="I390" s="4" t="str">
        <f t="shared" si="28"/>
        <v>MON0100</v>
      </c>
      <c r="J390" s="4" t="s">
        <v>107</v>
      </c>
      <c r="K390" s="7" t="s">
        <v>108</v>
      </c>
      <c r="L390" s="7"/>
      <c r="M390" s="7"/>
      <c r="N390" s="13" t="b">
        <v>1</v>
      </c>
      <c r="O390" s="13" t="b">
        <v>0</v>
      </c>
      <c r="P390" s="15" t="s">
        <v>811</v>
      </c>
      <c r="Q390" s="14" t="s">
        <v>752</v>
      </c>
      <c r="R390" s="4" t="s">
        <v>753</v>
      </c>
      <c r="S390" s="10">
        <v>4250000</v>
      </c>
      <c r="T390" s="4" t="e">
        <f>INDEX(Employee!#REF!,MATCH(U390,Employee!#REF!,0))</f>
        <v>#REF!</v>
      </c>
      <c r="U390" s="4"/>
      <c r="V390" s="4" t="e">
        <f>INDEX(Employee!#REF!,MATCH(U390,Employee!#REF!,0))</f>
        <v>#REF!</v>
      </c>
      <c r="W390" s="4" t="e">
        <f>INDEX(Employee!#REF!,MATCH(U390,Employee!#REF!,0))</f>
        <v>#REF!</v>
      </c>
      <c r="X390" s="4" t="e">
        <f>INDEX(Employee!#REF!,MATCH(U390,Employee!#REF!,0))</f>
        <v>#REF!</v>
      </c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 t="e">
        <f>INDEX(Employee!C:C,MATCH(AK390,Employee!B:B,0))</f>
        <v>#N/A</v>
      </c>
      <c r="AK390" s="4"/>
      <c r="AL390" s="4" t="e">
        <f>INDEX(Employee!D:D,MATCH(AK390,Employee!B:B,0))</f>
        <v>#N/A</v>
      </c>
      <c r="AM390" s="4" t="e">
        <f>INDEX(Employee!F:F,MATCH(AK390,Employee!B:B,0))</f>
        <v>#N/A</v>
      </c>
      <c r="AN390" s="4" t="e">
        <f>INDEX(Employee!H:H,MATCH(AK390,Employee!B:B,0))</f>
        <v>#N/A</v>
      </c>
      <c r="AO390" s="4"/>
      <c r="AP390" s="4"/>
      <c r="AQ390" s="4"/>
      <c r="AR390" s="4"/>
      <c r="AS390" s="4"/>
      <c r="BR390" s="6"/>
      <c r="CH390" s="6"/>
      <c r="CX390" s="6"/>
    </row>
    <row r="391" spans="1:102" hidden="1">
      <c r="A391" s="3">
        <f t="shared" si="27"/>
        <v>390</v>
      </c>
      <c r="B391" s="4" t="s">
        <v>16</v>
      </c>
      <c r="C391" s="4" t="s">
        <v>4</v>
      </c>
      <c r="D391" s="4" t="e">
        <f>INDEX(Employee!E:E,MATCH(AK391,Employee!B:B,0))</f>
        <v>#N/A</v>
      </c>
      <c r="E391" s="4" t="e">
        <f>INDEX(Employee!F:F,MATCH(AK391,Employee!B:B,0))</f>
        <v>#N/A</v>
      </c>
      <c r="F391" s="4" t="e">
        <f>INDEX(Employee!G:G,MATCH(AK391,Employee!B:B,0))</f>
        <v>#N/A</v>
      </c>
      <c r="G391" s="4" t="s">
        <v>119</v>
      </c>
      <c r="H391" s="4"/>
      <c r="I391" s="4" t="str">
        <f t="shared" si="28"/>
        <v>MON0101</v>
      </c>
      <c r="J391" s="4" t="s">
        <v>107</v>
      </c>
      <c r="K391" s="7" t="s">
        <v>108</v>
      </c>
      <c r="L391" s="7"/>
      <c r="M391" s="7"/>
      <c r="N391" s="13" t="b">
        <v>0</v>
      </c>
      <c r="O391" s="13" t="b">
        <v>0</v>
      </c>
      <c r="P391" s="15" t="s">
        <v>812</v>
      </c>
      <c r="Q391" s="14" t="s">
        <v>752</v>
      </c>
      <c r="R391" s="4" t="s">
        <v>753</v>
      </c>
      <c r="S391" s="10">
        <v>4250000</v>
      </c>
      <c r="T391" s="4" t="e">
        <f>INDEX(Employee!#REF!,MATCH(U391,Employee!#REF!,0))</f>
        <v>#REF!</v>
      </c>
      <c r="U391" s="4"/>
      <c r="V391" s="4" t="e">
        <f>INDEX(Employee!#REF!,MATCH(U391,Employee!#REF!,0))</f>
        <v>#REF!</v>
      </c>
      <c r="W391" s="4" t="e">
        <f>INDEX(Employee!#REF!,MATCH(U391,Employee!#REF!,0))</f>
        <v>#REF!</v>
      </c>
      <c r="X391" s="4" t="e">
        <f>INDEX(Employee!#REF!,MATCH(U391,Employee!#REF!,0))</f>
        <v>#REF!</v>
      </c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 t="e">
        <f>INDEX(Employee!C:C,MATCH(AK391,Employee!B:B,0))</f>
        <v>#N/A</v>
      </c>
      <c r="AK391" s="4"/>
      <c r="AL391" s="4" t="e">
        <f>INDEX(Employee!D:D,MATCH(AK391,Employee!B:B,0))</f>
        <v>#N/A</v>
      </c>
      <c r="AM391" s="4" t="e">
        <f>INDEX(Employee!F:F,MATCH(AK391,Employee!B:B,0))</f>
        <v>#N/A</v>
      </c>
      <c r="AN391" s="4" t="e">
        <f>INDEX(Employee!H:H,MATCH(AK391,Employee!B:B,0))</f>
        <v>#N/A</v>
      </c>
      <c r="AO391" s="4"/>
      <c r="AP391" s="4"/>
      <c r="AQ391" s="4"/>
      <c r="AR391" s="4"/>
      <c r="AS391" s="4"/>
      <c r="BR391" s="6"/>
      <c r="CH391" s="6"/>
      <c r="CX391" s="6"/>
    </row>
    <row r="392" spans="1:102" hidden="1">
      <c r="A392" s="3">
        <f t="shared" si="27"/>
        <v>391</v>
      </c>
      <c r="B392" s="4" t="s">
        <v>16</v>
      </c>
      <c r="C392" s="4" t="s">
        <v>4</v>
      </c>
      <c r="D392" s="4" t="e">
        <f>INDEX(Employee!E:E,MATCH(AK392,Employee!B:B,0))</f>
        <v>#N/A</v>
      </c>
      <c r="E392" s="4" t="e">
        <f>INDEX(Employee!F:F,MATCH(AK392,Employee!B:B,0))</f>
        <v>#N/A</v>
      </c>
      <c r="F392" s="4" t="e">
        <f>INDEX(Employee!G:G,MATCH(AK392,Employee!B:B,0))</f>
        <v>#N/A</v>
      </c>
      <c r="G392" s="4" t="s">
        <v>119</v>
      </c>
      <c r="H392" s="4"/>
      <c r="I392" s="4" t="str">
        <f t="shared" si="28"/>
        <v>MON0102</v>
      </c>
      <c r="J392" s="4" t="s">
        <v>107</v>
      </c>
      <c r="K392" s="7" t="s">
        <v>108</v>
      </c>
      <c r="L392" s="7"/>
      <c r="M392" s="7"/>
      <c r="N392" s="13" t="b">
        <v>0</v>
      </c>
      <c r="O392" s="13" t="b">
        <v>0</v>
      </c>
      <c r="P392" s="15" t="s">
        <v>813</v>
      </c>
      <c r="Q392" s="14" t="s">
        <v>752</v>
      </c>
      <c r="R392" s="4" t="s">
        <v>753</v>
      </c>
      <c r="S392" s="10">
        <v>4250000</v>
      </c>
      <c r="T392" s="4" t="e">
        <f>INDEX(Employee!#REF!,MATCH(U392,Employee!#REF!,0))</f>
        <v>#REF!</v>
      </c>
      <c r="U392" s="4"/>
      <c r="V392" s="4" t="e">
        <f>INDEX(Employee!#REF!,MATCH(U392,Employee!#REF!,0))</f>
        <v>#REF!</v>
      </c>
      <c r="W392" s="4" t="e">
        <f>INDEX(Employee!#REF!,MATCH(U392,Employee!#REF!,0))</f>
        <v>#REF!</v>
      </c>
      <c r="X392" s="4" t="e">
        <f>INDEX(Employee!#REF!,MATCH(U392,Employee!#REF!,0))</f>
        <v>#REF!</v>
      </c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 t="e">
        <f>INDEX(Employee!C:C,MATCH(AK392,Employee!B:B,0))</f>
        <v>#N/A</v>
      </c>
      <c r="AK392" s="4"/>
      <c r="AL392" s="4" t="e">
        <f>INDEX(Employee!D:D,MATCH(AK392,Employee!B:B,0))</f>
        <v>#N/A</v>
      </c>
      <c r="AM392" s="4" t="e">
        <f>INDEX(Employee!F:F,MATCH(AK392,Employee!B:B,0))</f>
        <v>#N/A</v>
      </c>
      <c r="AN392" s="4" t="e">
        <f>INDEX(Employee!H:H,MATCH(AK392,Employee!B:B,0))</f>
        <v>#N/A</v>
      </c>
      <c r="AO392" s="4"/>
      <c r="AP392" s="4"/>
      <c r="AQ392" s="4"/>
      <c r="AR392" s="4"/>
      <c r="AS392" s="4"/>
      <c r="BR392" s="6"/>
      <c r="CH392" s="6"/>
      <c r="CX392" s="6"/>
    </row>
    <row r="393" spans="1:102" hidden="1">
      <c r="A393" s="3">
        <f t="shared" si="27"/>
        <v>392</v>
      </c>
      <c r="B393" s="4" t="s">
        <v>16</v>
      </c>
      <c r="C393" s="4" t="s">
        <v>4</v>
      </c>
      <c r="D393" s="4" t="e">
        <f>INDEX(Employee!E:E,MATCH(AK393,Employee!B:B,0))</f>
        <v>#N/A</v>
      </c>
      <c r="E393" s="4" t="e">
        <f>INDEX(Employee!F:F,MATCH(AK393,Employee!B:B,0))</f>
        <v>#N/A</v>
      </c>
      <c r="F393" s="4" t="e">
        <f>INDEX(Employee!G:G,MATCH(AK393,Employee!B:B,0))</f>
        <v>#N/A</v>
      </c>
      <c r="G393" s="4" t="s">
        <v>15</v>
      </c>
      <c r="H393" s="4"/>
      <c r="I393" s="4" t="str">
        <f t="shared" si="28"/>
        <v>MON0103</v>
      </c>
      <c r="J393" s="4" t="s">
        <v>107</v>
      </c>
      <c r="K393" s="7" t="s">
        <v>108</v>
      </c>
      <c r="L393" s="7"/>
      <c r="M393" s="7"/>
      <c r="N393" s="13" t="b">
        <v>0</v>
      </c>
      <c r="O393" s="13" t="b">
        <v>0</v>
      </c>
      <c r="P393" s="15" t="s">
        <v>814</v>
      </c>
      <c r="Q393" s="14" t="s">
        <v>752</v>
      </c>
      <c r="R393" s="4" t="s">
        <v>753</v>
      </c>
      <c r="S393" s="10">
        <v>4250000</v>
      </c>
      <c r="T393" s="4" t="e">
        <f>INDEX(Employee!#REF!,MATCH(U393,Employee!#REF!,0))</f>
        <v>#REF!</v>
      </c>
      <c r="U393" s="4"/>
      <c r="V393" s="4" t="e">
        <f>INDEX(Employee!#REF!,MATCH(U393,Employee!#REF!,0))</f>
        <v>#REF!</v>
      </c>
      <c r="W393" s="4" t="e">
        <f>INDEX(Employee!#REF!,MATCH(U393,Employee!#REF!,0))</f>
        <v>#REF!</v>
      </c>
      <c r="X393" s="4" t="e">
        <f>INDEX(Employee!#REF!,MATCH(U393,Employee!#REF!,0))</f>
        <v>#REF!</v>
      </c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 t="e">
        <f>INDEX(Employee!C:C,MATCH(AK393,Employee!B:B,0))</f>
        <v>#N/A</v>
      </c>
      <c r="AK393" s="4"/>
      <c r="AL393" s="4" t="e">
        <f>INDEX(Employee!D:D,MATCH(AK393,Employee!B:B,0))</f>
        <v>#N/A</v>
      </c>
      <c r="AM393" s="4" t="e">
        <f>INDEX(Employee!F:F,MATCH(AK393,Employee!B:B,0))</f>
        <v>#N/A</v>
      </c>
      <c r="AN393" s="4" t="e">
        <f>INDEX(Employee!H:H,MATCH(AK393,Employee!B:B,0))</f>
        <v>#N/A</v>
      </c>
      <c r="AO393" s="4"/>
      <c r="AP393" s="4"/>
      <c r="AQ393" s="4"/>
      <c r="AR393" s="4"/>
      <c r="AS393" s="4"/>
      <c r="BR393" s="6"/>
      <c r="CH393" s="6"/>
      <c r="CX393" s="6"/>
    </row>
    <row r="394" spans="1:102" hidden="1">
      <c r="A394" s="3">
        <f t="shared" si="27"/>
        <v>393</v>
      </c>
      <c r="B394" s="4" t="s">
        <v>16</v>
      </c>
      <c r="C394" s="4" t="s">
        <v>4</v>
      </c>
      <c r="D394" s="4" t="e">
        <f>INDEX(Employee!E:E,MATCH(AK394,Employee!B:B,0))</f>
        <v>#N/A</v>
      </c>
      <c r="E394" s="4" t="e">
        <f>INDEX(Employee!F:F,MATCH(AK394,Employee!B:B,0))</f>
        <v>#N/A</v>
      </c>
      <c r="F394" s="4" t="e">
        <f>INDEX(Employee!G:G,MATCH(AK394,Employee!B:B,0))</f>
        <v>#N/A</v>
      </c>
      <c r="G394" s="4" t="s">
        <v>119</v>
      </c>
      <c r="H394" s="4"/>
      <c r="I394" s="4" t="str">
        <f t="shared" si="28"/>
        <v>MON0104</v>
      </c>
      <c r="J394" s="4" t="s">
        <v>107</v>
      </c>
      <c r="K394" s="7" t="s">
        <v>108</v>
      </c>
      <c r="L394" s="7"/>
      <c r="M394" s="7"/>
      <c r="N394" s="13" t="b">
        <v>1</v>
      </c>
      <c r="O394" s="13" t="b">
        <v>0</v>
      </c>
      <c r="P394" s="15" t="s">
        <v>815</v>
      </c>
      <c r="Q394" s="14" t="s">
        <v>752</v>
      </c>
      <c r="R394" s="4" t="s">
        <v>753</v>
      </c>
      <c r="S394" s="10">
        <v>4250000</v>
      </c>
      <c r="T394" s="4" t="e">
        <f>INDEX(Employee!#REF!,MATCH(U394,Employee!#REF!,0))</f>
        <v>#REF!</v>
      </c>
      <c r="U394" s="4"/>
      <c r="V394" s="4" t="e">
        <f>INDEX(Employee!#REF!,MATCH(U394,Employee!#REF!,0))</f>
        <v>#REF!</v>
      </c>
      <c r="W394" s="4" t="e">
        <f>INDEX(Employee!#REF!,MATCH(U394,Employee!#REF!,0))</f>
        <v>#REF!</v>
      </c>
      <c r="X394" s="4" t="e">
        <f>INDEX(Employee!#REF!,MATCH(U394,Employee!#REF!,0))</f>
        <v>#REF!</v>
      </c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 t="e">
        <f>INDEX(Employee!C:C,MATCH(AK394,Employee!B:B,0))</f>
        <v>#N/A</v>
      </c>
      <c r="AK394" s="4"/>
      <c r="AL394" s="4" t="e">
        <f>INDEX(Employee!D:D,MATCH(AK394,Employee!B:B,0))</f>
        <v>#N/A</v>
      </c>
      <c r="AM394" s="4" t="e">
        <f>INDEX(Employee!F:F,MATCH(AK394,Employee!B:B,0))</f>
        <v>#N/A</v>
      </c>
      <c r="AN394" s="4" t="e">
        <f>INDEX(Employee!H:H,MATCH(AK394,Employee!B:B,0))</f>
        <v>#N/A</v>
      </c>
      <c r="AO394" s="4"/>
      <c r="AP394" s="4"/>
      <c r="AQ394" s="4"/>
      <c r="AR394" s="4"/>
      <c r="AS394" s="4"/>
      <c r="BR394" s="6"/>
      <c r="CH394" s="6"/>
      <c r="CX394" s="6"/>
    </row>
    <row r="395" spans="1:102" hidden="1">
      <c r="A395" s="3">
        <f t="shared" si="27"/>
        <v>394</v>
      </c>
      <c r="B395" s="4" t="s">
        <v>16</v>
      </c>
      <c r="C395" s="4" t="s">
        <v>4</v>
      </c>
      <c r="D395" s="4" t="e">
        <f>INDEX(Employee!E:E,MATCH(AK395,Employee!B:B,0))</f>
        <v>#N/A</v>
      </c>
      <c r="E395" s="4" t="e">
        <f>INDEX(Employee!F:F,MATCH(AK395,Employee!B:B,0))</f>
        <v>#N/A</v>
      </c>
      <c r="F395" s="4" t="e">
        <f>INDEX(Employee!G:G,MATCH(AK395,Employee!B:B,0))</f>
        <v>#N/A</v>
      </c>
      <c r="G395" s="4" t="s">
        <v>119</v>
      </c>
      <c r="H395" s="4"/>
      <c r="I395" s="4" t="str">
        <f t="shared" si="28"/>
        <v>MON0105</v>
      </c>
      <c r="J395" s="4" t="s">
        <v>107</v>
      </c>
      <c r="K395" s="7" t="s">
        <v>108</v>
      </c>
      <c r="L395" s="7"/>
      <c r="M395" s="7"/>
      <c r="N395" s="13" t="b">
        <v>0</v>
      </c>
      <c r="O395" s="13" t="b">
        <v>0</v>
      </c>
      <c r="P395" s="15" t="s">
        <v>816</v>
      </c>
      <c r="Q395" s="14" t="s">
        <v>752</v>
      </c>
      <c r="R395" s="4" t="s">
        <v>753</v>
      </c>
      <c r="S395" s="10">
        <v>4250000</v>
      </c>
      <c r="T395" s="4" t="e">
        <f>INDEX(Employee!#REF!,MATCH(U395,Employee!#REF!,0))</f>
        <v>#REF!</v>
      </c>
      <c r="U395" s="4"/>
      <c r="V395" s="4" t="e">
        <f>INDEX(Employee!#REF!,MATCH(U395,Employee!#REF!,0))</f>
        <v>#REF!</v>
      </c>
      <c r="W395" s="4" t="e">
        <f>INDEX(Employee!#REF!,MATCH(U395,Employee!#REF!,0))</f>
        <v>#REF!</v>
      </c>
      <c r="X395" s="4" t="e">
        <f>INDEX(Employee!#REF!,MATCH(U395,Employee!#REF!,0))</f>
        <v>#REF!</v>
      </c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 t="e">
        <f>INDEX(Employee!C:C,MATCH(AK395,Employee!B:B,0))</f>
        <v>#N/A</v>
      </c>
      <c r="AK395" s="4"/>
      <c r="AL395" s="4" t="e">
        <f>INDEX(Employee!D:D,MATCH(AK395,Employee!B:B,0))</f>
        <v>#N/A</v>
      </c>
      <c r="AM395" s="4" t="e">
        <f>INDEX(Employee!F:F,MATCH(AK395,Employee!B:B,0))</f>
        <v>#N/A</v>
      </c>
      <c r="AN395" s="4" t="e">
        <f>INDEX(Employee!H:H,MATCH(AK395,Employee!B:B,0))</f>
        <v>#N/A</v>
      </c>
      <c r="AO395" s="4"/>
      <c r="AP395" s="4"/>
      <c r="AQ395" s="4"/>
      <c r="AR395" s="4"/>
      <c r="AS395" s="4"/>
      <c r="BR395" s="6"/>
      <c r="CH395" s="6"/>
      <c r="CX395" s="6"/>
    </row>
    <row r="396" spans="1:102" hidden="1">
      <c r="A396" s="3">
        <f t="shared" si="27"/>
        <v>395</v>
      </c>
      <c r="B396" s="4" t="s">
        <v>16</v>
      </c>
      <c r="C396" s="4" t="s">
        <v>4</v>
      </c>
      <c r="D396" s="4" t="e">
        <f>INDEX(Employee!E:E,MATCH(AK396,Employee!B:B,0))</f>
        <v>#N/A</v>
      </c>
      <c r="E396" s="4" t="e">
        <f>INDEX(Employee!F:F,MATCH(AK396,Employee!B:B,0))</f>
        <v>#N/A</v>
      </c>
      <c r="F396" s="4" t="e">
        <f>INDEX(Employee!G:G,MATCH(AK396,Employee!B:B,0))</f>
        <v>#N/A</v>
      </c>
      <c r="G396" s="4" t="s">
        <v>119</v>
      </c>
      <c r="H396" s="4"/>
      <c r="I396" s="4" t="str">
        <f t="shared" si="28"/>
        <v>MON0106</v>
      </c>
      <c r="J396" s="4" t="s">
        <v>107</v>
      </c>
      <c r="K396" s="7" t="s">
        <v>108</v>
      </c>
      <c r="L396" s="7"/>
      <c r="M396" s="7"/>
      <c r="N396" s="13" t="b">
        <v>1</v>
      </c>
      <c r="O396" s="13" t="b">
        <v>0</v>
      </c>
      <c r="P396" s="15" t="s">
        <v>817</v>
      </c>
      <c r="Q396" s="14" t="s">
        <v>752</v>
      </c>
      <c r="R396" s="4" t="s">
        <v>753</v>
      </c>
      <c r="S396" s="10">
        <v>4250000</v>
      </c>
      <c r="T396" s="4" t="e">
        <f>INDEX(Employee!#REF!,MATCH(U396,Employee!#REF!,0))</f>
        <v>#REF!</v>
      </c>
      <c r="U396" s="4"/>
      <c r="V396" s="4" t="e">
        <f>INDEX(Employee!#REF!,MATCH(U396,Employee!#REF!,0))</f>
        <v>#REF!</v>
      </c>
      <c r="W396" s="4" t="e">
        <f>INDEX(Employee!#REF!,MATCH(U396,Employee!#REF!,0))</f>
        <v>#REF!</v>
      </c>
      <c r="X396" s="4" t="e">
        <f>INDEX(Employee!#REF!,MATCH(U396,Employee!#REF!,0))</f>
        <v>#REF!</v>
      </c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 t="e">
        <f>INDEX(Employee!C:C,MATCH(AK396,Employee!B:B,0))</f>
        <v>#N/A</v>
      </c>
      <c r="AK396" s="4"/>
      <c r="AL396" s="4" t="e">
        <f>INDEX(Employee!D:D,MATCH(AK396,Employee!B:B,0))</f>
        <v>#N/A</v>
      </c>
      <c r="AM396" s="4" t="e">
        <f>INDEX(Employee!F:F,MATCH(AK396,Employee!B:B,0))</f>
        <v>#N/A</v>
      </c>
      <c r="AN396" s="4" t="e">
        <f>INDEX(Employee!H:H,MATCH(AK396,Employee!B:B,0))</f>
        <v>#N/A</v>
      </c>
      <c r="AO396" s="4"/>
      <c r="AP396" s="4"/>
      <c r="AQ396" s="4"/>
      <c r="AR396" s="4"/>
      <c r="AS396" s="4"/>
      <c r="BR396" s="6"/>
      <c r="CH396" s="6"/>
      <c r="CX396" s="6"/>
    </row>
    <row r="397" spans="1:102" hidden="1">
      <c r="A397" s="3">
        <f t="shared" si="27"/>
        <v>396</v>
      </c>
      <c r="B397" s="4" t="s">
        <v>16</v>
      </c>
      <c r="C397" s="4" t="s">
        <v>4</v>
      </c>
      <c r="D397" s="4" t="e">
        <f>INDEX(Employee!E:E,MATCH(AK397,Employee!B:B,0))</f>
        <v>#N/A</v>
      </c>
      <c r="E397" s="4" t="e">
        <f>INDEX(Employee!F:F,MATCH(AK397,Employee!B:B,0))</f>
        <v>#N/A</v>
      </c>
      <c r="F397" s="4" t="e">
        <f>INDEX(Employee!G:G,MATCH(AK397,Employee!B:B,0))</f>
        <v>#N/A</v>
      </c>
      <c r="G397" s="4" t="s">
        <v>119</v>
      </c>
      <c r="H397" s="4"/>
      <c r="I397" s="4" t="str">
        <f t="shared" si="28"/>
        <v>MON0107</v>
      </c>
      <c r="J397" s="4" t="s">
        <v>107</v>
      </c>
      <c r="K397" s="7" t="s">
        <v>108</v>
      </c>
      <c r="L397" s="7"/>
      <c r="M397" s="7"/>
      <c r="N397" s="13" t="b">
        <v>1</v>
      </c>
      <c r="O397" s="13" t="b">
        <v>0</v>
      </c>
      <c r="P397" s="15" t="s">
        <v>818</v>
      </c>
      <c r="Q397" s="14" t="s">
        <v>752</v>
      </c>
      <c r="R397" s="4" t="s">
        <v>753</v>
      </c>
      <c r="S397" s="10">
        <v>4250000</v>
      </c>
      <c r="T397" s="4" t="e">
        <f>INDEX(Employee!#REF!,MATCH(U397,Employee!#REF!,0))</f>
        <v>#REF!</v>
      </c>
      <c r="U397" s="4"/>
      <c r="V397" s="4" t="e">
        <f>INDEX(Employee!#REF!,MATCH(U397,Employee!#REF!,0))</f>
        <v>#REF!</v>
      </c>
      <c r="W397" s="4" t="e">
        <f>INDEX(Employee!#REF!,MATCH(U397,Employee!#REF!,0))</f>
        <v>#REF!</v>
      </c>
      <c r="X397" s="4" t="e">
        <f>INDEX(Employee!#REF!,MATCH(U397,Employee!#REF!,0))</f>
        <v>#REF!</v>
      </c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 t="e">
        <f>INDEX(Employee!C:C,MATCH(AK397,Employee!B:B,0))</f>
        <v>#N/A</v>
      </c>
      <c r="AK397" s="4"/>
      <c r="AL397" s="4" t="e">
        <f>INDEX(Employee!D:D,MATCH(AK397,Employee!B:B,0))</f>
        <v>#N/A</v>
      </c>
      <c r="AM397" s="4" t="e">
        <f>INDEX(Employee!F:F,MATCH(AK397,Employee!B:B,0))</f>
        <v>#N/A</v>
      </c>
      <c r="AN397" s="4" t="e">
        <f>INDEX(Employee!H:H,MATCH(AK397,Employee!B:B,0))</f>
        <v>#N/A</v>
      </c>
      <c r="AO397" s="4"/>
      <c r="AP397" s="4"/>
      <c r="AQ397" s="4"/>
      <c r="AR397" s="4"/>
      <c r="AS397" s="4"/>
      <c r="BR397" s="6"/>
      <c r="CH397" s="6"/>
      <c r="CX397" s="6"/>
    </row>
    <row r="398" spans="1:102" hidden="1">
      <c r="A398" s="3">
        <f t="shared" si="27"/>
        <v>397</v>
      </c>
      <c r="B398" s="4" t="s">
        <v>16</v>
      </c>
      <c r="C398" s="4" t="s">
        <v>3</v>
      </c>
      <c r="D398" s="4">
        <f>INDEX(Employee!E:E,MATCH(AK398,Employee!B:B,0))</f>
        <v>0</v>
      </c>
      <c r="E398" s="4" t="str">
        <f>INDEX(Employee!F:F,MATCH(AK398,Employee!B:B,0))</f>
        <v>Tech</v>
      </c>
      <c r="F398" s="4">
        <f>INDEX(Employee!G:G,MATCH(AK398,Employee!B:B,0))</f>
        <v>0</v>
      </c>
      <c r="G398" s="4" t="s">
        <v>119</v>
      </c>
      <c r="H398" s="4"/>
      <c r="I398" s="4" t="str">
        <f t="shared" si="28"/>
        <v>MON0108</v>
      </c>
      <c r="J398" s="4" t="s">
        <v>107</v>
      </c>
      <c r="K398" s="7" t="s">
        <v>108</v>
      </c>
      <c r="L398" s="7"/>
      <c r="M398" s="7"/>
      <c r="N398" s="13" t="b">
        <v>0</v>
      </c>
      <c r="O398" s="13" t="b">
        <v>0</v>
      </c>
      <c r="P398" s="15" t="s">
        <v>819</v>
      </c>
      <c r="Q398" s="14" t="s">
        <v>752</v>
      </c>
      <c r="R398" s="4" t="s">
        <v>753</v>
      </c>
      <c r="S398" s="10">
        <v>4250000</v>
      </c>
      <c r="T398" s="4" t="e">
        <f>INDEX(Employee!#REF!,MATCH(U398,Employee!#REF!,0))</f>
        <v>#REF!</v>
      </c>
      <c r="U398" s="4"/>
      <c r="V398" s="4" t="e">
        <f>INDEX(Employee!#REF!,MATCH(U398,Employee!#REF!,0))</f>
        <v>#REF!</v>
      </c>
      <c r="W398" s="4" t="e">
        <f>INDEX(Employee!#REF!,MATCH(U398,Employee!#REF!,0))</f>
        <v>#REF!</v>
      </c>
      <c r="X398" s="4" t="e">
        <f>INDEX(Employee!#REF!,MATCH(U398,Employee!#REF!,0))</f>
        <v>#REF!</v>
      </c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 t="str">
        <f>INDEX(Employee!C:C,MATCH(AK398,Employee!B:B,0))</f>
        <v>Trương Thanh Nhân</v>
      </c>
      <c r="AK398" s="4" t="s">
        <v>603</v>
      </c>
      <c r="AL398" s="4" t="str">
        <f>INDEX(Employee!D:D,MATCH(AK398,Employee!B:B,0))</f>
        <v>Senior Software Engineer</v>
      </c>
      <c r="AM398" s="4" t="str">
        <f>INDEX(Employee!F:F,MATCH(AK398,Employee!B:B,0))</f>
        <v>Tech</v>
      </c>
      <c r="AN398" s="4" t="str">
        <f>INDEX(Employee!H:H,MATCH(AK398,Employee!B:B,0))</f>
        <v>Trần Triệu Dương (duongtt5)</v>
      </c>
      <c r="AO398" s="4"/>
      <c r="AP398" s="4"/>
      <c r="AQ398" s="4"/>
      <c r="AR398" s="4"/>
      <c r="AS398" s="4"/>
      <c r="BR398" s="6"/>
      <c r="CH398" s="6"/>
      <c r="CX398" s="6"/>
    </row>
    <row r="399" spans="1:102" hidden="1">
      <c r="A399" s="3">
        <f t="shared" si="27"/>
        <v>398</v>
      </c>
      <c r="B399" s="4" t="s">
        <v>16</v>
      </c>
      <c r="C399" s="4" t="s">
        <v>4</v>
      </c>
      <c r="D399" s="4" t="e">
        <f>INDEX(Employee!E:E,MATCH(AK399,Employee!B:B,0))</f>
        <v>#N/A</v>
      </c>
      <c r="E399" s="4" t="e">
        <f>INDEX(Employee!F:F,MATCH(AK399,Employee!B:B,0))</f>
        <v>#N/A</v>
      </c>
      <c r="F399" s="4" t="e">
        <f>INDEX(Employee!G:G,MATCH(AK399,Employee!B:B,0))</f>
        <v>#N/A</v>
      </c>
      <c r="G399" s="4" t="s">
        <v>119</v>
      </c>
      <c r="H399" s="4"/>
      <c r="I399" s="4" t="str">
        <f t="shared" si="28"/>
        <v>MON0109</v>
      </c>
      <c r="J399" s="4" t="s">
        <v>107</v>
      </c>
      <c r="K399" s="7" t="s">
        <v>108</v>
      </c>
      <c r="L399" s="7"/>
      <c r="M399" s="7"/>
      <c r="N399" s="13" t="b">
        <v>0</v>
      </c>
      <c r="O399" s="13" t="b">
        <v>0</v>
      </c>
      <c r="P399" s="15" t="s">
        <v>820</v>
      </c>
      <c r="Q399" s="14" t="s">
        <v>752</v>
      </c>
      <c r="R399" s="4" t="s">
        <v>753</v>
      </c>
      <c r="S399" s="10">
        <v>4250000</v>
      </c>
      <c r="T399" s="4" t="e">
        <f>INDEX(Employee!#REF!,MATCH(U399,Employee!#REF!,0))</f>
        <v>#REF!</v>
      </c>
      <c r="U399" s="4"/>
      <c r="V399" s="4" t="e">
        <f>INDEX(Employee!#REF!,MATCH(U399,Employee!#REF!,0))</f>
        <v>#REF!</v>
      </c>
      <c r="W399" s="4" t="e">
        <f>INDEX(Employee!#REF!,MATCH(U399,Employee!#REF!,0))</f>
        <v>#REF!</v>
      </c>
      <c r="X399" s="4" t="e">
        <f>INDEX(Employee!#REF!,MATCH(U399,Employee!#REF!,0))</f>
        <v>#REF!</v>
      </c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 t="e">
        <f>INDEX(Employee!C:C,MATCH(AK399,Employee!B:B,0))</f>
        <v>#N/A</v>
      </c>
      <c r="AK399" s="4"/>
      <c r="AL399" s="4" t="e">
        <f>INDEX(Employee!D:D,MATCH(AK399,Employee!B:B,0))</f>
        <v>#N/A</v>
      </c>
      <c r="AM399" s="4" t="e">
        <f>INDEX(Employee!F:F,MATCH(AK399,Employee!B:B,0))</f>
        <v>#N/A</v>
      </c>
      <c r="AN399" s="4" t="e">
        <f>INDEX(Employee!H:H,MATCH(AK399,Employee!B:B,0))</f>
        <v>#N/A</v>
      </c>
      <c r="AO399" s="4"/>
      <c r="AP399" s="4"/>
      <c r="AQ399" s="4"/>
      <c r="AR399" s="4"/>
      <c r="AS399" s="4"/>
      <c r="BR399" s="6"/>
      <c r="CH399" s="6"/>
      <c r="CX399" s="6"/>
    </row>
    <row r="400" spans="1:102" hidden="1">
      <c r="A400" s="3">
        <f t="shared" si="27"/>
        <v>399</v>
      </c>
      <c r="B400" s="4" t="s">
        <v>16</v>
      </c>
      <c r="C400" s="4" t="s">
        <v>4</v>
      </c>
      <c r="D400" s="4" t="e">
        <f>INDEX(Employee!E:E,MATCH(AK400,Employee!B:B,0))</f>
        <v>#N/A</v>
      </c>
      <c r="E400" s="4" t="e">
        <f>INDEX(Employee!F:F,MATCH(AK400,Employee!B:B,0))</f>
        <v>#N/A</v>
      </c>
      <c r="F400" s="4" t="e">
        <f>INDEX(Employee!G:G,MATCH(AK400,Employee!B:B,0))</f>
        <v>#N/A</v>
      </c>
      <c r="G400" s="4" t="s">
        <v>119</v>
      </c>
      <c r="H400" s="4"/>
      <c r="I400" s="4" t="str">
        <f t="shared" si="28"/>
        <v>MON0110</v>
      </c>
      <c r="J400" s="4" t="s">
        <v>107</v>
      </c>
      <c r="K400" s="7" t="s">
        <v>108</v>
      </c>
      <c r="L400" s="7"/>
      <c r="M400" s="7"/>
      <c r="N400" s="13" t="b">
        <v>0</v>
      </c>
      <c r="O400" s="13" t="b">
        <v>0</v>
      </c>
      <c r="P400" s="15" t="s">
        <v>821</v>
      </c>
      <c r="Q400" s="14" t="s">
        <v>752</v>
      </c>
      <c r="R400" s="4" t="s">
        <v>753</v>
      </c>
      <c r="S400" s="10">
        <v>4250000</v>
      </c>
      <c r="T400" s="4" t="e">
        <f>INDEX(Employee!#REF!,MATCH(U400,Employee!#REF!,0))</f>
        <v>#REF!</v>
      </c>
      <c r="U400" s="4"/>
      <c r="V400" s="4" t="e">
        <f>INDEX(Employee!#REF!,MATCH(U400,Employee!#REF!,0))</f>
        <v>#REF!</v>
      </c>
      <c r="W400" s="4" t="e">
        <f>INDEX(Employee!#REF!,MATCH(U400,Employee!#REF!,0))</f>
        <v>#REF!</v>
      </c>
      <c r="X400" s="4" t="e">
        <f>INDEX(Employee!#REF!,MATCH(U400,Employee!#REF!,0))</f>
        <v>#REF!</v>
      </c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 t="e">
        <f>INDEX(Employee!C:C,MATCH(AK400,Employee!B:B,0))</f>
        <v>#N/A</v>
      </c>
      <c r="AK400" s="4"/>
      <c r="AL400" s="4" t="e">
        <f>INDEX(Employee!D:D,MATCH(AK400,Employee!B:B,0))</f>
        <v>#N/A</v>
      </c>
      <c r="AM400" s="4" t="e">
        <f>INDEX(Employee!F:F,MATCH(AK400,Employee!B:B,0))</f>
        <v>#N/A</v>
      </c>
      <c r="AN400" s="4" t="e">
        <f>INDEX(Employee!H:H,MATCH(AK400,Employee!B:B,0))</f>
        <v>#N/A</v>
      </c>
      <c r="AO400" s="4"/>
      <c r="AP400" s="4"/>
      <c r="AQ400" s="4"/>
      <c r="AR400" s="4"/>
      <c r="AS400" s="4"/>
      <c r="BR400" s="6"/>
      <c r="CH400" s="6"/>
      <c r="CX400" s="6"/>
    </row>
    <row r="401" spans="1:102" hidden="1">
      <c r="A401" s="3">
        <f t="shared" si="27"/>
        <v>400</v>
      </c>
      <c r="B401" s="4" t="s">
        <v>16</v>
      </c>
      <c r="C401" s="4" t="s">
        <v>4</v>
      </c>
      <c r="D401" s="4" t="e">
        <f>INDEX(Employee!E:E,MATCH(AK401,Employee!B:B,0))</f>
        <v>#N/A</v>
      </c>
      <c r="E401" s="4" t="e">
        <f>INDEX(Employee!F:F,MATCH(AK401,Employee!B:B,0))</f>
        <v>#N/A</v>
      </c>
      <c r="F401" s="4" t="e">
        <f>INDEX(Employee!G:G,MATCH(AK401,Employee!B:B,0))</f>
        <v>#N/A</v>
      </c>
      <c r="G401" s="4" t="s">
        <v>119</v>
      </c>
      <c r="H401" s="4"/>
      <c r="I401" s="4" t="str">
        <f t="shared" si="28"/>
        <v>MON0111</v>
      </c>
      <c r="J401" s="4" t="s">
        <v>107</v>
      </c>
      <c r="K401" s="7" t="s">
        <v>108</v>
      </c>
      <c r="L401" s="7"/>
      <c r="M401" s="7"/>
      <c r="N401" s="13" t="b">
        <v>0</v>
      </c>
      <c r="O401" s="13" t="b">
        <v>0</v>
      </c>
      <c r="P401" s="15" t="s">
        <v>822</v>
      </c>
      <c r="Q401" s="14" t="s">
        <v>752</v>
      </c>
      <c r="R401" s="4" t="s">
        <v>753</v>
      </c>
      <c r="S401" s="10">
        <v>4250000</v>
      </c>
      <c r="T401" s="4" t="e">
        <f>INDEX(Employee!#REF!,MATCH(U401,Employee!#REF!,0))</f>
        <v>#REF!</v>
      </c>
      <c r="U401" s="4"/>
      <c r="V401" s="4" t="e">
        <f>INDEX(Employee!#REF!,MATCH(U401,Employee!#REF!,0))</f>
        <v>#REF!</v>
      </c>
      <c r="W401" s="4" t="e">
        <f>INDEX(Employee!#REF!,MATCH(U401,Employee!#REF!,0))</f>
        <v>#REF!</v>
      </c>
      <c r="X401" s="4" t="e">
        <f>INDEX(Employee!#REF!,MATCH(U401,Employee!#REF!,0))</f>
        <v>#REF!</v>
      </c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 t="e">
        <f>INDEX(Employee!C:C,MATCH(AK401,Employee!B:B,0))</f>
        <v>#N/A</v>
      </c>
      <c r="AK401" s="4"/>
      <c r="AL401" s="4" t="e">
        <f>INDEX(Employee!D:D,MATCH(AK401,Employee!B:B,0))</f>
        <v>#N/A</v>
      </c>
      <c r="AM401" s="4" t="e">
        <f>INDEX(Employee!F:F,MATCH(AK401,Employee!B:B,0))</f>
        <v>#N/A</v>
      </c>
      <c r="AN401" s="4" t="e">
        <f>INDEX(Employee!H:H,MATCH(AK401,Employee!B:B,0))</f>
        <v>#N/A</v>
      </c>
      <c r="AO401" s="4"/>
      <c r="AP401" s="4"/>
      <c r="AQ401" s="4"/>
      <c r="AR401" s="4"/>
      <c r="AS401" s="4"/>
      <c r="BR401" s="6"/>
      <c r="CH401" s="6"/>
      <c r="CX401" s="6"/>
    </row>
    <row r="402" spans="1:102" hidden="1">
      <c r="A402" s="3">
        <f t="shared" si="27"/>
        <v>401</v>
      </c>
      <c r="B402" s="4" t="s">
        <v>16</v>
      </c>
      <c r="C402" s="4" t="s">
        <v>4</v>
      </c>
      <c r="D402" s="4" t="e">
        <f>INDEX(Employee!E:E,MATCH(AK402,Employee!B:B,0))</f>
        <v>#N/A</v>
      </c>
      <c r="E402" s="4" t="e">
        <f>INDEX(Employee!F:F,MATCH(AK402,Employee!B:B,0))</f>
        <v>#N/A</v>
      </c>
      <c r="F402" s="4" t="e">
        <f>INDEX(Employee!G:G,MATCH(AK402,Employee!B:B,0))</f>
        <v>#N/A</v>
      </c>
      <c r="G402" s="4" t="s">
        <v>119</v>
      </c>
      <c r="H402" s="4"/>
      <c r="I402" s="4" t="str">
        <f t="shared" si="28"/>
        <v>MON0112</v>
      </c>
      <c r="J402" s="4" t="s">
        <v>107</v>
      </c>
      <c r="K402" s="7" t="s">
        <v>108</v>
      </c>
      <c r="L402" s="7"/>
      <c r="M402" s="7"/>
      <c r="N402" s="13" t="b">
        <v>0</v>
      </c>
      <c r="O402" s="13" t="b">
        <v>0</v>
      </c>
      <c r="P402" s="15" t="s">
        <v>823</v>
      </c>
      <c r="Q402" s="14" t="s">
        <v>752</v>
      </c>
      <c r="R402" s="4" t="s">
        <v>753</v>
      </c>
      <c r="S402" s="10">
        <v>4250000</v>
      </c>
      <c r="T402" s="4" t="e">
        <f>INDEX(Employee!#REF!,MATCH(U402,Employee!#REF!,0))</f>
        <v>#REF!</v>
      </c>
      <c r="U402" s="4"/>
      <c r="V402" s="4" t="e">
        <f>INDEX(Employee!#REF!,MATCH(U402,Employee!#REF!,0))</f>
        <v>#REF!</v>
      </c>
      <c r="W402" s="4" t="e">
        <f>INDEX(Employee!#REF!,MATCH(U402,Employee!#REF!,0))</f>
        <v>#REF!</v>
      </c>
      <c r="X402" s="4" t="e">
        <f>INDEX(Employee!#REF!,MATCH(U402,Employee!#REF!,0))</f>
        <v>#REF!</v>
      </c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 t="e">
        <f>INDEX(Employee!C:C,MATCH(AK402,Employee!B:B,0))</f>
        <v>#N/A</v>
      </c>
      <c r="AK402" s="4"/>
      <c r="AL402" s="4" t="e">
        <f>INDEX(Employee!D:D,MATCH(AK402,Employee!B:B,0))</f>
        <v>#N/A</v>
      </c>
      <c r="AM402" s="4" t="e">
        <f>INDEX(Employee!F:F,MATCH(AK402,Employee!B:B,0))</f>
        <v>#N/A</v>
      </c>
      <c r="AN402" s="4" t="e">
        <f>INDEX(Employee!H:H,MATCH(AK402,Employee!B:B,0))</f>
        <v>#N/A</v>
      </c>
      <c r="AO402" s="4"/>
      <c r="AP402" s="4"/>
      <c r="AQ402" s="4"/>
      <c r="AR402" s="4"/>
      <c r="AS402" s="4"/>
      <c r="BR402" s="6"/>
      <c r="CH402" s="6"/>
      <c r="CX402" s="6"/>
    </row>
    <row r="403" spans="1:102" hidden="1">
      <c r="A403" s="3">
        <f t="shared" si="27"/>
        <v>402</v>
      </c>
      <c r="B403" s="4" t="s">
        <v>16</v>
      </c>
      <c r="C403" s="4" t="s">
        <v>4</v>
      </c>
      <c r="D403" s="4" t="e">
        <f>INDEX(Employee!E:E,MATCH(AK403,Employee!B:B,0))</f>
        <v>#N/A</v>
      </c>
      <c r="E403" s="4" t="e">
        <f>INDEX(Employee!F:F,MATCH(AK403,Employee!B:B,0))</f>
        <v>#N/A</v>
      </c>
      <c r="F403" s="4" t="e">
        <f>INDEX(Employee!G:G,MATCH(AK403,Employee!B:B,0))</f>
        <v>#N/A</v>
      </c>
      <c r="G403" s="4" t="s">
        <v>119</v>
      </c>
      <c r="H403" s="4"/>
      <c r="I403" s="4" t="str">
        <f t="shared" si="28"/>
        <v>MON0113</v>
      </c>
      <c r="J403" s="4" t="s">
        <v>107</v>
      </c>
      <c r="K403" s="7" t="s">
        <v>108</v>
      </c>
      <c r="L403" s="7"/>
      <c r="M403" s="7"/>
      <c r="N403" s="13" t="b">
        <v>1</v>
      </c>
      <c r="O403" s="13" t="b">
        <v>0</v>
      </c>
      <c r="P403" s="15" t="s">
        <v>824</v>
      </c>
      <c r="Q403" s="14" t="s">
        <v>752</v>
      </c>
      <c r="R403" s="4" t="s">
        <v>753</v>
      </c>
      <c r="S403" s="10">
        <v>4250000</v>
      </c>
      <c r="T403" s="4" t="e">
        <f>INDEX(Employee!#REF!,MATCH(U403,Employee!#REF!,0))</f>
        <v>#REF!</v>
      </c>
      <c r="U403" s="4"/>
      <c r="V403" s="4" t="e">
        <f>INDEX(Employee!#REF!,MATCH(U403,Employee!#REF!,0))</f>
        <v>#REF!</v>
      </c>
      <c r="W403" s="4" t="e">
        <f>INDEX(Employee!#REF!,MATCH(U403,Employee!#REF!,0))</f>
        <v>#REF!</v>
      </c>
      <c r="X403" s="4" t="e">
        <f>INDEX(Employee!#REF!,MATCH(U403,Employee!#REF!,0))</f>
        <v>#REF!</v>
      </c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 t="e">
        <f>INDEX(Employee!C:C,MATCH(AK403,Employee!B:B,0))</f>
        <v>#N/A</v>
      </c>
      <c r="AK403" s="4"/>
      <c r="AL403" s="4" t="e">
        <f>INDEX(Employee!D:D,MATCH(AK403,Employee!B:B,0))</f>
        <v>#N/A</v>
      </c>
      <c r="AM403" s="4" t="e">
        <f>INDEX(Employee!F:F,MATCH(AK403,Employee!B:B,0))</f>
        <v>#N/A</v>
      </c>
      <c r="AN403" s="4" t="e">
        <f>INDEX(Employee!H:H,MATCH(AK403,Employee!B:B,0))</f>
        <v>#N/A</v>
      </c>
      <c r="AO403" s="4"/>
      <c r="AP403" s="4"/>
      <c r="AQ403" s="4"/>
      <c r="AR403" s="4"/>
      <c r="AS403" s="4"/>
      <c r="BR403" s="6"/>
      <c r="CH403" s="6"/>
      <c r="CX403" s="6"/>
    </row>
    <row r="404" spans="1:102" hidden="1">
      <c r="A404" s="3">
        <f t="shared" si="27"/>
        <v>403</v>
      </c>
      <c r="B404" s="4" t="s">
        <v>16</v>
      </c>
      <c r="C404" s="4" t="s">
        <v>4</v>
      </c>
      <c r="D404" s="4" t="e">
        <f>INDEX(Employee!E:E,MATCH(AK404,Employee!B:B,0))</f>
        <v>#N/A</v>
      </c>
      <c r="E404" s="4" t="e">
        <f>INDEX(Employee!F:F,MATCH(AK404,Employee!B:B,0))</f>
        <v>#N/A</v>
      </c>
      <c r="F404" s="4" t="e">
        <f>INDEX(Employee!G:G,MATCH(AK404,Employee!B:B,0))</f>
        <v>#N/A</v>
      </c>
      <c r="G404" s="4" t="s">
        <v>119</v>
      </c>
      <c r="H404" s="4"/>
      <c r="I404" s="4" t="str">
        <f t="shared" si="28"/>
        <v>MON0114</v>
      </c>
      <c r="J404" s="4" t="s">
        <v>107</v>
      </c>
      <c r="K404" s="7" t="s">
        <v>108</v>
      </c>
      <c r="L404" s="7"/>
      <c r="M404" s="7"/>
      <c r="N404" s="13" t="b">
        <v>1</v>
      </c>
      <c r="O404" s="13" t="b">
        <v>0</v>
      </c>
      <c r="P404" s="15" t="s">
        <v>825</v>
      </c>
      <c r="Q404" s="14" t="s">
        <v>752</v>
      </c>
      <c r="R404" s="4" t="s">
        <v>753</v>
      </c>
      <c r="S404" s="10">
        <v>4250000</v>
      </c>
      <c r="T404" s="4" t="e">
        <f>INDEX(Employee!#REF!,MATCH(U404,Employee!#REF!,0))</f>
        <v>#REF!</v>
      </c>
      <c r="U404" s="4"/>
      <c r="V404" s="4" t="e">
        <f>INDEX(Employee!#REF!,MATCH(U404,Employee!#REF!,0))</f>
        <v>#REF!</v>
      </c>
      <c r="W404" s="4" t="e">
        <f>INDEX(Employee!#REF!,MATCH(U404,Employee!#REF!,0))</f>
        <v>#REF!</v>
      </c>
      <c r="X404" s="4" t="e">
        <f>INDEX(Employee!#REF!,MATCH(U404,Employee!#REF!,0))</f>
        <v>#REF!</v>
      </c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 t="e">
        <f>INDEX(Employee!C:C,MATCH(AK404,Employee!B:B,0))</f>
        <v>#N/A</v>
      </c>
      <c r="AK404" s="4"/>
      <c r="AL404" s="4" t="e">
        <f>INDEX(Employee!D:D,MATCH(AK404,Employee!B:B,0))</f>
        <v>#N/A</v>
      </c>
      <c r="AM404" s="4" t="e">
        <f>INDEX(Employee!F:F,MATCH(AK404,Employee!B:B,0))</f>
        <v>#N/A</v>
      </c>
      <c r="AN404" s="4" t="e">
        <f>INDEX(Employee!H:H,MATCH(AK404,Employee!B:B,0))</f>
        <v>#N/A</v>
      </c>
      <c r="AO404" s="4"/>
      <c r="AP404" s="4"/>
      <c r="AQ404" s="4"/>
      <c r="AR404" s="4"/>
      <c r="AS404" s="4"/>
      <c r="BR404" s="6"/>
      <c r="CH404" s="6"/>
      <c r="CX404" s="6"/>
    </row>
    <row r="405" spans="1:102" hidden="1">
      <c r="A405" s="3">
        <f t="shared" si="27"/>
        <v>404</v>
      </c>
      <c r="B405" s="4" t="s">
        <v>16</v>
      </c>
      <c r="C405" s="4" t="s">
        <v>4</v>
      </c>
      <c r="D405" s="4" t="e">
        <f>INDEX(Employee!E:E,MATCH(AK405,Employee!B:B,0))</f>
        <v>#N/A</v>
      </c>
      <c r="E405" s="4" t="e">
        <f>INDEX(Employee!F:F,MATCH(AK405,Employee!B:B,0))</f>
        <v>#N/A</v>
      </c>
      <c r="F405" s="4" t="e">
        <f>INDEX(Employee!G:G,MATCH(AK405,Employee!B:B,0))</f>
        <v>#N/A</v>
      </c>
      <c r="G405" s="4" t="s">
        <v>119</v>
      </c>
      <c r="H405" s="4"/>
      <c r="I405" s="4" t="str">
        <f t="shared" si="28"/>
        <v>MON0115</v>
      </c>
      <c r="J405" s="4" t="s">
        <v>107</v>
      </c>
      <c r="K405" s="7" t="s">
        <v>108</v>
      </c>
      <c r="L405" s="7"/>
      <c r="M405" s="7"/>
      <c r="N405" s="13" t="b">
        <v>1</v>
      </c>
      <c r="O405" s="13" t="b">
        <v>0</v>
      </c>
      <c r="P405" s="15" t="s">
        <v>826</v>
      </c>
      <c r="Q405" s="14" t="s">
        <v>752</v>
      </c>
      <c r="R405" s="4" t="s">
        <v>753</v>
      </c>
      <c r="S405" s="10">
        <v>4250000</v>
      </c>
      <c r="T405" s="4" t="e">
        <f>INDEX(Employee!#REF!,MATCH(U405,Employee!#REF!,0))</f>
        <v>#REF!</v>
      </c>
      <c r="U405" s="4"/>
      <c r="V405" s="4" t="e">
        <f>INDEX(Employee!#REF!,MATCH(U405,Employee!#REF!,0))</f>
        <v>#REF!</v>
      </c>
      <c r="W405" s="4" t="e">
        <f>INDEX(Employee!#REF!,MATCH(U405,Employee!#REF!,0))</f>
        <v>#REF!</v>
      </c>
      <c r="X405" s="4" t="e">
        <f>INDEX(Employee!#REF!,MATCH(U405,Employee!#REF!,0))</f>
        <v>#REF!</v>
      </c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 t="e">
        <f>INDEX(Employee!C:C,MATCH(AK405,Employee!B:B,0))</f>
        <v>#N/A</v>
      </c>
      <c r="AK405" s="4"/>
      <c r="AL405" s="4" t="e">
        <f>INDEX(Employee!D:D,MATCH(AK405,Employee!B:B,0))</f>
        <v>#N/A</v>
      </c>
      <c r="AM405" s="4" t="e">
        <f>INDEX(Employee!F:F,MATCH(AK405,Employee!B:B,0))</f>
        <v>#N/A</v>
      </c>
      <c r="AN405" s="4" t="e">
        <f>INDEX(Employee!H:H,MATCH(AK405,Employee!B:B,0))</f>
        <v>#N/A</v>
      </c>
      <c r="AO405" s="4"/>
      <c r="AP405" s="4"/>
      <c r="AQ405" s="4"/>
      <c r="AR405" s="4"/>
      <c r="AS405" s="4"/>
      <c r="BR405" s="6"/>
      <c r="CH405" s="6"/>
      <c r="CX405" s="6"/>
    </row>
    <row r="406" spans="1:102" hidden="1">
      <c r="A406" s="3">
        <f t="shared" si="27"/>
        <v>405</v>
      </c>
      <c r="B406" s="4" t="s">
        <v>16</v>
      </c>
      <c r="C406" s="4" t="s">
        <v>4</v>
      </c>
      <c r="D406" s="4" t="e">
        <f>INDEX(Employee!E:E,MATCH(AK406,Employee!B:B,0))</f>
        <v>#N/A</v>
      </c>
      <c r="E406" s="4" t="e">
        <f>INDEX(Employee!F:F,MATCH(AK406,Employee!B:B,0))</f>
        <v>#N/A</v>
      </c>
      <c r="F406" s="4" t="e">
        <f>INDEX(Employee!G:G,MATCH(AK406,Employee!B:B,0))</f>
        <v>#N/A</v>
      </c>
      <c r="G406" s="4" t="s">
        <v>119</v>
      </c>
      <c r="H406" s="4"/>
      <c r="I406" s="4" t="str">
        <f t="shared" si="28"/>
        <v>MON0116</v>
      </c>
      <c r="J406" s="4" t="s">
        <v>107</v>
      </c>
      <c r="K406" s="7" t="s">
        <v>108</v>
      </c>
      <c r="L406" s="7"/>
      <c r="M406" s="7"/>
      <c r="N406" s="13" t="b">
        <v>1</v>
      </c>
      <c r="O406" s="13" t="b">
        <v>0</v>
      </c>
      <c r="P406" s="15" t="s">
        <v>827</v>
      </c>
      <c r="Q406" s="14" t="s">
        <v>752</v>
      </c>
      <c r="R406" s="4" t="s">
        <v>753</v>
      </c>
      <c r="S406" s="10">
        <v>4250000</v>
      </c>
      <c r="T406" s="4" t="e">
        <f>INDEX(Employee!#REF!,MATCH(U406,Employee!#REF!,0))</f>
        <v>#REF!</v>
      </c>
      <c r="U406" s="4"/>
      <c r="V406" s="4" t="e">
        <f>INDEX(Employee!#REF!,MATCH(U406,Employee!#REF!,0))</f>
        <v>#REF!</v>
      </c>
      <c r="W406" s="4" t="e">
        <f>INDEX(Employee!#REF!,MATCH(U406,Employee!#REF!,0))</f>
        <v>#REF!</v>
      </c>
      <c r="X406" s="4" t="e">
        <f>INDEX(Employee!#REF!,MATCH(U406,Employee!#REF!,0))</f>
        <v>#REF!</v>
      </c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 t="e">
        <f>INDEX(Employee!C:C,MATCH(AK406,Employee!B:B,0))</f>
        <v>#N/A</v>
      </c>
      <c r="AK406" s="4"/>
      <c r="AL406" s="4" t="e">
        <f>INDEX(Employee!D:D,MATCH(AK406,Employee!B:B,0))</f>
        <v>#N/A</v>
      </c>
      <c r="AM406" s="4" t="e">
        <f>INDEX(Employee!F:F,MATCH(AK406,Employee!B:B,0))</f>
        <v>#N/A</v>
      </c>
      <c r="AN406" s="4" t="e">
        <f>INDEX(Employee!H:H,MATCH(AK406,Employee!B:B,0))</f>
        <v>#N/A</v>
      </c>
      <c r="AO406" s="4"/>
      <c r="AP406" s="4"/>
      <c r="AQ406" s="4"/>
      <c r="AR406" s="4"/>
      <c r="AS406" s="4"/>
      <c r="BR406" s="6"/>
      <c r="CH406" s="6"/>
      <c r="CX406" s="6"/>
    </row>
    <row r="407" spans="1:102" hidden="1">
      <c r="A407" s="3">
        <f t="shared" si="27"/>
        <v>406</v>
      </c>
      <c r="B407" s="4" t="s">
        <v>16</v>
      </c>
      <c r="C407" s="4" t="s">
        <v>4</v>
      </c>
      <c r="D407" s="4" t="e">
        <f>INDEX(Employee!E:E,MATCH(AK407,Employee!B:B,0))</f>
        <v>#N/A</v>
      </c>
      <c r="E407" s="4" t="e">
        <f>INDEX(Employee!F:F,MATCH(AK407,Employee!B:B,0))</f>
        <v>#N/A</v>
      </c>
      <c r="F407" s="4" t="e">
        <f>INDEX(Employee!G:G,MATCH(AK407,Employee!B:B,0))</f>
        <v>#N/A</v>
      </c>
      <c r="G407" s="4" t="s">
        <v>119</v>
      </c>
      <c r="H407" s="4"/>
      <c r="I407" s="4" t="str">
        <f t="shared" si="28"/>
        <v>MON0117</v>
      </c>
      <c r="J407" s="4" t="s">
        <v>107</v>
      </c>
      <c r="K407" s="7" t="s">
        <v>108</v>
      </c>
      <c r="L407" s="7"/>
      <c r="M407" s="7"/>
      <c r="N407" s="13" t="b">
        <v>0</v>
      </c>
      <c r="O407" s="13" t="b">
        <v>0</v>
      </c>
      <c r="P407" s="15" t="s">
        <v>828</v>
      </c>
      <c r="Q407" s="14" t="s">
        <v>752</v>
      </c>
      <c r="R407" s="4" t="s">
        <v>753</v>
      </c>
      <c r="S407" s="10">
        <v>4250000</v>
      </c>
      <c r="T407" s="4" t="e">
        <f>INDEX(Employee!#REF!,MATCH(U407,Employee!#REF!,0))</f>
        <v>#REF!</v>
      </c>
      <c r="U407" s="4"/>
      <c r="V407" s="4" t="e">
        <f>INDEX(Employee!#REF!,MATCH(U407,Employee!#REF!,0))</f>
        <v>#REF!</v>
      </c>
      <c r="W407" s="4" t="e">
        <f>INDEX(Employee!#REF!,MATCH(U407,Employee!#REF!,0))</f>
        <v>#REF!</v>
      </c>
      <c r="X407" s="4" t="e">
        <f>INDEX(Employee!#REF!,MATCH(U407,Employee!#REF!,0))</f>
        <v>#REF!</v>
      </c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 t="e">
        <f>INDEX(Employee!C:C,MATCH(AK407,Employee!B:B,0))</f>
        <v>#N/A</v>
      </c>
      <c r="AK407" s="4"/>
      <c r="AL407" s="4" t="e">
        <f>INDEX(Employee!D:D,MATCH(AK407,Employee!B:B,0))</f>
        <v>#N/A</v>
      </c>
      <c r="AM407" s="4" t="e">
        <f>INDEX(Employee!F:F,MATCH(AK407,Employee!B:B,0))</f>
        <v>#N/A</v>
      </c>
      <c r="AN407" s="4" t="e">
        <f>INDEX(Employee!H:H,MATCH(AK407,Employee!B:B,0))</f>
        <v>#N/A</v>
      </c>
      <c r="AO407" s="4"/>
      <c r="AP407" s="4"/>
      <c r="AQ407" s="4"/>
      <c r="AR407" s="4"/>
      <c r="AS407" s="4"/>
      <c r="BR407" s="6"/>
      <c r="CH407" s="6"/>
      <c r="CX407" s="6"/>
    </row>
    <row r="408" spans="1:102" hidden="1">
      <c r="A408" s="3">
        <f t="shared" si="27"/>
        <v>407</v>
      </c>
      <c r="B408" s="4" t="s">
        <v>16</v>
      </c>
      <c r="C408" s="4" t="s">
        <v>4</v>
      </c>
      <c r="D408" s="4" t="e">
        <f>INDEX(Employee!E:E,MATCH(AK408,Employee!B:B,0))</f>
        <v>#N/A</v>
      </c>
      <c r="E408" s="4" t="e">
        <f>INDEX(Employee!F:F,MATCH(AK408,Employee!B:B,0))</f>
        <v>#N/A</v>
      </c>
      <c r="F408" s="4" t="e">
        <f>INDEX(Employee!G:G,MATCH(AK408,Employee!B:B,0))</f>
        <v>#N/A</v>
      </c>
      <c r="G408" s="4" t="s">
        <v>119</v>
      </c>
      <c r="H408" s="4"/>
      <c r="I408" s="4" t="str">
        <f t="shared" si="28"/>
        <v>MON0118</v>
      </c>
      <c r="J408" s="4" t="s">
        <v>107</v>
      </c>
      <c r="K408" s="7" t="s">
        <v>108</v>
      </c>
      <c r="L408" s="7"/>
      <c r="M408" s="7"/>
      <c r="N408" s="13" t="b">
        <v>1</v>
      </c>
      <c r="O408" s="13" t="b">
        <v>0</v>
      </c>
      <c r="P408" s="15" t="s">
        <v>829</v>
      </c>
      <c r="Q408" s="14" t="s">
        <v>752</v>
      </c>
      <c r="R408" s="4" t="s">
        <v>753</v>
      </c>
      <c r="S408" s="10">
        <v>4250000</v>
      </c>
      <c r="T408" s="4" t="e">
        <f>INDEX(Employee!#REF!,MATCH(U408,Employee!#REF!,0))</f>
        <v>#REF!</v>
      </c>
      <c r="U408" s="4"/>
      <c r="V408" s="4" t="e">
        <f>INDEX(Employee!#REF!,MATCH(U408,Employee!#REF!,0))</f>
        <v>#REF!</v>
      </c>
      <c r="W408" s="4" t="e">
        <f>INDEX(Employee!#REF!,MATCH(U408,Employee!#REF!,0))</f>
        <v>#REF!</v>
      </c>
      <c r="X408" s="4" t="e">
        <f>INDEX(Employee!#REF!,MATCH(U408,Employee!#REF!,0))</f>
        <v>#REF!</v>
      </c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 t="e">
        <f>INDEX(Employee!C:C,MATCH(AK408,Employee!B:B,0))</f>
        <v>#N/A</v>
      </c>
      <c r="AK408" s="4"/>
      <c r="AL408" s="4" t="e">
        <f>INDEX(Employee!D:D,MATCH(AK408,Employee!B:B,0))</f>
        <v>#N/A</v>
      </c>
      <c r="AM408" s="4" t="e">
        <f>INDEX(Employee!F:F,MATCH(AK408,Employee!B:B,0))</f>
        <v>#N/A</v>
      </c>
      <c r="AN408" s="4" t="e">
        <f>INDEX(Employee!H:H,MATCH(AK408,Employee!B:B,0))</f>
        <v>#N/A</v>
      </c>
      <c r="AO408" s="4"/>
      <c r="AP408" s="4"/>
      <c r="AQ408" s="4"/>
      <c r="AR408" s="4"/>
      <c r="AS408" s="4"/>
      <c r="BR408" s="6"/>
      <c r="CH408" s="6"/>
      <c r="CX408" s="6"/>
    </row>
    <row r="409" spans="1:102" hidden="1">
      <c r="A409" s="3">
        <f t="shared" si="27"/>
        <v>408</v>
      </c>
      <c r="B409" s="4" t="s">
        <v>16</v>
      </c>
      <c r="C409" s="4" t="s">
        <v>4</v>
      </c>
      <c r="D409" s="4" t="e">
        <f>INDEX(Employee!E:E,MATCH(AK409,Employee!B:B,0))</f>
        <v>#N/A</v>
      </c>
      <c r="E409" s="4" t="e">
        <f>INDEX(Employee!F:F,MATCH(AK409,Employee!B:B,0))</f>
        <v>#N/A</v>
      </c>
      <c r="F409" s="4" t="e">
        <f>INDEX(Employee!G:G,MATCH(AK409,Employee!B:B,0))</f>
        <v>#N/A</v>
      </c>
      <c r="G409" s="4" t="s">
        <v>119</v>
      </c>
      <c r="H409" s="4"/>
      <c r="I409" s="4" t="str">
        <f t="shared" si="28"/>
        <v>MON0119</v>
      </c>
      <c r="J409" s="4" t="s">
        <v>107</v>
      </c>
      <c r="K409" s="7" t="s">
        <v>108</v>
      </c>
      <c r="L409" s="7"/>
      <c r="M409" s="7"/>
      <c r="N409" s="13" t="b">
        <v>1</v>
      </c>
      <c r="O409" s="13" t="b">
        <v>0</v>
      </c>
      <c r="P409" s="15" t="s">
        <v>830</v>
      </c>
      <c r="Q409" s="14" t="s">
        <v>752</v>
      </c>
      <c r="R409" s="4" t="s">
        <v>753</v>
      </c>
      <c r="S409" s="10">
        <v>4250000</v>
      </c>
      <c r="T409" s="4" t="e">
        <f>INDEX(Employee!#REF!,MATCH(U409,Employee!#REF!,0))</f>
        <v>#REF!</v>
      </c>
      <c r="U409" s="4"/>
      <c r="V409" s="4" t="e">
        <f>INDEX(Employee!#REF!,MATCH(U409,Employee!#REF!,0))</f>
        <v>#REF!</v>
      </c>
      <c r="W409" s="4" t="e">
        <f>INDEX(Employee!#REF!,MATCH(U409,Employee!#REF!,0))</f>
        <v>#REF!</v>
      </c>
      <c r="X409" s="4" t="e">
        <f>INDEX(Employee!#REF!,MATCH(U409,Employee!#REF!,0))</f>
        <v>#REF!</v>
      </c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 t="e">
        <f>INDEX(Employee!C:C,MATCH(AK409,Employee!B:B,0))</f>
        <v>#N/A</v>
      </c>
      <c r="AK409" s="4"/>
      <c r="AL409" s="4" t="e">
        <f>INDEX(Employee!D:D,MATCH(AK409,Employee!B:B,0))</f>
        <v>#N/A</v>
      </c>
      <c r="AM409" s="4" t="e">
        <f>INDEX(Employee!F:F,MATCH(AK409,Employee!B:B,0))</f>
        <v>#N/A</v>
      </c>
      <c r="AN409" s="4" t="e">
        <f>INDEX(Employee!H:H,MATCH(AK409,Employee!B:B,0))</f>
        <v>#N/A</v>
      </c>
      <c r="AO409" s="4"/>
      <c r="AP409" s="4"/>
      <c r="AQ409" s="4"/>
      <c r="AR409" s="4"/>
      <c r="AS409" s="4"/>
      <c r="BR409" s="6"/>
      <c r="CH409" s="6"/>
      <c r="CX409" s="6"/>
    </row>
    <row r="410" spans="1:102" hidden="1">
      <c r="A410" s="3">
        <f t="shared" si="27"/>
        <v>409</v>
      </c>
      <c r="B410" s="4" t="s">
        <v>16</v>
      </c>
      <c r="C410" s="4" t="s">
        <v>4</v>
      </c>
      <c r="D410" s="4" t="e">
        <f>INDEX(Employee!E:E,MATCH(AK410,Employee!B:B,0))</f>
        <v>#N/A</v>
      </c>
      <c r="E410" s="4" t="e">
        <f>INDEX(Employee!F:F,MATCH(AK410,Employee!B:B,0))</f>
        <v>#N/A</v>
      </c>
      <c r="F410" s="4" t="e">
        <f>INDEX(Employee!G:G,MATCH(AK410,Employee!B:B,0))</f>
        <v>#N/A</v>
      </c>
      <c r="G410" s="4" t="s">
        <v>119</v>
      </c>
      <c r="H410" s="4"/>
      <c r="I410" s="4" t="str">
        <f t="shared" si="28"/>
        <v>MON0120</v>
      </c>
      <c r="J410" s="4" t="s">
        <v>107</v>
      </c>
      <c r="K410" s="7" t="s">
        <v>108</v>
      </c>
      <c r="L410" s="7"/>
      <c r="M410" s="7"/>
      <c r="N410" s="13" t="b">
        <v>1</v>
      </c>
      <c r="O410" s="13" t="b">
        <v>0</v>
      </c>
      <c r="P410" s="15" t="s">
        <v>831</v>
      </c>
      <c r="Q410" s="14" t="s">
        <v>752</v>
      </c>
      <c r="R410" s="4" t="s">
        <v>753</v>
      </c>
      <c r="S410" s="10">
        <v>4250000</v>
      </c>
      <c r="T410" s="4" t="e">
        <f>INDEX(Employee!#REF!,MATCH(U410,Employee!#REF!,0))</f>
        <v>#REF!</v>
      </c>
      <c r="U410" s="4"/>
      <c r="V410" s="4" t="e">
        <f>INDEX(Employee!#REF!,MATCH(U410,Employee!#REF!,0))</f>
        <v>#REF!</v>
      </c>
      <c r="W410" s="4" t="e">
        <f>INDEX(Employee!#REF!,MATCH(U410,Employee!#REF!,0))</f>
        <v>#REF!</v>
      </c>
      <c r="X410" s="4" t="e">
        <f>INDEX(Employee!#REF!,MATCH(U410,Employee!#REF!,0))</f>
        <v>#REF!</v>
      </c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 t="e">
        <f>INDEX(Employee!C:C,MATCH(AK410,Employee!B:B,0))</f>
        <v>#N/A</v>
      </c>
      <c r="AK410" s="4"/>
      <c r="AL410" s="4" t="e">
        <f>INDEX(Employee!D:D,MATCH(AK410,Employee!B:B,0))</f>
        <v>#N/A</v>
      </c>
      <c r="AM410" s="4" t="e">
        <f>INDEX(Employee!F:F,MATCH(AK410,Employee!B:B,0))</f>
        <v>#N/A</v>
      </c>
      <c r="AN410" s="4" t="e">
        <f>INDEX(Employee!H:H,MATCH(AK410,Employee!B:B,0))</f>
        <v>#N/A</v>
      </c>
      <c r="AO410" s="4"/>
      <c r="AP410" s="4"/>
      <c r="AQ410" s="4"/>
      <c r="AR410" s="4"/>
      <c r="AS410" s="4"/>
      <c r="BR410" s="6"/>
      <c r="CH410" s="6"/>
      <c r="CX410" s="6"/>
    </row>
    <row r="411" spans="1:102" hidden="1">
      <c r="A411" s="3">
        <f t="shared" si="27"/>
        <v>410</v>
      </c>
      <c r="B411" s="4" t="s">
        <v>16</v>
      </c>
      <c r="C411" s="4" t="s">
        <v>4</v>
      </c>
      <c r="D411" s="4" t="e">
        <f>INDEX(Employee!E:E,MATCH(AK411,Employee!B:B,0))</f>
        <v>#N/A</v>
      </c>
      <c r="E411" s="4" t="e">
        <f>INDEX(Employee!F:F,MATCH(AK411,Employee!B:B,0))</f>
        <v>#N/A</v>
      </c>
      <c r="F411" s="4" t="e">
        <f>INDEX(Employee!G:G,MATCH(AK411,Employee!B:B,0))</f>
        <v>#N/A</v>
      </c>
      <c r="G411" s="4" t="s">
        <v>119</v>
      </c>
      <c r="H411" s="4"/>
      <c r="I411" s="4" t="str">
        <f t="shared" si="28"/>
        <v>MON0121</v>
      </c>
      <c r="J411" s="4" t="s">
        <v>107</v>
      </c>
      <c r="K411" s="7" t="s">
        <v>108</v>
      </c>
      <c r="L411" s="7"/>
      <c r="M411" s="7"/>
      <c r="N411" s="13" t="b">
        <v>0</v>
      </c>
      <c r="O411" s="13" t="b">
        <v>0</v>
      </c>
      <c r="P411" s="15" t="s">
        <v>832</v>
      </c>
      <c r="Q411" s="14" t="s">
        <v>752</v>
      </c>
      <c r="R411" s="4" t="s">
        <v>753</v>
      </c>
      <c r="S411" s="10">
        <v>4250000</v>
      </c>
      <c r="T411" s="4" t="e">
        <f>INDEX(Employee!#REF!,MATCH(U411,Employee!#REF!,0))</f>
        <v>#REF!</v>
      </c>
      <c r="U411" s="4"/>
      <c r="V411" s="4" t="e">
        <f>INDEX(Employee!#REF!,MATCH(U411,Employee!#REF!,0))</f>
        <v>#REF!</v>
      </c>
      <c r="W411" s="4" t="e">
        <f>INDEX(Employee!#REF!,MATCH(U411,Employee!#REF!,0))</f>
        <v>#REF!</v>
      </c>
      <c r="X411" s="4" t="e">
        <f>INDEX(Employee!#REF!,MATCH(U411,Employee!#REF!,0))</f>
        <v>#REF!</v>
      </c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 t="e">
        <f>INDEX(Employee!C:C,MATCH(AK411,Employee!B:B,0))</f>
        <v>#N/A</v>
      </c>
      <c r="AK411" s="4"/>
      <c r="AL411" s="4" t="e">
        <f>INDEX(Employee!D:D,MATCH(AK411,Employee!B:B,0))</f>
        <v>#N/A</v>
      </c>
      <c r="AM411" s="4" t="e">
        <f>INDEX(Employee!F:F,MATCH(AK411,Employee!B:B,0))</f>
        <v>#N/A</v>
      </c>
      <c r="AN411" s="4" t="e">
        <f>INDEX(Employee!H:H,MATCH(AK411,Employee!B:B,0))</f>
        <v>#N/A</v>
      </c>
      <c r="AO411" s="4"/>
      <c r="AP411" s="4"/>
      <c r="AQ411" s="4"/>
      <c r="AR411" s="4"/>
      <c r="AS411" s="4"/>
      <c r="BR411" s="6"/>
      <c r="CH411" s="6"/>
      <c r="CX411" s="6"/>
    </row>
    <row r="412" spans="1:102" hidden="1">
      <c r="A412" s="3">
        <f t="shared" si="27"/>
        <v>411</v>
      </c>
      <c r="B412" s="4" t="s">
        <v>16</v>
      </c>
      <c r="C412" s="4" t="s">
        <v>4</v>
      </c>
      <c r="D412" s="4" t="e">
        <f>INDEX(Employee!E:E,MATCH(AK412,Employee!B:B,0))</f>
        <v>#N/A</v>
      </c>
      <c r="E412" s="4" t="e">
        <f>INDEX(Employee!F:F,MATCH(AK412,Employee!B:B,0))</f>
        <v>#N/A</v>
      </c>
      <c r="F412" s="4" t="e">
        <f>INDEX(Employee!G:G,MATCH(AK412,Employee!B:B,0))</f>
        <v>#N/A</v>
      </c>
      <c r="G412" s="4" t="s">
        <v>119</v>
      </c>
      <c r="H412" s="4"/>
      <c r="I412" s="4" t="str">
        <f t="shared" si="28"/>
        <v>MON0122</v>
      </c>
      <c r="J412" s="4" t="s">
        <v>107</v>
      </c>
      <c r="K412" s="7" t="s">
        <v>108</v>
      </c>
      <c r="L412" s="7"/>
      <c r="M412" s="7"/>
      <c r="N412" s="13" t="b">
        <v>0</v>
      </c>
      <c r="O412" s="13" t="b">
        <v>0</v>
      </c>
      <c r="P412" s="15" t="s">
        <v>833</v>
      </c>
      <c r="Q412" s="14" t="s">
        <v>752</v>
      </c>
      <c r="R412" s="4" t="s">
        <v>753</v>
      </c>
      <c r="S412" s="10">
        <v>4250000</v>
      </c>
      <c r="T412" s="4" t="e">
        <f>INDEX(Employee!#REF!,MATCH(U412,Employee!#REF!,0))</f>
        <v>#REF!</v>
      </c>
      <c r="U412" s="4"/>
      <c r="V412" s="4" t="e">
        <f>INDEX(Employee!#REF!,MATCH(U412,Employee!#REF!,0))</f>
        <v>#REF!</v>
      </c>
      <c r="W412" s="4" t="e">
        <f>INDEX(Employee!#REF!,MATCH(U412,Employee!#REF!,0))</f>
        <v>#REF!</v>
      </c>
      <c r="X412" s="4" t="e">
        <f>INDEX(Employee!#REF!,MATCH(U412,Employee!#REF!,0))</f>
        <v>#REF!</v>
      </c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 t="e">
        <f>INDEX(Employee!C:C,MATCH(AK412,Employee!B:B,0))</f>
        <v>#N/A</v>
      </c>
      <c r="AK412" s="4"/>
      <c r="AL412" s="4" t="e">
        <f>INDEX(Employee!D:D,MATCH(AK412,Employee!B:B,0))</f>
        <v>#N/A</v>
      </c>
      <c r="AM412" s="4" t="e">
        <f>INDEX(Employee!F:F,MATCH(AK412,Employee!B:B,0))</f>
        <v>#N/A</v>
      </c>
      <c r="AN412" s="4" t="e">
        <f>INDEX(Employee!H:H,MATCH(AK412,Employee!B:B,0))</f>
        <v>#N/A</v>
      </c>
      <c r="AO412" s="4"/>
      <c r="AP412" s="4"/>
      <c r="AQ412" s="4"/>
      <c r="AR412" s="4"/>
      <c r="AS412" s="4"/>
      <c r="BR412" s="6"/>
      <c r="CH412" s="6"/>
      <c r="CX412" s="6"/>
    </row>
    <row r="413" spans="1:102" hidden="1">
      <c r="A413" s="3">
        <f t="shared" si="27"/>
        <v>412</v>
      </c>
      <c r="B413" s="4" t="s">
        <v>16</v>
      </c>
      <c r="C413" s="4" t="s">
        <v>3</v>
      </c>
      <c r="D413" s="4">
        <f>INDEX(Employee!E:E,MATCH(AK413,Employee!B:B,0))</f>
        <v>0</v>
      </c>
      <c r="E413" s="4" t="str">
        <f>INDEX(Employee!F:F,MATCH(AK413,Employee!B:B,0))</f>
        <v>COO</v>
      </c>
      <c r="F413" s="4">
        <f>INDEX(Employee!G:G,MATCH(AK413,Employee!B:B,0))</f>
        <v>0</v>
      </c>
      <c r="G413" s="4" t="s">
        <v>119</v>
      </c>
      <c r="H413" s="4"/>
      <c r="I413" s="4" t="str">
        <f t="shared" ref="I413:I439" si="29">IF(I412="","", "MON"&amp;TEXT(VALUE(RIGHT(I412,4))+1,"0000"))</f>
        <v>MON0123</v>
      </c>
      <c r="J413" s="4" t="s">
        <v>107</v>
      </c>
      <c r="K413" s="7" t="s">
        <v>108</v>
      </c>
      <c r="L413" s="7"/>
      <c r="M413" s="7"/>
      <c r="N413" s="13" t="b">
        <v>0</v>
      </c>
      <c r="O413" s="13" t="b">
        <v>0</v>
      </c>
      <c r="P413" s="15" t="s">
        <v>834</v>
      </c>
      <c r="Q413" s="14" t="s">
        <v>752</v>
      </c>
      <c r="R413" s="4" t="s">
        <v>753</v>
      </c>
      <c r="S413" s="10">
        <v>4250000</v>
      </c>
      <c r="T413" s="4" t="e">
        <f>INDEX(Employee!#REF!,MATCH(U413,Employee!#REF!,0))</f>
        <v>#REF!</v>
      </c>
      <c r="U413" s="4"/>
      <c r="V413" s="4" t="e">
        <f>INDEX(Employee!#REF!,MATCH(U413,Employee!#REF!,0))</f>
        <v>#REF!</v>
      </c>
      <c r="W413" s="4" t="e">
        <f>INDEX(Employee!#REF!,MATCH(U413,Employee!#REF!,0))</f>
        <v>#REF!</v>
      </c>
      <c r="X413" s="4" t="e">
        <f>INDEX(Employee!#REF!,MATCH(U413,Employee!#REF!,0))</f>
        <v>#REF!</v>
      </c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 t="str">
        <f>INDEX(Employee!C:C,MATCH(AK413,Employee!B:B,0))</f>
        <v>Trần Triệu Dương</v>
      </c>
      <c r="AK413" s="4" t="s">
        <v>397</v>
      </c>
      <c r="AL413" s="4" t="str">
        <f>INDEX(Employee!D:D,MATCH(AK413,Employee!B:B,0))</f>
        <v>COO</v>
      </c>
      <c r="AM413" s="4" t="str">
        <f>INDEX(Employee!F:F,MATCH(AK413,Employee!B:B,0))</f>
        <v>COO</v>
      </c>
      <c r="AN413" s="4" t="str">
        <f>INDEX(Employee!H:H,MATCH(AK413,Employee!B:B,0))</f>
        <v>Aleksandar Jelic (jelica)</v>
      </c>
      <c r="AO413" s="4"/>
      <c r="AP413" s="4"/>
      <c r="AQ413" s="4"/>
      <c r="AR413" s="4"/>
      <c r="AS413" s="4"/>
      <c r="BR413" s="6"/>
      <c r="CH413" s="6"/>
      <c r="CX413" s="6"/>
    </row>
    <row r="414" spans="1:102" hidden="1">
      <c r="A414" s="3">
        <f t="shared" si="27"/>
        <v>413</v>
      </c>
      <c r="B414" s="4" t="s">
        <v>16</v>
      </c>
      <c r="C414" s="4" t="s">
        <v>4</v>
      </c>
      <c r="D414" s="4" t="e">
        <f>INDEX(Employee!E:E,MATCH(AK414,Employee!B:B,0))</f>
        <v>#N/A</v>
      </c>
      <c r="E414" s="4" t="e">
        <f>INDEX(Employee!F:F,MATCH(AK414,Employee!B:B,0))</f>
        <v>#N/A</v>
      </c>
      <c r="F414" s="4" t="e">
        <f>INDEX(Employee!G:G,MATCH(AK414,Employee!B:B,0))</f>
        <v>#N/A</v>
      </c>
      <c r="G414" s="4" t="s">
        <v>119</v>
      </c>
      <c r="H414" s="4"/>
      <c r="I414" s="4" t="str">
        <f t="shared" si="29"/>
        <v>MON0124</v>
      </c>
      <c r="J414" s="4" t="s">
        <v>107</v>
      </c>
      <c r="K414" s="7" t="s">
        <v>108</v>
      </c>
      <c r="L414" s="7"/>
      <c r="M414" s="7"/>
      <c r="N414" s="13" t="b">
        <v>1</v>
      </c>
      <c r="O414" s="13" t="b">
        <v>0</v>
      </c>
      <c r="P414" s="15" t="s">
        <v>835</v>
      </c>
      <c r="Q414" s="14" t="s">
        <v>752</v>
      </c>
      <c r="R414" s="4" t="s">
        <v>753</v>
      </c>
      <c r="S414" s="10">
        <v>4250000</v>
      </c>
      <c r="T414" s="4" t="e">
        <f>INDEX(Employee!#REF!,MATCH(U414,Employee!#REF!,0))</f>
        <v>#REF!</v>
      </c>
      <c r="U414" s="4"/>
      <c r="V414" s="4" t="e">
        <f>INDEX(Employee!#REF!,MATCH(U414,Employee!#REF!,0))</f>
        <v>#REF!</v>
      </c>
      <c r="W414" s="4" t="e">
        <f>INDEX(Employee!#REF!,MATCH(U414,Employee!#REF!,0))</f>
        <v>#REF!</v>
      </c>
      <c r="X414" s="4" t="e">
        <f>INDEX(Employee!#REF!,MATCH(U414,Employee!#REF!,0))</f>
        <v>#REF!</v>
      </c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 t="e">
        <f>INDEX(Employee!C:C,MATCH(AK414,Employee!B:B,0))</f>
        <v>#N/A</v>
      </c>
      <c r="AK414" s="4"/>
      <c r="AL414" s="4" t="e">
        <f>INDEX(Employee!D:D,MATCH(AK414,Employee!B:B,0))</f>
        <v>#N/A</v>
      </c>
      <c r="AM414" s="4" t="e">
        <f>INDEX(Employee!F:F,MATCH(AK414,Employee!B:B,0))</f>
        <v>#N/A</v>
      </c>
      <c r="AN414" s="4" t="e">
        <f>INDEX(Employee!H:H,MATCH(AK414,Employee!B:B,0))</f>
        <v>#N/A</v>
      </c>
      <c r="AO414" s="4"/>
      <c r="AP414" s="4"/>
      <c r="AQ414" s="4"/>
      <c r="AR414" s="4"/>
      <c r="AS414" s="4"/>
      <c r="BR414" s="6"/>
      <c r="CH414" s="6"/>
      <c r="CX414" s="6"/>
    </row>
    <row r="415" spans="1:102" hidden="1">
      <c r="A415" s="3">
        <f t="shared" si="27"/>
        <v>414</v>
      </c>
      <c r="B415" s="4" t="s">
        <v>16</v>
      </c>
      <c r="C415" s="4" t="s">
        <v>4</v>
      </c>
      <c r="D415" s="4" t="e">
        <f>INDEX(Employee!E:E,MATCH(AK415,Employee!B:B,0))</f>
        <v>#N/A</v>
      </c>
      <c r="E415" s="4" t="e">
        <f>INDEX(Employee!F:F,MATCH(AK415,Employee!B:B,0))</f>
        <v>#N/A</v>
      </c>
      <c r="F415" s="4" t="e">
        <f>INDEX(Employee!G:G,MATCH(AK415,Employee!B:B,0))</f>
        <v>#N/A</v>
      </c>
      <c r="G415" s="4" t="s">
        <v>119</v>
      </c>
      <c r="H415" s="4"/>
      <c r="I415" s="4" t="str">
        <f t="shared" si="29"/>
        <v>MON0125</v>
      </c>
      <c r="J415" s="4" t="s">
        <v>107</v>
      </c>
      <c r="K415" s="7" t="s">
        <v>108</v>
      </c>
      <c r="L415" s="7"/>
      <c r="M415" s="7"/>
      <c r="N415" s="13" t="b">
        <v>1</v>
      </c>
      <c r="O415" s="13" t="b">
        <v>0</v>
      </c>
      <c r="P415" s="15" t="s">
        <v>836</v>
      </c>
      <c r="Q415" s="14" t="s">
        <v>752</v>
      </c>
      <c r="R415" s="4" t="s">
        <v>753</v>
      </c>
      <c r="S415" s="10">
        <v>4250000</v>
      </c>
      <c r="T415" s="4" t="e">
        <f>INDEX(Employee!#REF!,MATCH(U415,Employee!#REF!,0))</f>
        <v>#REF!</v>
      </c>
      <c r="U415" s="4"/>
      <c r="V415" s="4" t="e">
        <f>INDEX(Employee!#REF!,MATCH(U415,Employee!#REF!,0))</f>
        <v>#REF!</v>
      </c>
      <c r="W415" s="4" t="e">
        <f>INDEX(Employee!#REF!,MATCH(U415,Employee!#REF!,0))</f>
        <v>#REF!</v>
      </c>
      <c r="X415" s="4" t="e">
        <f>INDEX(Employee!#REF!,MATCH(U415,Employee!#REF!,0))</f>
        <v>#REF!</v>
      </c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 t="e">
        <f>INDEX(Employee!C:C,MATCH(AK415,Employee!B:B,0))</f>
        <v>#N/A</v>
      </c>
      <c r="AK415" s="4"/>
      <c r="AL415" s="4" t="e">
        <f>INDEX(Employee!D:D,MATCH(AK415,Employee!B:B,0))</f>
        <v>#N/A</v>
      </c>
      <c r="AM415" s="4" t="e">
        <f>INDEX(Employee!F:F,MATCH(AK415,Employee!B:B,0))</f>
        <v>#N/A</v>
      </c>
      <c r="AN415" s="4" t="e">
        <f>INDEX(Employee!H:H,MATCH(AK415,Employee!B:B,0))</f>
        <v>#N/A</v>
      </c>
      <c r="AO415" s="4"/>
      <c r="AP415" s="4"/>
      <c r="AQ415" s="4"/>
      <c r="AR415" s="4"/>
      <c r="AS415" s="4"/>
      <c r="BR415" s="6"/>
      <c r="CH415" s="6"/>
      <c r="CX415" s="6"/>
    </row>
    <row r="416" spans="1:102" hidden="1">
      <c r="A416" s="3">
        <f t="shared" si="27"/>
        <v>415</v>
      </c>
      <c r="B416" s="4" t="s">
        <v>16</v>
      </c>
      <c r="C416" s="4" t="s">
        <v>4</v>
      </c>
      <c r="D416" s="4" t="e">
        <f>INDEX(Employee!E:E,MATCH(AK416,Employee!B:B,0))</f>
        <v>#N/A</v>
      </c>
      <c r="E416" s="4" t="e">
        <f>INDEX(Employee!F:F,MATCH(AK416,Employee!B:B,0))</f>
        <v>#N/A</v>
      </c>
      <c r="F416" s="4" t="e">
        <f>INDEX(Employee!G:G,MATCH(AK416,Employee!B:B,0))</f>
        <v>#N/A</v>
      </c>
      <c r="G416" s="4" t="s">
        <v>119</v>
      </c>
      <c r="H416" s="4"/>
      <c r="I416" s="4" t="str">
        <f t="shared" si="29"/>
        <v>MON0126</v>
      </c>
      <c r="J416" s="4" t="s">
        <v>107</v>
      </c>
      <c r="K416" s="7" t="s">
        <v>108</v>
      </c>
      <c r="L416" s="7"/>
      <c r="M416" s="7"/>
      <c r="N416" s="13" t="b">
        <v>1</v>
      </c>
      <c r="O416" s="13" t="b">
        <v>0</v>
      </c>
      <c r="P416" s="15" t="s">
        <v>837</v>
      </c>
      <c r="Q416" s="14" t="s">
        <v>752</v>
      </c>
      <c r="R416" s="4" t="s">
        <v>753</v>
      </c>
      <c r="S416" s="10">
        <v>4250000</v>
      </c>
      <c r="T416" s="4" t="e">
        <f>INDEX(Employee!#REF!,MATCH(U416,Employee!#REF!,0))</f>
        <v>#REF!</v>
      </c>
      <c r="U416" s="4"/>
      <c r="V416" s="4" t="e">
        <f>INDEX(Employee!#REF!,MATCH(U416,Employee!#REF!,0))</f>
        <v>#REF!</v>
      </c>
      <c r="W416" s="4" t="e">
        <f>INDEX(Employee!#REF!,MATCH(U416,Employee!#REF!,0))</f>
        <v>#REF!</v>
      </c>
      <c r="X416" s="4" t="e">
        <f>INDEX(Employee!#REF!,MATCH(U416,Employee!#REF!,0))</f>
        <v>#REF!</v>
      </c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 t="e">
        <f>INDEX(Employee!C:C,MATCH(AK416,Employee!B:B,0))</f>
        <v>#N/A</v>
      </c>
      <c r="AK416" s="4"/>
      <c r="AL416" s="4" t="e">
        <f>INDEX(Employee!D:D,MATCH(AK416,Employee!B:B,0))</f>
        <v>#N/A</v>
      </c>
      <c r="AM416" s="4" t="e">
        <f>INDEX(Employee!F:F,MATCH(AK416,Employee!B:B,0))</f>
        <v>#N/A</v>
      </c>
      <c r="AN416" s="4" t="e">
        <f>INDEX(Employee!H:H,MATCH(AK416,Employee!B:B,0))</f>
        <v>#N/A</v>
      </c>
      <c r="AO416" s="4"/>
      <c r="AP416" s="4"/>
      <c r="AQ416" s="4"/>
      <c r="AR416" s="4"/>
      <c r="AS416" s="4"/>
      <c r="BR416" s="6"/>
      <c r="CH416" s="6"/>
      <c r="CX416" s="6"/>
    </row>
    <row r="417" spans="1:102" hidden="1">
      <c r="A417" s="3">
        <f t="shared" si="27"/>
        <v>416</v>
      </c>
      <c r="B417" s="4" t="s">
        <v>16</v>
      </c>
      <c r="C417" s="4" t="s">
        <v>4</v>
      </c>
      <c r="D417" s="4" t="e">
        <f>INDEX(Employee!E:E,MATCH(AK417,Employee!B:B,0))</f>
        <v>#N/A</v>
      </c>
      <c r="E417" s="4" t="e">
        <f>INDEX(Employee!F:F,MATCH(AK417,Employee!B:B,0))</f>
        <v>#N/A</v>
      </c>
      <c r="F417" s="4" t="e">
        <f>INDEX(Employee!G:G,MATCH(AK417,Employee!B:B,0))</f>
        <v>#N/A</v>
      </c>
      <c r="G417" s="4" t="s">
        <v>119</v>
      </c>
      <c r="H417" s="4"/>
      <c r="I417" s="4" t="str">
        <f t="shared" si="29"/>
        <v>MON0127</v>
      </c>
      <c r="J417" s="4" t="s">
        <v>107</v>
      </c>
      <c r="K417" s="7" t="s">
        <v>108</v>
      </c>
      <c r="L417" s="7"/>
      <c r="M417" s="7"/>
      <c r="N417" s="13" t="b">
        <v>1</v>
      </c>
      <c r="O417" s="13" t="b">
        <v>0</v>
      </c>
      <c r="P417" s="15" t="s">
        <v>838</v>
      </c>
      <c r="Q417" s="14" t="s">
        <v>752</v>
      </c>
      <c r="R417" s="4" t="s">
        <v>753</v>
      </c>
      <c r="S417" s="10">
        <v>4250000</v>
      </c>
      <c r="T417" s="4" t="e">
        <f>INDEX(Employee!#REF!,MATCH(U417,Employee!#REF!,0))</f>
        <v>#REF!</v>
      </c>
      <c r="U417" s="4"/>
      <c r="V417" s="4" t="e">
        <f>INDEX(Employee!#REF!,MATCH(U417,Employee!#REF!,0))</f>
        <v>#REF!</v>
      </c>
      <c r="W417" s="4" t="e">
        <f>INDEX(Employee!#REF!,MATCH(U417,Employee!#REF!,0))</f>
        <v>#REF!</v>
      </c>
      <c r="X417" s="4" t="e">
        <f>INDEX(Employee!#REF!,MATCH(U417,Employee!#REF!,0))</f>
        <v>#REF!</v>
      </c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 t="e">
        <f>INDEX(Employee!C:C,MATCH(AK417,Employee!B:B,0))</f>
        <v>#N/A</v>
      </c>
      <c r="AK417" s="4"/>
      <c r="AL417" s="4" t="e">
        <f>INDEX(Employee!D:D,MATCH(AK417,Employee!B:B,0))</f>
        <v>#N/A</v>
      </c>
      <c r="AM417" s="4" t="e">
        <f>INDEX(Employee!F:F,MATCH(AK417,Employee!B:B,0))</f>
        <v>#N/A</v>
      </c>
      <c r="AN417" s="4" t="e">
        <f>INDEX(Employee!H:H,MATCH(AK417,Employee!B:B,0))</f>
        <v>#N/A</v>
      </c>
      <c r="AO417" s="4"/>
      <c r="AP417" s="4"/>
      <c r="AQ417" s="4"/>
      <c r="AR417" s="4"/>
      <c r="AS417" s="4"/>
      <c r="BR417" s="6"/>
      <c r="CH417" s="6"/>
      <c r="CX417" s="6"/>
    </row>
    <row r="418" spans="1:102" hidden="1">
      <c r="A418" s="3">
        <f t="shared" si="27"/>
        <v>417</v>
      </c>
      <c r="B418" s="4" t="s">
        <v>16</v>
      </c>
      <c r="C418" s="4" t="s">
        <v>4</v>
      </c>
      <c r="D418" s="4" t="e">
        <f>INDEX(Employee!E:E,MATCH(AK418,Employee!B:B,0))</f>
        <v>#N/A</v>
      </c>
      <c r="E418" s="4" t="e">
        <f>INDEX(Employee!F:F,MATCH(AK418,Employee!B:B,0))</f>
        <v>#N/A</v>
      </c>
      <c r="F418" s="4" t="e">
        <f>INDEX(Employee!G:G,MATCH(AK418,Employee!B:B,0))</f>
        <v>#N/A</v>
      </c>
      <c r="G418" s="4" t="s">
        <v>119</v>
      </c>
      <c r="H418" s="4"/>
      <c r="I418" s="4" t="str">
        <f t="shared" si="29"/>
        <v>MON0128</v>
      </c>
      <c r="J418" s="4" t="s">
        <v>107</v>
      </c>
      <c r="K418" s="7" t="s">
        <v>108</v>
      </c>
      <c r="L418" s="7"/>
      <c r="M418" s="7"/>
      <c r="N418" s="13" t="b">
        <v>1</v>
      </c>
      <c r="O418" s="13" t="b">
        <v>0</v>
      </c>
      <c r="P418" s="15" t="s">
        <v>839</v>
      </c>
      <c r="Q418" s="14" t="s">
        <v>752</v>
      </c>
      <c r="R418" s="4" t="s">
        <v>753</v>
      </c>
      <c r="S418" s="10">
        <v>4250000</v>
      </c>
      <c r="T418" s="4" t="e">
        <f>INDEX(Employee!#REF!,MATCH(U418,Employee!#REF!,0))</f>
        <v>#REF!</v>
      </c>
      <c r="U418" s="4"/>
      <c r="V418" s="4" t="e">
        <f>INDEX(Employee!#REF!,MATCH(U418,Employee!#REF!,0))</f>
        <v>#REF!</v>
      </c>
      <c r="W418" s="4" t="e">
        <f>INDEX(Employee!#REF!,MATCH(U418,Employee!#REF!,0))</f>
        <v>#REF!</v>
      </c>
      <c r="X418" s="4" t="e">
        <f>INDEX(Employee!#REF!,MATCH(U418,Employee!#REF!,0))</f>
        <v>#REF!</v>
      </c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 t="e">
        <f>INDEX(Employee!C:C,MATCH(AK418,Employee!B:B,0))</f>
        <v>#N/A</v>
      </c>
      <c r="AK418" s="4"/>
      <c r="AL418" s="4" t="e">
        <f>INDEX(Employee!D:D,MATCH(AK418,Employee!B:B,0))</f>
        <v>#N/A</v>
      </c>
      <c r="AM418" s="4" t="e">
        <f>INDEX(Employee!F:F,MATCH(AK418,Employee!B:B,0))</f>
        <v>#N/A</v>
      </c>
      <c r="AN418" s="4" t="e">
        <f>INDEX(Employee!H:H,MATCH(AK418,Employee!B:B,0))</f>
        <v>#N/A</v>
      </c>
      <c r="AO418" s="4"/>
      <c r="AP418" s="4"/>
      <c r="AQ418" s="4"/>
      <c r="AR418" s="4"/>
      <c r="AS418" s="4"/>
      <c r="BR418" s="6"/>
      <c r="CH418" s="6"/>
      <c r="CX418" s="6"/>
    </row>
    <row r="419" spans="1:102" hidden="1">
      <c r="A419" s="3">
        <f t="shared" si="27"/>
        <v>418</v>
      </c>
      <c r="B419" s="4" t="s">
        <v>16</v>
      </c>
      <c r="C419" s="4" t="s">
        <v>4</v>
      </c>
      <c r="D419" s="4" t="e">
        <f>INDEX(Employee!E:E,MATCH(AK419,Employee!B:B,0))</f>
        <v>#N/A</v>
      </c>
      <c r="E419" s="4" t="e">
        <f>INDEX(Employee!F:F,MATCH(AK419,Employee!B:B,0))</f>
        <v>#N/A</v>
      </c>
      <c r="F419" s="4" t="e">
        <f>INDEX(Employee!G:G,MATCH(AK419,Employee!B:B,0))</f>
        <v>#N/A</v>
      </c>
      <c r="G419" s="4" t="s">
        <v>119</v>
      </c>
      <c r="H419" s="4"/>
      <c r="I419" s="4" t="str">
        <f t="shared" si="29"/>
        <v>MON0129</v>
      </c>
      <c r="J419" s="4" t="s">
        <v>107</v>
      </c>
      <c r="K419" s="7" t="s">
        <v>108</v>
      </c>
      <c r="L419" s="7"/>
      <c r="M419" s="7"/>
      <c r="N419" s="13" t="b">
        <v>0</v>
      </c>
      <c r="O419" s="13" t="b">
        <v>0</v>
      </c>
      <c r="P419" s="15" t="s">
        <v>840</v>
      </c>
      <c r="Q419" s="14" t="s">
        <v>752</v>
      </c>
      <c r="R419" s="4" t="s">
        <v>753</v>
      </c>
      <c r="S419" s="10">
        <v>4250000</v>
      </c>
      <c r="T419" s="4" t="e">
        <f>INDEX(Employee!#REF!,MATCH(U419,Employee!#REF!,0))</f>
        <v>#REF!</v>
      </c>
      <c r="U419" s="4"/>
      <c r="V419" s="4" t="e">
        <f>INDEX(Employee!#REF!,MATCH(U419,Employee!#REF!,0))</f>
        <v>#REF!</v>
      </c>
      <c r="W419" s="4" t="e">
        <f>INDEX(Employee!#REF!,MATCH(U419,Employee!#REF!,0))</f>
        <v>#REF!</v>
      </c>
      <c r="X419" s="4" t="e">
        <f>INDEX(Employee!#REF!,MATCH(U419,Employee!#REF!,0))</f>
        <v>#REF!</v>
      </c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 t="e">
        <f>INDEX(Employee!C:C,MATCH(AK419,Employee!B:B,0))</f>
        <v>#N/A</v>
      </c>
      <c r="AK419" s="4"/>
      <c r="AL419" s="4" t="e">
        <f>INDEX(Employee!D:D,MATCH(AK419,Employee!B:B,0))</f>
        <v>#N/A</v>
      </c>
      <c r="AM419" s="4" t="e">
        <f>INDEX(Employee!F:F,MATCH(AK419,Employee!B:B,0))</f>
        <v>#N/A</v>
      </c>
      <c r="AN419" s="4" t="e">
        <f>INDEX(Employee!H:H,MATCH(AK419,Employee!B:B,0))</f>
        <v>#N/A</v>
      </c>
      <c r="AO419" s="4"/>
      <c r="AP419" s="4"/>
      <c r="AQ419" s="4"/>
      <c r="AR419" s="4"/>
      <c r="AS419" s="4"/>
      <c r="BR419" s="6"/>
      <c r="CH419" s="6"/>
      <c r="CX419" s="6"/>
    </row>
    <row r="420" spans="1:102" hidden="1">
      <c r="A420" s="3">
        <f t="shared" si="27"/>
        <v>419</v>
      </c>
      <c r="B420" s="4" t="s">
        <v>16</v>
      </c>
      <c r="C420" s="4" t="s">
        <v>4</v>
      </c>
      <c r="D420" s="4" t="e">
        <f>INDEX(Employee!E:E,MATCH(AK420,Employee!B:B,0))</f>
        <v>#N/A</v>
      </c>
      <c r="E420" s="4" t="e">
        <f>INDEX(Employee!F:F,MATCH(AK420,Employee!B:B,0))</f>
        <v>#N/A</v>
      </c>
      <c r="F420" s="4" t="e">
        <f>INDEX(Employee!G:G,MATCH(AK420,Employee!B:B,0))</f>
        <v>#N/A</v>
      </c>
      <c r="G420" s="4" t="s">
        <v>119</v>
      </c>
      <c r="H420" s="4"/>
      <c r="I420" s="4" t="str">
        <f t="shared" si="29"/>
        <v>MON0130</v>
      </c>
      <c r="J420" s="4" t="s">
        <v>107</v>
      </c>
      <c r="K420" s="7" t="s">
        <v>108</v>
      </c>
      <c r="L420" s="7"/>
      <c r="M420" s="7"/>
      <c r="N420" s="13" t="b">
        <v>1</v>
      </c>
      <c r="O420" s="13" t="b">
        <v>0</v>
      </c>
      <c r="P420" s="15" t="s">
        <v>841</v>
      </c>
      <c r="Q420" s="14" t="s">
        <v>752</v>
      </c>
      <c r="R420" s="4" t="s">
        <v>753</v>
      </c>
      <c r="S420" s="10">
        <v>4250000</v>
      </c>
      <c r="T420" s="4" t="e">
        <f>INDEX(Employee!#REF!,MATCH(U420,Employee!#REF!,0))</f>
        <v>#REF!</v>
      </c>
      <c r="U420" s="4"/>
      <c r="V420" s="4" t="e">
        <f>INDEX(Employee!#REF!,MATCH(U420,Employee!#REF!,0))</f>
        <v>#REF!</v>
      </c>
      <c r="W420" s="4" t="e">
        <f>INDEX(Employee!#REF!,MATCH(U420,Employee!#REF!,0))</f>
        <v>#REF!</v>
      </c>
      <c r="X420" s="4" t="e">
        <f>INDEX(Employee!#REF!,MATCH(U420,Employee!#REF!,0))</f>
        <v>#REF!</v>
      </c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 t="e">
        <f>INDEX(Employee!C:C,MATCH(AK420,Employee!B:B,0))</f>
        <v>#N/A</v>
      </c>
      <c r="AK420" s="4"/>
      <c r="AL420" s="4" t="e">
        <f>INDEX(Employee!D:D,MATCH(AK420,Employee!B:B,0))</f>
        <v>#N/A</v>
      </c>
      <c r="AM420" s="4" t="e">
        <f>INDEX(Employee!F:F,MATCH(AK420,Employee!B:B,0))</f>
        <v>#N/A</v>
      </c>
      <c r="AN420" s="4" t="e">
        <f>INDEX(Employee!H:H,MATCH(AK420,Employee!B:B,0))</f>
        <v>#N/A</v>
      </c>
      <c r="AO420" s="4"/>
      <c r="AP420" s="4"/>
      <c r="AQ420" s="4"/>
      <c r="AR420" s="4"/>
      <c r="AS420" s="4"/>
      <c r="BR420" s="6"/>
      <c r="CH420" s="6"/>
      <c r="CX420" s="6"/>
    </row>
    <row r="421" spans="1:102" hidden="1">
      <c r="A421" s="3">
        <f t="shared" si="27"/>
        <v>420</v>
      </c>
      <c r="B421" s="4" t="s">
        <v>16</v>
      </c>
      <c r="C421" s="4" t="s">
        <v>4</v>
      </c>
      <c r="D421" s="4" t="e">
        <f>INDEX(Employee!E:E,MATCH(AK421,Employee!B:B,0))</f>
        <v>#N/A</v>
      </c>
      <c r="E421" s="4" t="e">
        <f>INDEX(Employee!F:F,MATCH(AK421,Employee!B:B,0))</f>
        <v>#N/A</v>
      </c>
      <c r="F421" s="4" t="e">
        <f>INDEX(Employee!G:G,MATCH(AK421,Employee!B:B,0))</f>
        <v>#N/A</v>
      </c>
      <c r="G421" s="4" t="s">
        <v>15</v>
      </c>
      <c r="H421" s="4"/>
      <c r="I421" s="4" t="str">
        <f t="shared" si="29"/>
        <v>MON0131</v>
      </c>
      <c r="J421" s="4" t="s">
        <v>107</v>
      </c>
      <c r="K421" s="7" t="s">
        <v>108</v>
      </c>
      <c r="L421" s="7"/>
      <c r="M421" s="7"/>
      <c r="N421" s="13" t="b">
        <v>0</v>
      </c>
      <c r="O421" s="13" t="b">
        <v>0</v>
      </c>
      <c r="P421" s="15" t="s">
        <v>842</v>
      </c>
      <c r="Q421" s="14" t="s">
        <v>752</v>
      </c>
      <c r="R421" s="4" t="s">
        <v>753</v>
      </c>
      <c r="S421" s="10">
        <v>4250000</v>
      </c>
      <c r="T421" s="4" t="e">
        <f>INDEX(Employee!#REF!,MATCH(U421,Employee!#REF!,0))</f>
        <v>#REF!</v>
      </c>
      <c r="U421" s="4"/>
      <c r="V421" s="4" t="e">
        <f>INDEX(Employee!#REF!,MATCH(U421,Employee!#REF!,0))</f>
        <v>#REF!</v>
      </c>
      <c r="W421" s="4" t="e">
        <f>INDEX(Employee!#REF!,MATCH(U421,Employee!#REF!,0))</f>
        <v>#REF!</v>
      </c>
      <c r="X421" s="4" t="e">
        <f>INDEX(Employee!#REF!,MATCH(U421,Employee!#REF!,0))</f>
        <v>#REF!</v>
      </c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 t="e">
        <f>INDEX(Employee!C:C,MATCH(AK421,Employee!B:B,0))</f>
        <v>#N/A</v>
      </c>
      <c r="AK421" s="4"/>
      <c r="AL421" s="4" t="e">
        <f>INDEX(Employee!D:D,MATCH(AK421,Employee!B:B,0))</f>
        <v>#N/A</v>
      </c>
      <c r="AM421" s="4" t="e">
        <f>INDEX(Employee!F:F,MATCH(AK421,Employee!B:B,0))</f>
        <v>#N/A</v>
      </c>
      <c r="AN421" s="4" t="e">
        <f>INDEX(Employee!H:H,MATCH(AK421,Employee!B:B,0))</f>
        <v>#N/A</v>
      </c>
      <c r="AO421" s="4"/>
      <c r="AP421" s="4"/>
      <c r="AQ421" s="4"/>
      <c r="AR421" s="4"/>
      <c r="AS421" s="4"/>
      <c r="BR421" s="6"/>
      <c r="CH421" s="6"/>
      <c r="CX421" s="6"/>
    </row>
    <row r="422" spans="1:102" hidden="1">
      <c r="A422" s="3">
        <f t="shared" si="27"/>
        <v>421</v>
      </c>
      <c r="B422" s="4" t="s">
        <v>16</v>
      </c>
      <c r="C422" s="4" t="s">
        <v>3</v>
      </c>
      <c r="D422" s="4">
        <f>INDEX(Employee!E:E,MATCH(AK422,Employee!B:B,0))</f>
        <v>0</v>
      </c>
      <c r="E422" s="4" t="str">
        <f>INDEX(Employee!F:F,MATCH(AK422,Employee!B:B,0))</f>
        <v>Tech</v>
      </c>
      <c r="F422" s="4">
        <f>INDEX(Employee!G:G,MATCH(AK422,Employee!B:B,0))</f>
        <v>0</v>
      </c>
      <c r="G422" s="4" t="s">
        <v>119</v>
      </c>
      <c r="H422" s="4"/>
      <c r="I422" s="4" t="str">
        <f t="shared" si="29"/>
        <v>MON0132</v>
      </c>
      <c r="J422" s="4" t="s">
        <v>107</v>
      </c>
      <c r="K422" s="7" t="s">
        <v>108</v>
      </c>
      <c r="L422" s="7"/>
      <c r="M422" s="7"/>
      <c r="N422" s="13" t="b">
        <v>1</v>
      </c>
      <c r="O422" s="13" t="b">
        <v>0</v>
      </c>
      <c r="P422" s="15" t="s">
        <v>843</v>
      </c>
      <c r="Q422" s="14" t="s">
        <v>752</v>
      </c>
      <c r="R422" s="4" t="s">
        <v>753</v>
      </c>
      <c r="S422" s="10">
        <v>4250000</v>
      </c>
      <c r="T422" s="4" t="e">
        <f>INDEX(Employee!#REF!,MATCH(U422,Employee!#REF!,0))</f>
        <v>#REF!</v>
      </c>
      <c r="U422" s="4"/>
      <c r="V422" s="4" t="e">
        <f>INDEX(Employee!#REF!,MATCH(U422,Employee!#REF!,0))</f>
        <v>#REF!</v>
      </c>
      <c r="W422" s="4" t="e">
        <f>INDEX(Employee!#REF!,MATCH(U422,Employee!#REF!,0))</f>
        <v>#REF!</v>
      </c>
      <c r="X422" s="4" t="e">
        <f>INDEX(Employee!#REF!,MATCH(U422,Employee!#REF!,0))</f>
        <v>#REF!</v>
      </c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 t="str">
        <f>INDEX(Employee!C:C,MATCH(AK422,Employee!B:B,0))</f>
        <v>Đỗ Anh Tuấn</v>
      </c>
      <c r="AK422" s="4" t="s">
        <v>778</v>
      </c>
      <c r="AL422" s="4" t="str">
        <f>INDEX(Employee!D:D,MATCH(AK422,Employee!B:B,0))</f>
        <v>Software Engineer</v>
      </c>
      <c r="AM422" s="4" t="str">
        <f>INDEX(Employee!F:F,MATCH(AK422,Employee!B:B,0))</f>
        <v>Tech</v>
      </c>
      <c r="AN422" s="4" t="str">
        <f>INDEX(Employee!H:H,MATCH(AK422,Employee!B:B,0))</f>
        <v>Trần Triệu Dương (duongtt5)</v>
      </c>
      <c r="AO422" s="4"/>
      <c r="AP422" s="4"/>
      <c r="AQ422" s="4"/>
      <c r="AR422" s="4"/>
      <c r="AS422" s="4"/>
      <c r="BR422" s="6"/>
      <c r="CH422" s="6"/>
      <c r="CX422" s="6"/>
    </row>
    <row r="423" spans="1:102" hidden="1">
      <c r="A423" s="3">
        <f t="shared" si="27"/>
        <v>422</v>
      </c>
      <c r="B423" s="4" t="s">
        <v>16</v>
      </c>
      <c r="C423" s="4" t="s">
        <v>3</v>
      </c>
      <c r="D423" s="4">
        <f>INDEX(Employee!E:E,MATCH(AK423,Employee!B:B,0))</f>
        <v>0</v>
      </c>
      <c r="E423" s="4" t="str">
        <f>INDEX(Employee!F:F,MATCH(AK423,Employee!B:B,0))</f>
        <v>OP</v>
      </c>
      <c r="F423" s="4">
        <f>INDEX(Employee!G:G,MATCH(AK423,Employee!B:B,0))</f>
        <v>0</v>
      </c>
      <c r="G423" s="4" t="s">
        <v>119</v>
      </c>
      <c r="H423" s="4"/>
      <c r="I423" s="4" t="str">
        <f t="shared" si="29"/>
        <v>MON0133</v>
      </c>
      <c r="J423" s="4" t="s">
        <v>107</v>
      </c>
      <c r="K423" s="7" t="s">
        <v>108</v>
      </c>
      <c r="L423" s="7"/>
      <c r="M423" s="7"/>
      <c r="N423" s="13" t="b">
        <v>1</v>
      </c>
      <c r="O423" s="13" t="b">
        <v>0</v>
      </c>
      <c r="P423" s="15" t="s">
        <v>844</v>
      </c>
      <c r="Q423" s="14" t="s">
        <v>752</v>
      </c>
      <c r="R423" s="4" t="s">
        <v>753</v>
      </c>
      <c r="S423" s="10">
        <v>4250000</v>
      </c>
      <c r="T423" s="4" t="e">
        <f>INDEX(Employee!#REF!,MATCH(U423,Employee!#REF!,0))</f>
        <v>#REF!</v>
      </c>
      <c r="U423" s="4"/>
      <c r="V423" s="4" t="e">
        <f>INDEX(Employee!#REF!,MATCH(U423,Employee!#REF!,0))</f>
        <v>#REF!</v>
      </c>
      <c r="W423" s="4" t="e">
        <f>INDEX(Employee!#REF!,MATCH(U423,Employee!#REF!,0))</f>
        <v>#REF!</v>
      </c>
      <c r="X423" s="4" t="e">
        <f>INDEX(Employee!#REF!,MATCH(U423,Employee!#REF!,0))</f>
        <v>#REF!</v>
      </c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 t="str">
        <f>INDEX(Employee!C:C,MATCH(AK423,Employee!B:B,0))</f>
        <v>Nguyễn Cao Bách</v>
      </c>
      <c r="AK423" s="4" t="s">
        <v>258</v>
      </c>
      <c r="AL423" s="4" t="str">
        <f>INDEX(Employee!D:D,MATCH(AK423,Employee!B:B,0))</f>
        <v>Site Reliability Engineer</v>
      </c>
      <c r="AM423" s="4" t="str">
        <f>INDEX(Employee!F:F,MATCH(AK423,Employee!B:B,0))</f>
        <v>OP</v>
      </c>
      <c r="AN423" s="4" t="str">
        <f>INDEX(Employee!H:H,MATCH(AK423,Employee!B:B,0))</f>
        <v>Trần Triệu Dương (duongtt5)</v>
      </c>
      <c r="AO423" s="4"/>
      <c r="AP423" s="4"/>
      <c r="AQ423" s="4"/>
      <c r="AR423" s="4"/>
      <c r="AS423" s="4"/>
      <c r="BR423" s="6"/>
      <c r="CH423" s="6"/>
      <c r="CX423" s="6"/>
    </row>
    <row r="424" spans="1:102" hidden="1">
      <c r="A424" s="3">
        <f t="shared" si="27"/>
        <v>423</v>
      </c>
      <c r="B424" s="4" t="s">
        <v>16</v>
      </c>
      <c r="C424" s="4" t="s">
        <v>3</v>
      </c>
      <c r="D424" s="4">
        <f>INDEX(Employee!E:E,MATCH(AK424,Employee!B:B,0))</f>
        <v>0</v>
      </c>
      <c r="E424" s="4" t="str">
        <f>INDEX(Employee!F:F,MATCH(AK424,Employee!B:B,0))</f>
        <v>Tech</v>
      </c>
      <c r="F424" s="4">
        <f>INDEX(Employee!G:G,MATCH(AK424,Employee!B:B,0))</f>
        <v>0</v>
      </c>
      <c r="G424" s="4" t="s">
        <v>119</v>
      </c>
      <c r="H424" s="4"/>
      <c r="I424" s="4" t="str">
        <f t="shared" si="29"/>
        <v>MON0134</v>
      </c>
      <c r="J424" s="4" t="s">
        <v>107</v>
      </c>
      <c r="K424" s="7" t="s">
        <v>108</v>
      </c>
      <c r="L424" s="7"/>
      <c r="M424" s="7"/>
      <c r="N424" s="13" t="b">
        <v>1</v>
      </c>
      <c r="O424" s="13" t="b">
        <v>0</v>
      </c>
      <c r="P424" s="15" t="s">
        <v>845</v>
      </c>
      <c r="Q424" s="14" t="s">
        <v>752</v>
      </c>
      <c r="R424" s="4" t="s">
        <v>753</v>
      </c>
      <c r="S424" s="10">
        <v>4250000</v>
      </c>
      <c r="T424" s="4" t="e">
        <f>INDEX(Employee!#REF!,MATCH(U424,Employee!#REF!,0))</f>
        <v>#REF!</v>
      </c>
      <c r="U424" s="4"/>
      <c r="V424" s="4" t="e">
        <f>INDEX(Employee!#REF!,MATCH(U424,Employee!#REF!,0))</f>
        <v>#REF!</v>
      </c>
      <c r="W424" s="4" t="e">
        <f>INDEX(Employee!#REF!,MATCH(U424,Employee!#REF!,0))</f>
        <v>#REF!</v>
      </c>
      <c r="X424" s="4" t="e">
        <f>INDEX(Employee!#REF!,MATCH(U424,Employee!#REF!,0))</f>
        <v>#REF!</v>
      </c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 t="str">
        <f>INDEX(Employee!C:C,MATCH(AK424,Employee!B:B,0))</f>
        <v>Tăng Huy</v>
      </c>
      <c r="AK424" s="4" t="s">
        <v>631</v>
      </c>
      <c r="AL424" s="4" t="str">
        <f>INDEX(Employee!D:D,MATCH(AK424,Employee!B:B,0))</f>
        <v>Senior Technical Project Manager</v>
      </c>
      <c r="AM424" s="4" t="str">
        <f>INDEX(Employee!F:F,MATCH(AK424,Employee!B:B,0))</f>
        <v>Tech</v>
      </c>
      <c r="AN424" s="4" t="str">
        <f>INDEX(Employee!H:H,MATCH(AK424,Employee!B:B,0))</f>
        <v>Aleksandar Jelic (jelica)</v>
      </c>
      <c r="AO424" s="4"/>
      <c r="AP424" s="4"/>
      <c r="AQ424" s="4"/>
      <c r="AR424" s="4"/>
      <c r="AS424" s="4"/>
      <c r="BR424" s="6"/>
      <c r="CH424" s="6"/>
      <c r="CX424" s="6"/>
    </row>
    <row r="425" spans="1:102" hidden="1">
      <c r="A425" s="3">
        <f t="shared" si="27"/>
        <v>424</v>
      </c>
      <c r="B425" s="4" t="s">
        <v>16</v>
      </c>
      <c r="C425" s="4" t="s">
        <v>4</v>
      </c>
      <c r="D425" s="4" t="e">
        <f>INDEX(Employee!E:E,MATCH(AK425,Employee!B:B,0))</f>
        <v>#N/A</v>
      </c>
      <c r="E425" s="4" t="e">
        <f>INDEX(Employee!F:F,MATCH(AK425,Employee!B:B,0))</f>
        <v>#N/A</v>
      </c>
      <c r="F425" s="4" t="e">
        <f>INDEX(Employee!G:G,MATCH(AK425,Employee!B:B,0))</f>
        <v>#N/A</v>
      </c>
      <c r="G425" s="4" t="s">
        <v>15</v>
      </c>
      <c r="H425" s="4"/>
      <c r="I425" s="4" t="str">
        <f t="shared" si="29"/>
        <v>MON0135</v>
      </c>
      <c r="J425" s="4" t="s">
        <v>107</v>
      </c>
      <c r="K425" s="7" t="s">
        <v>108</v>
      </c>
      <c r="L425" s="7"/>
      <c r="M425" s="7"/>
      <c r="N425" s="13" t="b">
        <v>0</v>
      </c>
      <c r="O425" s="13" t="b">
        <v>0</v>
      </c>
      <c r="P425" s="15" t="s">
        <v>846</v>
      </c>
      <c r="Q425" s="14" t="s">
        <v>752</v>
      </c>
      <c r="R425" s="4" t="s">
        <v>753</v>
      </c>
      <c r="S425" s="10">
        <v>4250000</v>
      </c>
      <c r="T425" s="4" t="e">
        <f>INDEX(Employee!#REF!,MATCH(U425,Employee!#REF!,0))</f>
        <v>#REF!</v>
      </c>
      <c r="U425" s="4"/>
      <c r="V425" s="4" t="e">
        <f>INDEX(Employee!#REF!,MATCH(U425,Employee!#REF!,0))</f>
        <v>#REF!</v>
      </c>
      <c r="W425" s="4" t="e">
        <f>INDEX(Employee!#REF!,MATCH(U425,Employee!#REF!,0))</f>
        <v>#REF!</v>
      </c>
      <c r="X425" s="4" t="e">
        <f>INDEX(Employee!#REF!,MATCH(U425,Employee!#REF!,0))</f>
        <v>#REF!</v>
      </c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 t="e">
        <f>INDEX(Employee!C:C,MATCH(AK425,Employee!B:B,0))</f>
        <v>#N/A</v>
      </c>
      <c r="AK425" s="4"/>
      <c r="AL425" s="4" t="e">
        <f>INDEX(Employee!D:D,MATCH(AK425,Employee!B:B,0))</f>
        <v>#N/A</v>
      </c>
      <c r="AM425" s="4" t="e">
        <f>INDEX(Employee!F:F,MATCH(AK425,Employee!B:B,0))</f>
        <v>#N/A</v>
      </c>
      <c r="AN425" s="4" t="e">
        <f>INDEX(Employee!H:H,MATCH(AK425,Employee!B:B,0))</f>
        <v>#N/A</v>
      </c>
      <c r="AO425" s="4"/>
      <c r="AP425" s="4"/>
      <c r="AQ425" s="4"/>
      <c r="AR425" s="4"/>
      <c r="AS425" s="4"/>
      <c r="BR425" s="6"/>
      <c r="CH425" s="6"/>
      <c r="CX425" s="6"/>
    </row>
    <row r="426" spans="1:102" hidden="1">
      <c r="A426" s="3">
        <f t="shared" si="27"/>
        <v>425</v>
      </c>
      <c r="B426" s="4" t="s">
        <v>16</v>
      </c>
      <c r="C426" s="4" t="s">
        <v>4</v>
      </c>
      <c r="D426" s="4" t="e">
        <f>INDEX(Employee!E:E,MATCH(AK426,Employee!B:B,0))</f>
        <v>#N/A</v>
      </c>
      <c r="E426" s="4" t="e">
        <f>INDEX(Employee!F:F,MATCH(AK426,Employee!B:B,0))</f>
        <v>#N/A</v>
      </c>
      <c r="F426" s="4" t="e">
        <f>INDEX(Employee!G:G,MATCH(AK426,Employee!B:B,0))</f>
        <v>#N/A</v>
      </c>
      <c r="G426" s="4" t="s">
        <v>15</v>
      </c>
      <c r="H426" s="4"/>
      <c r="I426" s="4" t="str">
        <f t="shared" si="29"/>
        <v>MON0136</v>
      </c>
      <c r="J426" s="4" t="s">
        <v>107</v>
      </c>
      <c r="K426" s="7" t="s">
        <v>108</v>
      </c>
      <c r="L426" s="7"/>
      <c r="M426" s="7"/>
      <c r="N426" s="13" t="b">
        <v>0</v>
      </c>
      <c r="O426" s="13" t="b">
        <v>0</v>
      </c>
      <c r="P426" s="15" t="s">
        <v>847</v>
      </c>
      <c r="Q426" s="14" t="s">
        <v>752</v>
      </c>
      <c r="R426" s="4" t="s">
        <v>753</v>
      </c>
      <c r="S426" s="10">
        <v>4250000</v>
      </c>
      <c r="T426" s="4" t="e">
        <f>INDEX(Employee!#REF!,MATCH(U426,Employee!#REF!,0))</f>
        <v>#REF!</v>
      </c>
      <c r="U426" s="4"/>
      <c r="V426" s="4" t="e">
        <f>INDEX(Employee!#REF!,MATCH(U426,Employee!#REF!,0))</f>
        <v>#REF!</v>
      </c>
      <c r="W426" s="4" t="e">
        <f>INDEX(Employee!#REF!,MATCH(U426,Employee!#REF!,0))</f>
        <v>#REF!</v>
      </c>
      <c r="X426" s="4" t="e">
        <f>INDEX(Employee!#REF!,MATCH(U426,Employee!#REF!,0))</f>
        <v>#REF!</v>
      </c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 t="e">
        <f>INDEX(Employee!C:C,MATCH(AK426,Employee!B:B,0))</f>
        <v>#N/A</v>
      </c>
      <c r="AK426" s="4"/>
      <c r="AL426" s="4" t="e">
        <f>INDEX(Employee!D:D,MATCH(AK426,Employee!B:B,0))</f>
        <v>#N/A</v>
      </c>
      <c r="AM426" s="4" t="e">
        <f>INDEX(Employee!F:F,MATCH(AK426,Employee!B:B,0))</f>
        <v>#N/A</v>
      </c>
      <c r="AN426" s="4" t="e">
        <f>INDEX(Employee!H:H,MATCH(AK426,Employee!B:B,0))</f>
        <v>#N/A</v>
      </c>
      <c r="AO426" s="4"/>
      <c r="AP426" s="4"/>
      <c r="AQ426" s="4"/>
      <c r="AR426" s="4"/>
      <c r="AS426" s="4"/>
      <c r="BR426" s="6"/>
      <c r="CH426" s="6"/>
      <c r="CX426" s="6"/>
    </row>
    <row r="427" spans="1:102" hidden="1">
      <c r="A427" s="3">
        <f t="shared" si="27"/>
        <v>426</v>
      </c>
      <c r="B427" s="4" t="s">
        <v>16</v>
      </c>
      <c r="C427" s="4" t="s">
        <v>4</v>
      </c>
      <c r="D427" s="4" t="e">
        <f>INDEX(Employee!E:E,MATCH(AK427,Employee!B:B,0))</f>
        <v>#N/A</v>
      </c>
      <c r="E427" s="4" t="e">
        <f>INDEX(Employee!F:F,MATCH(AK427,Employee!B:B,0))</f>
        <v>#N/A</v>
      </c>
      <c r="F427" s="4" t="e">
        <f>INDEX(Employee!G:G,MATCH(AK427,Employee!B:B,0))</f>
        <v>#N/A</v>
      </c>
      <c r="G427" s="4" t="s">
        <v>119</v>
      </c>
      <c r="H427" s="4"/>
      <c r="I427" s="4" t="str">
        <f t="shared" si="29"/>
        <v>MON0137</v>
      </c>
      <c r="J427" s="4" t="s">
        <v>107</v>
      </c>
      <c r="K427" s="7" t="s">
        <v>108</v>
      </c>
      <c r="L427" s="7"/>
      <c r="M427" s="7"/>
      <c r="N427" s="13" t="b">
        <v>1</v>
      </c>
      <c r="O427" s="13" t="b">
        <v>0</v>
      </c>
      <c r="P427" s="15" t="s">
        <v>848</v>
      </c>
      <c r="Q427" s="14" t="s">
        <v>752</v>
      </c>
      <c r="R427" s="4" t="s">
        <v>753</v>
      </c>
      <c r="S427" s="10">
        <v>4250000</v>
      </c>
      <c r="T427" s="4" t="e">
        <f>INDEX(Employee!#REF!,MATCH(U427,Employee!#REF!,0))</f>
        <v>#REF!</v>
      </c>
      <c r="U427" s="4"/>
      <c r="V427" s="4" t="e">
        <f>INDEX(Employee!#REF!,MATCH(U427,Employee!#REF!,0))</f>
        <v>#REF!</v>
      </c>
      <c r="W427" s="4" t="e">
        <f>INDEX(Employee!#REF!,MATCH(U427,Employee!#REF!,0))</f>
        <v>#REF!</v>
      </c>
      <c r="X427" s="4" t="e">
        <f>INDEX(Employee!#REF!,MATCH(U427,Employee!#REF!,0))</f>
        <v>#REF!</v>
      </c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 t="e">
        <f>INDEX(Employee!C:C,MATCH(AK427,Employee!B:B,0))</f>
        <v>#N/A</v>
      </c>
      <c r="AK427" s="4"/>
      <c r="AL427" s="4" t="e">
        <f>INDEX(Employee!D:D,MATCH(AK427,Employee!B:B,0))</f>
        <v>#N/A</v>
      </c>
      <c r="AM427" s="4" t="e">
        <f>INDEX(Employee!F:F,MATCH(AK427,Employee!B:B,0))</f>
        <v>#N/A</v>
      </c>
      <c r="AN427" s="4" t="e">
        <f>INDEX(Employee!H:H,MATCH(AK427,Employee!B:B,0))</f>
        <v>#N/A</v>
      </c>
      <c r="AO427" s="4"/>
      <c r="AP427" s="4"/>
      <c r="AQ427" s="4"/>
      <c r="AR427" s="4"/>
      <c r="AS427" s="4"/>
      <c r="BR427" s="6"/>
      <c r="CH427" s="6"/>
      <c r="CX427" s="6"/>
    </row>
    <row r="428" spans="1:102" hidden="1">
      <c r="A428" s="3">
        <f t="shared" ref="A428:A491" si="30">IF(B428&lt;&gt;"",ROW()-1,"")</f>
        <v>427</v>
      </c>
      <c r="B428" s="4" t="s">
        <v>16</v>
      </c>
      <c r="C428" s="4" t="s">
        <v>4</v>
      </c>
      <c r="D428" s="4" t="e">
        <f>INDEX(Employee!E:E,MATCH(AK428,Employee!B:B,0))</f>
        <v>#N/A</v>
      </c>
      <c r="E428" s="4" t="e">
        <f>INDEX(Employee!F:F,MATCH(AK428,Employee!B:B,0))</f>
        <v>#N/A</v>
      </c>
      <c r="F428" s="4" t="e">
        <f>INDEX(Employee!G:G,MATCH(AK428,Employee!B:B,0))</f>
        <v>#N/A</v>
      </c>
      <c r="G428" s="4" t="s">
        <v>119</v>
      </c>
      <c r="H428" s="4"/>
      <c r="I428" s="4" t="str">
        <f t="shared" si="29"/>
        <v>MON0138</v>
      </c>
      <c r="J428" s="4" t="s">
        <v>107</v>
      </c>
      <c r="K428" s="7" t="s">
        <v>108</v>
      </c>
      <c r="L428" s="7"/>
      <c r="M428" s="7"/>
      <c r="N428" s="13" t="b">
        <v>1</v>
      </c>
      <c r="O428" s="13" t="b">
        <v>0</v>
      </c>
      <c r="P428" s="15" t="s">
        <v>849</v>
      </c>
      <c r="Q428" s="14" t="s">
        <v>752</v>
      </c>
      <c r="R428" s="4" t="s">
        <v>753</v>
      </c>
      <c r="S428" s="10">
        <v>4250000</v>
      </c>
      <c r="T428" s="4" t="e">
        <f>INDEX(Employee!#REF!,MATCH(U428,Employee!#REF!,0))</f>
        <v>#REF!</v>
      </c>
      <c r="U428" s="4"/>
      <c r="V428" s="4" t="e">
        <f>INDEX(Employee!#REF!,MATCH(U428,Employee!#REF!,0))</f>
        <v>#REF!</v>
      </c>
      <c r="W428" s="4" t="e">
        <f>INDEX(Employee!#REF!,MATCH(U428,Employee!#REF!,0))</f>
        <v>#REF!</v>
      </c>
      <c r="X428" s="4" t="e">
        <f>INDEX(Employee!#REF!,MATCH(U428,Employee!#REF!,0))</f>
        <v>#REF!</v>
      </c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 t="e">
        <f>INDEX(Employee!C:C,MATCH(AK428,Employee!B:B,0))</f>
        <v>#N/A</v>
      </c>
      <c r="AK428" s="4"/>
      <c r="AL428" s="4" t="e">
        <f>INDEX(Employee!D:D,MATCH(AK428,Employee!B:B,0))</f>
        <v>#N/A</v>
      </c>
      <c r="AM428" s="4" t="e">
        <f>INDEX(Employee!F:F,MATCH(AK428,Employee!B:B,0))</f>
        <v>#N/A</v>
      </c>
      <c r="AN428" s="4" t="e">
        <f>INDEX(Employee!H:H,MATCH(AK428,Employee!B:B,0))</f>
        <v>#N/A</v>
      </c>
      <c r="AO428" s="4"/>
      <c r="AP428" s="4"/>
      <c r="AQ428" s="4"/>
      <c r="AR428" s="4"/>
      <c r="AS428" s="4"/>
      <c r="BR428" s="6"/>
      <c r="CH428" s="6"/>
      <c r="CX428" s="6"/>
    </row>
    <row r="429" spans="1:102" hidden="1">
      <c r="A429" s="3">
        <f t="shared" si="30"/>
        <v>428</v>
      </c>
      <c r="B429" s="4" t="s">
        <v>16</v>
      </c>
      <c r="C429" s="4" t="s">
        <v>4</v>
      </c>
      <c r="D429" s="4" t="e">
        <f>INDEX(Employee!E:E,MATCH(AK429,Employee!B:B,0))</f>
        <v>#N/A</v>
      </c>
      <c r="E429" s="4" t="e">
        <f>INDEX(Employee!F:F,MATCH(AK429,Employee!B:B,0))</f>
        <v>#N/A</v>
      </c>
      <c r="F429" s="4" t="e">
        <f>INDEX(Employee!G:G,MATCH(AK429,Employee!B:B,0))</f>
        <v>#N/A</v>
      </c>
      <c r="G429" s="4" t="s">
        <v>119</v>
      </c>
      <c r="H429" s="4"/>
      <c r="I429" s="4" t="str">
        <f t="shared" si="29"/>
        <v>MON0139</v>
      </c>
      <c r="J429" s="4" t="s">
        <v>107</v>
      </c>
      <c r="K429" s="7" t="s">
        <v>108</v>
      </c>
      <c r="L429" s="7"/>
      <c r="M429" s="7"/>
      <c r="N429" s="13" t="b">
        <v>1</v>
      </c>
      <c r="O429" s="13" t="b">
        <v>0</v>
      </c>
      <c r="P429" s="15" t="s">
        <v>850</v>
      </c>
      <c r="Q429" s="14" t="s">
        <v>752</v>
      </c>
      <c r="R429" s="4" t="s">
        <v>753</v>
      </c>
      <c r="S429" s="10">
        <v>4250000</v>
      </c>
      <c r="T429" s="4" t="e">
        <f>INDEX(Employee!#REF!,MATCH(U429,Employee!#REF!,0))</f>
        <v>#REF!</v>
      </c>
      <c r="U429" s="4"/>
      <c r="V429" s="4" t="e">
        <f>INDEX(Employee!#REF!,MATCH(U429,Employee!#REF!,0))</f>
        <v>#REF!</v>
      </c>
      <c r="W429" s="4" t="e">
        <f>INDEX(Employee!#REF!,MATCH(U429,Employee!#REF!,0))</f>
        <v>#REF!</v>
      </c>
      <c r="X429" s="4" t="e">
        <f>INDEX(Employee!#REF!,MATCH(U429,Employee!#REF!,0))</f>
        <v>#REF!</v>
      </c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 t="e">
        <f>INDEX(Employee!C:C,MATCH(AK429,Employee!B:B,0))</f>
        <v>#N/A</v>
      </c>
      <c r="AK429" s="4"/>
      <c r="AL429" s="4" t="e">
        <f>INDEX(Employee!D:D,MATCH(AK429,Employee!B:B,0))</f>
        <v>#N/A</v>
      </c>
      <c r="AM429" s="4" t="e">
        <f>INDEX(Employee!F:F,MATCH(AK429,Employee!B:B,0))</f>
        <v>#N/A</v>
      </c>
      <c r="AN429" s="4" t="e">
        <f>INDEX(Employee!H:H,MATCH(AK429,Employee!B:B,0))</f>
        <v>#N/A</v>
      </c>
      <c r="AO429" s="4"/>
      <c r="AP429" s="4"/>
      <c r="AQ429" s="4"/>
      <c r="AR429" s="4"/>
      <c r="AS429" s="4"/>
      <c r="BR429" s="6"/>
      <c r="CH429" s="6"/>
      <c r="CX429" s="6"/>
    </row>
    <row r="430" spans="1:102" hidden="1">
      <c r="A430" s="3">
        <f t="shared" si="30"/>
        <v>429</v>
      </c>
      <c r="B430" s="4" t="s">
        <v>16</v>
      </c>
      <c r="C430" s="4" t="s">
        <v>4</v>
      </c>
      <c r="D430" s="4" t="e">
        <f>INDEX(Employee!E:E,MATCH(AK430,Employee!B:B,0))</f>
        <v>#N/A</v>
      </c>
      <c r="E430" s="4" t="e">
        <f>INDEX(Employee!F:F,MATCH(AK430,Employee!B:B,0))</f>
        <v>#N/A</v>
      </c>
      <c r="F430" s="4" t="e">
        <f>INDEX(Employee!G:G,MATCH(AK430,Employee!B:B,0))</f>
        <v>#N/A</v>
      </c>
      <c r="G430" s="4" t="s">
        <v>119</v>
      </c>
      <c r="H430" s="4"/>
      <c r="I430" s="4" t="str">
        <f t="shared" si="29"/>
        <v>MON0140</v>
      </c>
      <c r="J430" s="4" t="s">
        <v>107</v>
      </c>
      <c r="K430" s="7" t="s">
        <v>108</v>
      </c>
      <c r="L430" s="7"/>
      <c r="M430" s="7"/>
      <c r="N430" s="13" t="b">
        <v>0</v>
      </c>
      <c r="O430" s="13" t="b">
        <v>0</v>
      </c>
      <c r="P430" s="15" t="s">
        <v>851</v>
      </c>
      <c r="Q430" s="14" t="s">
        <v>752</v>
      </c>
      <c r="R430" s="4" t="s">
        <v>753</v>
      </c>
      <c r="S430" s="10">
        <v>4250000</v>
      </c>
      <c r="T430" s="4" t="e">
        <f>INDEX(Employee!#REF!,MATCH(U430,Employee!#REF!,0))</f>
        <v>#REF!</v>
      </c>
      <c r="U430" s="4"/>
      <c r="V430" s="4" t="e">
        <f>INDEX(Employee!#REF!,MATCH(U430,Employee!#REF!,0))</f>
        <v>#REF!</v>
      </c>
      <c r="W430" s="4" t="e">
        <f>INDEX(Employee!#REF!,MATCH(U430,Employee!#REF!,0))</f>
        <v>#REF!</v>
      </c>
      <c r="X430" s="4" t="e">
        <f>INDEX(Employee!#REF!,MATCH(U430,Employee!#REF!,0))</f>
        <v>#REF!</v>
      </c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 t="e">
        <f>INDEX(Employee!C:C,MATCH(AK430,Employee!B:B,0))</f>
        <v>#N/A</v>
      </c>
      <c r="AK430" s="4"/>
      <c r="AL430" s="4" t="e">
        <f>INDEX(Employee!D:D,MATCH(AK430,Employee!B:B,0))</f>
        <v>#N/A</v>
      </c>
      <c r="AM430" s="4" t="e">
        <f>INDEX(Employee!F:F,MATCH(AK430,Employee!B:B,0))</f>
        <v>#N/A</v>
      </c>
      <c r="AN430" s="4" t="e">
        <f>INDEX(Employee!H:H,MATCH(AK430,Employee!B:B,0))</f>
        <v>#N/A</v>
      </c>
      <c r="AO430" s="4"/>
      <c r="AP430" s="4"/>
      <c r="AQ430" s="4"/>
      <c r="AR430" s="4"/>
      <c r="AS430" s="4"/>
      <c r="BR430" s="6"/>
      <c r="CH430" s="6"/>
      <c r="CX430" s="6"/>
    </row>
    <row r="431" spans="1:102" hidden="1">
      <c r="A431" s="3">
        <f t="shared" si="30"/>
        <v>430</v>
      </c>
      <c r="B431" s="4" t="s">
        <v>16</v>
      </c>
      <c r="C431" s="4" t="s">
        <v>4</v>
      </c>
      <c r="D431" s="4" t="e">
        <f>INDEX(Employee!E:E,MATCH(AK431,Employee!B:B,0))</f>
        <v>#N/A</v>
      </c>
      <c r="E431" s="4" t="e">
        <f>INDEX(Employee!F:F,MATCH(AK431,Employee!B:B,0))</f>
        <v>#N/A</v>
      </c>
      <c r="F431" s="4" t="e">
        <f>INDEX(Employee!G:G,MATCH(AK431,Employee!B:B,0))</f>
        <v>#N/A</v>
      </c>
      <c r="G431" s="4" t="s">
        <v>119</v>
      </c>
      <c r="H431" s="4"/>
      <c r="I431" s="4" t="str">
        <f t="shared" si="29"/>
        <v>MON0141</v>
      </c>
      <c r="J431" s="4" t="s">
        <v>107</v>
      </c>
      <c r="K431" s="7" t="s">
        <v>108</v>
      </c>
      <c r="L431" s="7"/>
      <c r="M431" s="7"/>
      <c r="N431" s="13" t="b">
        <v>1</v>
      </c>
      <c r="O431" s="13" t="b">
        <v>0</v>
      </c>
      <c r="P431" s="15" t="s">
        <v>852</v>
      </c>
      <c r="Q431" s="14" t="s">
        <v>752</v>
      </c>
      <c r="R431" s="4" t="s">
        <v>753</v>
      </c>
      <c r="S431" s="10">
        <v>4250000</v>
      </c>
      <c r="T431" s="4" t="e">
        <f>INDEX(Employee!#REF!,MATCH(U431,Employee!#REF!,0))</f>
        <v>#REF!</v>
      </c>
      <c r="U431" s="4"/>
      <c r="V431" s="4" t="e">
        <f>INDEX(Employee!#REF!,MATCH(U431,Employee!#REF!,0))</f>
        <v>#REF!</v>
      </c>
      <c r="W431" s="4" t="e">
        <f>INDEX(Employee!#REF!,MATCH(U431,Employee!#REF!,0))</f>
        <v>#REF!</v>
      </c>
      <c r="X431" s="4" t="e">
        <f>INDEX(Employee!#REF!,MATCH(U431,Employee!#REF!,0))</f>
        <v>#REF!</v>
      </c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 t="e">
        <f>INDEX(Employee!C:C,MATCH(AK431,Employee!B:B,0))</f>
        <v>#N/A</v>
      </c>
      <c r="AK431" s="4"/>
      <c r="AL431" s="4" t="e">
        <f>INDEX(Employee!D:D,MATCH(AK431,Employee!B:B,0))</f>
        <v>#N/A</v>
      </c>
      <c r="AM431" s="4" t="e">
        <f>INDEX(Employee!F:F,MATCH(AK431,Employee!B:B,0))</f>
        <v>#N/A</v>
      </c>
      <c r="AN431" s="4" t="e">
        <f>INDEX(Employee!H:H,MATCH(AK431,Employee!B:B,0))</f>
        <v>#N/A</v>
      </c>
      <c r="AO431" s="4"/>
      <c r="AP431" s="4"/>
      <c r="AQ431" s="4"/>
      <c r="AR431" s="4"/>
      <c r="AS431" s="4"/>
      <c r="BR431" s="6"/>
      <c r="CH431" s="6"/>
      <c r="CX431" s="6"/>
    </row>
    <row r="432" spans="1:102" hidden="1">
      <c r="A432" s="3">
        <f t="shared" si="30"/>
        <v>431</v>
      </c>
      <c r="B432" s="4" t="s">
        <v>16</v>
      </c>
      <c r="C432" s="4" t="s">
        <v>4</v>
      </c>
      <c r="D432" s="4" t="e">
        <f>INDEX(Employee!E:E,MATCH(AK432,Employee!B:B,0))</f>
        <v>#N/A</v>
      </c>
      <c r="E432" s="4" t="e">
        <f>INDEX(Employee!F:F,MATCH(AK432,Employee!B:B,0))</f>
        <v>#N/A</v>
      </c>
      <c r="F432" s="4" t="e">
        <f>INDEX(Employee!G:G,MATCH(AK432,Employee!B:B,0))</f>
        <v>#N/A</v>
      </c>
      <c r="G432" s="4" t="s">
        <v>15</v>
      </c>
      <c r="H432" s="4"/>
      <c r="I432" s="4" t="str">
        <f t="shared" si="29"/>
        <v>MON0142</v>
      </c>
      <c r="J432" s="4" t="s">
        <v>107</v>
      </c>
      <c r="K432" s="7" t="s">
        <v>108</v>
      </c>
      <c r="L432" s="7"/>
      <c r="M432" s="7"/>
      <c r="N432" s="13" t="b">
        <v>0</v>
      </c>
      <c r="O432" s="13" t="b">
        <v>0</v>
      </c>
      <c r="P432" s="15" t="s">
        <v>853</v>
      </c>
      <c r="Q432" s="14" t="s">
        <v>752</v>
      </c>
      <c r="R432" s="4" t="s">
        <v>753</v>
      </c>
      <c r="S432" s="10">
        <v>4250000</v>
      </c>
      <c r="T432" s="4" t="e">
        <f>INDEX(Employee!#REF!,MATCH(U432,Employee!#REF!,0))</f>
        <v>#REF!</v>
      </c>
      <c r="U432" s="4"/>
      <c r="V432" s="4" t="e">
        <f>INDEX(Employee!#REF!,MATCH(U432,Employee!#REF!,0))</f>
        <v>#REF!</v>
      </c>
      <c r="W432" s="4" t="e">
        <f>INDEX(Employee!#REF!,MATCH(U432,Employee!#REF!,0))</f>
        <v>#REF!</v>
      </c>
      <c r="X432" s="4" t="e">
        <f>INDEX(Employee!#REF!,MATCH(U432,Employee!#REF!,0))</f>
        <v>#REF!</v>
      </c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 t="e">
        <f>INDEX(Employee!C:C,MATCH(AK432,Employee!B:B,0))</f>
        <v>#N/A</v>
      </c>
      <c r="AK432" s="4"/>
      <c r="AL432" s="4" t="e">
        <f>INDEX(Employee!D:D,MATCH(AK432,Employee!B:B,0))</f>
        <v>#N/A</v>
      </c>
      <c r="AM432" s="4" t="e">
        <f>INDEX(Employee!F:F,MATCH(AK432,Employee!B:B,0))</f>
        <v>#N/A</v>
      </c>
      <c r="AN432" s="4" t="e">
        <f>INDEX(Employee!H:H,MATCH(AK432,Employee!B:B,0))</f>
        <v>#N/A</v>
      </c>
      <c r="AO432" s="4"/>
      <c r="AP432" s="4"/>
      <c r="AQ432" s="4"/>
      <c r="AR432" s="4"/>
      <c r="AS432" s="4"/>
      <c r="BR432" s="6"/>
      <c r="CH432" s="6"/>
      <c r="CX432" s="6"/>
    </row>
    <row r="433" spans="1:102" hidden="1">
      <c r="A433" s="3">
        <f t="shared" si="30"/>
        <v>432</v>
      </c>
      <c r="B433" s="4" t="s">
        <v>16</v>
      </c>
      <c r="C433" s="4" t="s">
        <v>4</v>
      </c>
      <c r="D433" s="4" t="e">
        <f>INDEX(Employee!E:E,MATCH(AK433,Employee!B:B,0))</f>
        <v>#N/A</v>
      </c>
      <c r="E433" s="4" t="e">
        <f>INDEX(Employee!F:F,MATCH(AK433,Employee!B:B,0))</f>
        <v>#N/A</v>
      </c>
      <c r="F433" s="4" t="e">
        <f>INDEX(Employee!G:G,MATCH(AK433,Employee!B:B,0))</f>
        <v>#N/A</v>
      </c>
      <c r="G433" s="4" t="s">
        <v>15</v>
      </c>
      <c r="H433" s="4"/>
      <c r="I433" s="4" t="str">
        <f t="shared" si="29"/>
        <v>MON0143</v>
      </c>
      <c r="J433" s="4" t="s">
        <v>107</v>
      </c>
      <c r="K433" s="7" t="s">
        <v>108</v>
      </c>
      <c r="L433" s="7"/>
      <c r="M433" s="7"/>
      <c r="N433" s="13" t="b">
        <v>0</v>
      </c>
      <c r="O433" s="13" t="b">
        <v>0</v>
      </c>
      <c r="P433" s="15" t="s">
        <v>854</v>
      </c>
      <c r="Q433" s="14" t="s">
        <v>752</v>
      </c>
      <c r="R433" s="4" t="s">
        <v>753</v>
      </c>
      <c r="S433" s="10">
        <v>4250000</v>
      </c>
      <c r="T433" s="4" t="e">
        <f>INDEX(Employee!#REF!,MATCH(U433,Employee!#REF!,0))</f>
        <v>#REF!</v>
      </c>
      <c r="U433" s="4"/>
      <c r="V433" s="4" t="e">
        <f>INDEX(Employee!#REF!,MATCH(U433,Employee!#REF!,0))</f>
        <v>#REF!</v>
      </c>
      <c r="W433" s="4" t="e">
        <f>INDEX(Employee!#REF!,MATCH(U433,Employee!#REF!,0))</f>
        <v>#REF!</v>
      </c>
      <c r="X433" s="4" t="e">
        <f>INDEX(Employee!#REF!,MATCH(U433,Employee!#REF!,0))</f>
        <v>#REF!</v>
      </c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 t="e">
        <f>INDEX(Employee!C:C,MATCH(AK433,Employee!B:B,0))</f>
        <v>#N/A</v>
      </c>
      <c r="AK433" s="4"/>
      <c r="AL433" s="4" t="e">
        <f>INDEX(Employee!D:D,MATCH(AK433,Employee!B:B,0))</f>
        <v>#N/A</v>
      </c>
      <c r="AM433" s="4" t="e">
        <f>INDEX(Employee!F:F,MATCH(AK433,Employee!B:B,0))</f>
        <v>#N/A</v>
      </c>
      <c r="AN433" s="4" t="e">
        <f>INDEX(Employee!H:H,MATCH(AK433,Employee!B:B,0))</f>
        <v>#N/A</v>
      </c>
      <c r="AO433" s="4"/>
      <c r="AP433" s="4"/>
      <c r="AQ433" s="4"/>
      <c r="AR433" s="4"/>
      <c r="AS433" s="4"/>
      <c r="BR433" s="6"/>
      <c r="CH433" s="6"/>
      <c r="CX433" s="6"/>
    </row>
    <row r="434" spans="1:102" hidden="1">
      <c r="A434" s="3">
        <f t="shared" si="30"/>
        <v>433</v>
      </c>
      <c r="B434" s="4" t="s">
        <v>16</v>
      </c>
      <c r="C434" s="4" t="s">
        <v>4</v>
      </c>
      <c r="D434" s="4" t="e">
        <f>INDEX(Employee!E:E,MATCH(AK434,Employee!B:B,0))</f>
        <v>#N/A</v>
      </c>
      <c r="E434" s="4" t="e">
        <f>INDEX(Employee!F:F,MATCH(AK434,Employee!B:B,0))</f>
        <v>#N/A</v>
      </c>
      <c r="F434" s="4" t="e">
        <f>INDEX(Employee!G:G,MATCH(AK434,Employee!B:B,0))</f>
        <v>#N/A</v>
      </c>
      <c r="G434" s="4" t="s">
        <v>119</v>
      </c>
      <c r="H434" s="4"/>
      <c r="I434" s="4" t="str">
        <f t="shared" si="29"/>
        <v>MON0144</v>
      </c>
      <c r="J434" s="4" t="s">
        <v>107</v>
      </c>
      <c r="K434" s="7" t="s">
        <v>108</v>
      </c>
      <c r="L434" s="7"/>
      <c r="M434" s="7"/>
      <c r="N434" s="13" t="b">
        <v>1</v>
      </c>
      <c r="O434" s="13" t="b">
        <v>0</v>
      </c>
      <c r="P434" s="15" t="s">
        <v>855</v>
      </c>
      <c r="Q434" s="14" t="s">
        <v>752</v>
      </c>
      <c r="R434" s="4" t="s">
        <v>753</v>
      </c>
      <c r="S434" s="10">
        <v>4250000</v>
      </c>
      <c r="T434" s="4" t="e">
        <f>INDEX(Employee!#REF!,MATCH(U434,Employee!#REF!,0))</f>
        <v>#REF!</v>
      </c>
      <c r="U434" s="4"/>
      <c r="V434" s="4" t="e">
        <f>INDEX(Employee!#REF!,MATCH(U434,Employee!#REF!,0))</f>
        <v>#REF!</v>
      </c>
      <c r="W434" s="4" t="e">
        <f>INDEX(Employee!#REF!,MATCH(U434,Employee!#REF!,0))</f>
        <v>#REF!</v>
      </c>
      <c r="X434" s="4" t="e">
        <f>INDEX(Employee!#REF!,MATCH(U434,Employee!#REF!,0))</f>
        <v>#REF!</v>
      </c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 t="e">
        <f>INDEX(Employee!C:C,MATCH(AK434,Employee!B:B,0))</f>
        <v>#N/A</v>
      </c>
      <c r="AK434" s="4"/>
      <c r="AL434" s="4" t="e">
        <f>INDEX(Employee!D:D,MATCH(AK434,Employee!B:B,0))</f>
        <v>#N/A</v>
      </c>
      <c r="AM434" s="4" t="e">
        <f>INDEX(Employee!F:F,MATCH(AK434,Employee!B:B,0))</f>
        <v>#N/A</v>
      </c>
      <c r="AN434" s="4" t="e">
        <f>INDEX(Employee!H:H,MATCH(AK434,Employee!B:B,0))</f>
        <v>#N/A</v>
      </c>
      <c r="AO434" s="4"/>
      <c r="AP434" s="4"/>
      <c r="AQ434" s="4"/>
      <c r="AR434" s="4"/>
      <c r="AS434" s="4"/>
      <c r="BR434" s="6"/>
      <c r="CH434" s="6"/>
      <c r="CX434" s="6"/>
    </row>
    <row r="435" spans="1:102" hidden="1">
      <c r="A435" s="3">
        <f t="shared" si="30"/>
        <v>434</v>
      </c>
      <c r="B435" s="4" t="s">
        <v>16</v>
      </c>
      <c r="C435" s="4" t="s">
        <v>4</v>
      </c>
      <c r="D435" s="4" t="e">
        <f>INDEX(Employee!E:E,MATCH(AK435,Employee!B:B,0))</f>
        <v>#N/A</v>
      </c>
      <c r="E435" s="4" t="e">
        <f>INDEX(Employee!F:F,MATCH(AK435,Employee!B:B,0))</f>
        <v>#N/A</v>
      </c>
      <c r="F435" s="4" t="e">
        <f>INDEX(Employee!G:G,MATCH(AK435,Employee!B:B,0))</f>
        <v>#N/A</v>
      </c>
      <c r="G435" s="4" t="s">
        <v>119</v>
      </c>
      <c r="H435" s="4"/>
      <c r="I435" s="4" t="str">
        <f t="shared" si="29"/>
        <v>MON0145</v>
      </c>
      <c r="J435" s="4" t="s">
        <v>107</v>
      </c>
      <c r="K435" s="7" t="s">
        <v>108</v>
      </c>
      <c r="L435" s="7"/>
      <c r="M435" s="7"/>
      <c r="N435" s="13" t="b">
        <v>0</v>
      </c>
      <c r="O435" s="13" t="b">
        <v>0</v>
      </c>
      <c r="P435" s="15" t="s">
        <v>856</v>
      </c>
      <c r="Q435" s="14" t="s">
        <v>752</v>
      </c>
      <c r="R435" s="4" t="s">
        <v>753</v>
      </c>
      <c r="S435" s="10">
        <v>4250000</v>
      </c>
      <c r="T435" s="4" t="e">
        <f>INDEX(Employee!#REF!,MATCH(U435,Employee!#REF!,0))</f>
        <v>#REF!</v>
      </c>
      <c r="U435" s="4"/>
      <c r="V435" s="4" t="e">
        <f>INDEX(Employee!#REF!,MATCH(U435,Employee!#REF!,0))</f>
        <v>#REF!</v>
      </c>
      <c r="W435" s="4" t="e">
        <f>INDEX(Employee!#REF!,MATCH(U435,Employee!#REF!,0))</f>
        <v>#REF!</v>
      </c>
      <c r="X435" s="4" t="e">
        <f>INDEX(Employee!#REF!,MATCH(U435,Employee!#REF!,0))</f>
        <v>#REF!</v>
      </c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 t="e">
        <f>INDEX(Employee!C:C,MATCH(AK435,Employee!B:B,0))</f>
        <v>#N/A</v>
      </c>
      <c r="AK435" s="4"/>
      <c r="AL435" s="4" t="e">
        <f>INDEX(Employee!D:D,MATCH(AK435,Employee!B:B,0))</f>
        <v>#N/A</v>
      </c>
      <c r="AM435" s="4" t="e">
        <f>INDEX(Employee!F:F,MATCH(AK435,Employee!B:B,0))</f>
        <v>#N/A</v>
      </c>
      <c r="AN435" s="4" t="e">
        <f>INDEX(Employee!H:H,MATCH(AK435,Employee!B:B,0))</f>
        <v>#N/A</v>
      </c>
      <c r="AO435" s="4"/>
      <c r="AP435" s="4"/>
      <c r="AQ435" s="4"/>
      <c r="AR435" s="4"/>
      <c r="AS435" s="4"/>
      <c r="BR435" s="6"/>
      <c r="CH435" s="6"/>
      <c r="CX435" s="6"/>
    </row>
    <row r="436" spans="1:102" hidden="1">
      <c r="A436" s="3">
        <f t="shared" si="30"/>
        <v>435</v>
      </c>
      <c r="B436" s="4" t="s">
        <v>16</v>
      </c>
      <c r="C436" s="4" t="s">
        <v>4</v>
      </c>
      <c r="D436" s="4" t="e">
        <f>INDEX(Employee!E:E,MATCH(AK436,Employee!B:B,0))</f>
        <v>#N/A</v>
      </c>
      <c r="E436" s="4" t="e">
        <f>INDEX(Employee!F:F,MATCH(AK436,Employee!B:B,0))</f>
        <v>#N/A</v>
      </c>
      <c r="F436" s="4" t="e">
        <f>INDEX(Employee!G:G,MATCH(AK436,Employee!B:B,0))</f>
        <v>#N/A</v>
      </c>
      <c r="G436" s="4" t="s">
        <v>15</v>
      </c>
      <c r="H436" s="4"/>
      <c r="I436" s="4" t="str">
        <f t="shared" si="29"/>
        <v>MON0146</v>
      </c>
      <c r="J436" s="4" t="s">
        <v>107</v>
      </c>
      <c r="K436" s="7" t="s">
        <v>108</v>
      </c>
      <c r="L436" s="7"/>
      <c r="M436" s="7"/>
      <c r="N436" s="13" t="b">
        <v>0</v>
      </c>
      <c r="O436" s="13" t="b">
        <v>0</v>
      </c>
      <c r="P436" s="15" t="s">
        <v>857</v>
      </c>
      <c r="Q436" s="14" t="s">
        <v>752</v>
      </c>
      <c r="R436" s="4" t="s">
        <v>753</v>
      </c>
      <c r="S436" s="10">
        <v>4250000</v>
      </c>
      <c r="T436" s="4" t="e">
        <f>INDEX(Employee!#REF!,MATCH(U436,Employee!#REF!,0))</f>
        <v>#REF!</v>
      </c>
      <c r="U436" s="4"/>
      <c r="V436" s="4" t="e">
        <f>INDEX(Employee!#REF!,MATCH(U436,Employee!#REF!,0))</f>
        <v>#REF!</v>
      </c>
      <c r="W436" s="4" t="e">
        <f>INDEX(Employee!#REF!,MATCH(U436,Employee!#REF!,0))</f>
        <v>#REF!</v>
      </c>
      <c r="X436" s="4" t="e">
        <f>INDEX(Employee!#REF!,MATCH(U436,Employee!#REF!,0))</f>
        <v>#REF!</v>
      </c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 t="e">
        <f>INDEX(Employee!C:C,MATCH(AK436,Employee!B:B,0))</f>
        <v>#N/A</v>
      </c>
      <c r="AK436" s="4"/>
      <c r="AL436" s="4" t="e">
        <f>INDEX(Employee!D:D,MATCH(AK436,Employee!B:B,0))</f>
        <v>#N/A</v>
      </c>
      <c r="AM436" s="4" t="e">
        <f>INDEX(Employee!F:F,MATCH(AK436,Employee!B:B,0))</f>
        <v>#N/A</v>
      </c>
      <c r="AN436" s="4" t="e">
        <f>INDEX(Employee!H:H,MATCH(AK436,Employee!B:B,0))</f>
        <v>#N/A</v>
      </c>
      <c r="AO436" s="4"/>
      <c r="AP436" s="4"/>
      <c r="AQ436" s="4"/>
      <c r="AR436" s="4"/>
      <c r="AS436" s="4"/>
      <c r="BR436" s="6"/>
      <c r="CH436" s="6"/>
      <c r="CX436" s="6"/>
    </row>
    <row r="437" spans="1:102" hidden="1">
      <c r="A437" s="3">
        <f t="shared" si="30"/>
        <v>436</v>
      </c>
      <c r="B437" s="4" t="s">
        <v>16</v>
      </c>
      <c r="C437" s="4" t="s">
        <v>4</v>
      </c>
      <c r="D437" s="4" t="e">
        <f>INDEX(Employee!E:E,MATCH(AK437,Employee!B:B,0))</f>
        <v>#N/A</v>
      </c>
      <c r="E437" s="4" t="e">
        <f>INDEX(Employee!F:F,MATCH(AK437,Employee!B:B,0))</f>
        <v>#N/A</v>
      </c>
      <c r="F437" s="4" t="e">
        <f>INDEX(Employee!G:G,MATCH(AK437,Employee!B:B,0))</f>
        <v>#N/A</v>
      </c>
      <c r="G437" s="4" t="s">
        <v>119</v>
      </c>
      <c r="H437" s="4"/>
      <c r="I437" s="4" t="str">
        <f t="shared" si="29"/>
        <v>MON0147</v>
      </c>
      <c r="J437" s="4" t="s">
        <v>107</v>
      </c>
      <c r="K437" s="7" t="s">
        <v>108</v>
      </c>
      <c r="L437" s="7"/>
      <c r="M437" s="7"/>
      <c r="N437" s="13" t="b">
        <v>0</v>
      </c>
      <c r="O437" s="13" t="b">
        <v>0</v>
      </c>
      <c r="P437" s="15" t="s">
        <v>858</v>
      </c>
      <c r="Q437" s="14" t="s">
        <v>752</v>
      </c>
      <c r="R437" s="4" t="s">
        <v>753</v>
      </c>
      <c r="S437" s="10">
        <v>4250000</v>
      </c>
      <c r="T437" s="4" t="e">
        <f>INDEX(Employee!#REF!,MATCH(U437,Employee!#REF!,0))</f>
        <v>#REF!</v>
      </c>
      <c r="U437" s="4"/>
      <c r="V437" s="4" t="e">
        <f>INDEX(Employee!#REF!,MATCH(U437,Employee!#REF!,0))</f>
        <v>#REF!</v>
      </c>
      <c r="W437" s="4" t="e">
        <f>INDEX(Employee!#REF!,MATCH(U437,Employee!#REF!,0))</f>
        <v>#REF!</v>
      </c>
      <c r="X437" s="4" t="e">
        <f>INDEX(Employee!#REF!,MATCH(U437,Employee!#REF!,0))</f>
        <v>#REF!</v>
      </c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 t="e">
        <f>INDEX(Employee!C:C,MATCH(AK437,Employee!B:B,0))</f>
        <v>#N/A</v>
      </c>
      <c r="AK437" s="4"/>
      <c r="AL437" s="4" t="e">
        <f>INDEX(Employee!D:D,MATCH(AK437,Employee!B:B,0))</f>
        <v>#N/A</v>
      </c>
      <c r="AM437" s="4" t="e">
        <f>INDEX(Employee!F:F,MATCH(AK437,Employee!B:B,0))</f>
        <v>#N/A</v>
      </c>
      <c r="AN437" s="4" t="e">
        <f>INDEX(Employee!H:H,MATCH(AK437,Employee!B:B,0))</f>
        <v>#N/A</v>
      </c>
      <c r="AO437" s="4"/>
      <c r="AP437" s="4"/>
      <c r="AQ437" s="4"/>
      <c r="AR437" s="4"/>
      <c r="AS437" s="4"/>
      <c r="BR437" s="6"/>
      <c r="CH437" s="6"/>
      <c r="CX437" s="6"/>
    </row>
    <row r="438" spans="1:102" hidden="1">
      <c r="A438" s="3">
        <f t="shared" si="30"/>
        <v>437</v>
      </c>
      <c r="B438" s="4" t="s">
        <v>16</v>
      </c>
      <c r="C438" s="4" t="s">
        <v>3</v>
      </c>
      <c r="D438" s="4" t="str">
        <f>INDEX(Employee!E:E,MATCH(AK438,Employee!B:B,0))</f>
        <v>CTD</v>
      </c>
      <c r="E438" s="4" t="str">
        <f>INDEX(Employee!F:F,MATCH(AK438,Employee!B:B,0))</f>
        <v>CTD</v>
      </c>
      <c r="F438" s="4" t="str">
        <f>INDEX(Employee!G:G,MATCH(AK438,Employee!B:B,0))</f>
        <v>CTD</v>
      </c>
      <c r="G438" s="4" t="s">
        <v>15</v>
      </c>
      <c r="H438" s="4"/>
      <c r="I438" s="4" t="str">
        <f t="shared" si="29"/>
        <v>MON0148</v>
      </c>
      <c r="J438" s="4" t="s">
        <v>107</v>
      </c>
      <c r="K438" s="7" t="s">
        <v>859</v>
      </c>
      <c r="L438" s="7"/>
      <c r="M438" s="7"/>
      <c r="N438" s="13" t="b">
        <v>0</v>
      </c>
      <c r="O438" s="13" t="b">
        <v>0</v>
      </c>
      <c r="P438" s="15" t="s">
        <v>860</v>
      </c>
      <c r="Q438" s="14" t="s">
        <v>752</v>
      </c>
      <c r="R438" s="4" t="s">
        <v>753</v>
      </c>
      <c r="S438" s="10">
        <v>12500000</v>
      </c>
      <c r="T438" s="4" t="e">
        <f>INDEX(Employee!#REF!,MATCH(U438,Employee!#REF!,0))</f>
        <v>#REF!</v>
      </c>
      <c r="U438" s="4"/>
      <c r="V438" s="4" t="e">
        <f>INDEX(Employee!#REF!,MATCH(U438,Employee!#REF!,0))</f>
        <v>#REF!</v>
      </c>
      <c r="W438" s="4" t="e">
        <f>INDEX(Employee!#REF!,MATCH(U438,Employee!#REF!,0))</f>
        <v>#REF!</v>
      </c>
      <c r="X438" s="4" t="e">
        <f>INDEX(Employee!#REF!,MATCH(U438,Employee!#REF!,0))</f>
        <v>#REF!</v>
      </c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 t="str">
        <f>INDEX(Employee!C:C,MATCH(AK438,Employee!B:B,0))</f>
        <v>Đào Duy Thoại</v>
      </c>
      <c r="AK438" s="4" t="s">
        <v>683</v>
      </c>
      <c r="AL438" s="4" t="str">
        <f>INDEX(Employee!D:D,MATCH(AK438,Employee!B:B,0))</f>
        <v>Head of IT</v>
      </c>
      <c r="AM438" s="4" t="str">
        <f>INDEX(Employee!F:F,MATCH(AK438,Employee!B:B,0))</f>
        <v>CTD</v>
      </c>
      <c r="AN438" s="4" t="str">
        <f>INDEX(Employee!H:H,MATCH(AK438,Employee!B:B,0))</f>
        <v>CTD</v>
      </c>
      <c r="AO438" s="4"/>
      <c r="AP438" s="4"/>
      <c r="AQ438" s="4"/>
      <c r="AR438" s="4"/>
      <c r="AS438" s="4"/>
      <c r="BR438" s="6"/>
      <c r="CH438" s="6"/>
      <c r="CX438" s="6"/>
    </row>
    <row r="439" spans="1:102" hidden="1">
      <c r="A439" s="3">
        <f t="shared" si="30"/>
        <v>438</v>
      </c>
      <c r="B439" s="4" t="s">
        <v>16</v>
      </c>
      <c r="C439" s="4" t="s">
        <v>3</v>
      </c>
      <c r="D439" s="4" t="str">
        <f>INDEX(Employee!E:E,MATCH(AK439,Employee!B:B,0))</f>
        <v>BO</v>
      </c>
      <c r="E439" s="4" t="str">
        <f>INDEX(Employee!F:F,MATCH(AK439,Employee!B:B,0))</f>
        <v>Marketing</v>
      </c>
      <c r="F439" s="4" t="str">
        <f>INDEX(Employee!G:G,MATCH(AK439,Employee!B:B,0))</f>
        <v>Operation Team</v>
      </c>
      <c r="G439" s="4" t="s">
        <v>15</v>
      </c>
      <c r="H439" s="4"/>
      <c r="I439" s="4" t="str">
        <f t="shared" si="29"/>
        <v>MON0149</v>
      </c>
      <c r="J439" s="4" t="s">
        <v>107</v>
      </c>
      <c r="K439" s="7" t="s">
        <v>859</v>
      </c>
      <c r="L439" s="7"/>
      <c r="M439" s="7"/>
      <c r="N439" s="13" t="b">
        <v>0</v>
      </c>
      <c r="O439" s="13" t="b">
        <v>0</v>
      </c>
      <c r="P439" s="15" t="s">
        <v>861</v>
      </c>
      <c r="Q439" s="14" t="s">
        <v>752</v>
      </c>
      <c r="R439" s="4" t="s">
        <v>753</v>
      </c>
      <c r="S439" s="10">
        <v>12500000</v>
      </c>
      <c r="T439" s="4" t="e">
        <f>INDEX(Employee!#REF!,MATCH(U439,Employee!#REF!,0))</f>
        <v>#REF!</v>
      </c>
      <c r="U439" s="4"/>
      <c r="V439" s="4" t="e">
        <f>INDEX(Employee!#REF!,MATCH(U439,Employee!#REF!,0))</f>
        <v>#REF!</v>
      </c>
      <c r="W439" s="4" t="e">
        <f>INDEX(Employee!#REF!,MATCH(U439,Employee!#REF!,0))</f>
        <v>#REF!</v>
      </c>
      <c r="X439" s="4" t="e">
        <f>INDEX(Employee!#REF!,MATCH(U439,Employee!#REF!,0))</f>
        <v>#REF!</v>
      </c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 t="str">
        <f>INDEX(Employee!C:C,MATCH(AK439,Employee!B:B,0))</f>
        <v>Đinh Vũ Tiến</v>
      </c>
      <c r="AK439" s="4" t="s">
        <v>545</v>
      </c>
      <c r="AL439" s="4" t="str">
        <f>INDEX(Employee!D:D,MATCH(AK439,Employee!B:B,0))</f>
        <v>Branding and Communications Lead</v>
      </c>
      <c r="AM439" s="4" t="str">
        <f>INDEX(Employee!F:F,MATCH(AK439,Employee!B:B,0))</f>
        <v>Marketing</v>
      </c>
      <c r="AN439" s="4" t="str">
        <f>INDEX(Employee!H:H,MATCH(AK439,Employee!B:B,0))</f>
        <v>Nguyễn Thị Thùy Trang</v>
      </c>
      <c r="AO439" s="4"/>
      <c r="AP439" s="4"/>
      <c r="AQ439" s="4"/>
      <c r="AR439" s="4"/>
      <c r="AS439" s="4"/>
      <c r="BR439" s="6"/>
      <c r="CH439" s="6"/>
      <c r="CX439" s="6"/>
    </row>
    <row r="440" spans="1:102" hidden="1">
      <c r="A440" s="3">
        <f t="shared" si="30"/>
        <v>439</v>
      </c>
      <c r="B440" s="4" t="s">
        <v>18</v>
      </c>
      <c r="C440" s="4" t="s">
        <v>4</v>
      </c>
      <c r="D440" s="4" t="e">
        <f>INDEX(Employee!E:E,MATCH(AK440,Employee!B:B,0))</f>
        <v>#N/A</v>
      </c>
      <c r="E440" s="4" t="e">
        <f>INDEX(Employee!F:F,MATCH(AK440,Employee!B:B,0))</f>
        <v>#N/A</v>
      </c>
      <c r="F440" s="4" t="e">
        <f>INDEX(Employee!G:G,MATCH(AK440,Employee!B:B,0))</f>
        <v>#N/A</v>
      </c>
      <c r="G440" s="4" t="s">
        <v>15</v>
      </c>
      <c r="H440" s="4"/>
      <c r="I440" s="4" t="s">
        <v>862</v>
      </c>
      <c r="J440" s="4" t="s">
        <v>111</v>
      </c>
      <c r="K440" s="4" t="s">
        <v>112</v>
      </c>
      <c r="L440" s="4"/>
      <c r="M440" s="4"/>
      <c r="N440" s="13" t="b">
        <v>0</v>
      </c>
      <c r="O440" s="13" t="b">
        <v>0</v>
      </c>
      <c r="P440" s="4" t="s">
        <v>863</v>
      </c>
      <c r="Q440" s="14" t="s">
        <v>752</v>
      </c>
      <c r="R440" s="4" t="s">
        <v>753</v>
      </c>
      <c r="S440" s="10">
        <v>250000</v>
      </c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 t="str">
        <f>INDEX(Employee!C:C,MATCH(AG440,Employee!B:B,0))</f>
        <v>Nguyễn Viết Khải</v>
      </c>
      <c r="AG440" s="4" t="s">
        <v>103</v>
      </c>
      <c r="AH440" s="4" t="str">
        <f>INDEX(Employee!D:D,MATCH(AG440,Employee!B:B,0))</f>
        <v>Lead IT Support Engineer</v>
      </c>
      <c r="AI440" s="4" t="str">
        <f>INDEX(Employee!F:F,MATCH(AG440,Employee!B:B,0))</f>
        <v>Tech</v>
      </c>
      <c r="AJ440" s="4" t="e">
        <f>INDEX(Employee!C:C,MATCH(AK440,Employee!B:B,0))</f>
        <v>#N/A</v>
      </c>
      <c r="AK440" s="4"/>
      <c r="AL440" s="4" t="e">
        <f>INDEX(Employee!D:D,MATCH(AK440,Employee!B:B,0))</f>
        <v>#N/A</v>
      </c>
      <c r="AM440" s="4" t="e">
        <f>INDEX(Employee!F:F,MATCH(AK440,Employee!B:B,0))</f>
        <v>#N/A</v>
      </c>
      <c r="AN440" s="4" t="e">
        <f>INDEX(Employee!H:H,MATCH(AK440,Employee!B:B,0))</f>
        <v>#N/A</v>
      </c>
      <c r="AO440" s="4"/>
      <c r="AP440" s="4"/>
      <c r="AQ440" s="4"/>
      <c r="AR440" s="4"/>
      <c r="AS440" s="4"/>
      <c r="CX440" s="6"/>
    </row>
    <row r="441" spans="1:102" hidden="1">
      <c r="A441" s="3">
        <f t="shared" si="30"/>
        <v>440</v>
      </c>
      <c r="B441" s="4" t="s">
        <v>18</v>
      </c>
      <c r="C441" s="4" t="s">
        <v>3</v>
      </c>
      <c r="D441" s="4">
        <f>INDEX(Employee!E:E,MATCH(AK441,Employee!B:B,0))</f>
        <v>0</v>
      </c>
      <c r="E441" s="4" t="str">
        <f>INDEX(Employee!F:F,MATCH(AK441,Employee!B:B,0))</f>
        <v>Tech</v>
      </c>
      <c r="F441" s="4">
        <f>INDEX(Employee!G:G,MATCH(AK441,Employee!B:B,0))</f>
        <v>0</v>
      </c>
      <c r="G441" s="4" t="s">
        <v>119</v>
      </c>
      <c r="H441" s="4"/>
      <c r="I441" s="4" t="s">
        <v>864</v>
      </c>
      <c r="J441" s="4" t="s">
        <v>111</v>
      </c>
      <c r="K441" s="4" t="s">
        <v>112</v>
      </c>
      <c r="L441" s="4"/>
      <c r="M441" s="4"/>
      <c r="N441" s="13" t="b">
        <v>0</v>
      </c>
      <c r="O441" s="13" t="b">
        <v>0</v>
      </c>
      <c r="P441" s="4" t="s">
        <v>865</v>
      </c>
      <c r="Q441" s="14" t="s">
        <v>752</v>
      </c>
      <c r="R441" s="4" t="s">
        <v>753</v>
      </c>
      <c r="S441" s="10">
        <v>250000</v>
      </c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 t="str">
        <f>INDEX(Employee!C:C,MATCH(AG441,Employee!B:B,0))</f>
        <v>Nguyễn Viết Khải</v>
      </c>
      <c r="AG441" s="4" t="s">
        <v>103</v>
      </c>
      <c r="AH441" s="4" t="str">
        <f>INDEX(Employee!D:D,MATCH(AG441,Employee!B:B,0))</f>
        <v>Lead IT Support Engineer</v>
      </c>
      <c r="AI441" s="4" t="str">
        <f>INDEX(Employee!F:F,MATCH(AG441,Employee!B:B,0))</f>
        <v>Tech</v>
      </c>
      <c r="AJ441" s="4" t="str">
        <f>INDEX(Employee!C:C,MATCH(AK441,Employee!B:B,0))</f>
        <v>Tăng Huy</v>
      </c>
      <c r="AK441" s="4" t="s">
        <v>631</v>
      </c>
      <c r="AL441" s="4" t="str">
        <f>INDEX(Employee!D:D,MATCH(AK441,Employee!B:B,0))</f>
        <v>Senior Technical Project Manager</v>
      </c>
      <c r="AM441" s="4" t="str">
        <f>INDEX(Employee!F:F,MATCH(AK441,Employee!B:B,0))</f>
        <v>Tech</v>
      </c>
      <c r="AN441" s="4" t="str">
        <f>INDEX(Employee!H:H,MATCH(AK441,Employee!B:B,0))</f>
        <v>Aleksandar Jelic (jelica)</v>
      </c>
      <c r="AO441" s="4"/>
      <c r="AP441" s="4"/>
      <c r="AQ441" s="4"/>
      <c r="AR441" s="4"/>
      <c r="AS441" s="4"/>
      <c r="CX441" s="6"/>
    </row>
    <row r="442" spans="1:102" hidden="1">
      <c r="A442" s="3">
        <f t="shared" si="30"/>
        <v>441</v>
      </c>
      <c r="B442" s="4" t="s">
        <v>18</v>
      </c>
      <c r="C442" s="4" t="s">
        <v>4</v>
      </c>
      <c r="D442" s="4" t="e">
        <f>INDEX(Employee!E:E,MATCH(AK442,Employee!B:B,0))</f>
        <v>#N/A</v>
      </c>
      <c r="E442" s="4" t="e">
        <f>INDEX(Employee!F:F,MATCH(AK442,Employee!B:B,0))</f>
        <v>#N/A</v>
      </c>
      <c r="F442" s="4" t="e">
        <f>INDEX(Employee!G:G,MATCH(AK442,Employee!B:B,0))</f>
        <v>#N/A</v>
      </c>
      <c r="G442" s="4" t="s">
        <v>15</v>
      </c>
      <c r="H442" s="4"/>
      <c r="I442" s="4" t="s">
        <v>866</v>
      </c>
      <c r="J442" s="4" t="s">
        <v>111</v>
      </c>
      <c r="K442" s="4" t="s">
        <v>112</v>
      </c>
      <c r="L442" s="4"/>
      <c r="M442" s="4"/>
      <c r="N442" s="13" t="b">
        <v>0</v>
      </c>
      <c r="O442" s="13" t="b">
        <v>0</v>
      </c>
      <c r="P442" s="4" t="s">
        <v>867</v>
      </c>
      <c r="Q442" s="14" t="s">
        <v>752</v>
      </c>
      <c r="R442" s="4" t="s">
        <v>753</v>
      </c>
      <c r="S442" s="10">
        <v>250000</v>
      </c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 t="str">
        <f>INDEX(Employee!C:C,MATCH(AG442,Employee!B:B,0))</f>
        <v>Nguyễn Viết Khải</v>
      </c>
      <c r="AG442" s="4" t="s">
        <v>103</v>
      </c>
      <c r="AH442" s="4" t="str">
        <f>INDEX(Employee!D:D,MATCH(AG442,Employee!B:B,0))</f>
        <v>Lead IT Support Engineer</v>
      </c>
      <c r="AI442" s="4" t="str">
        <f>INDEX(Employee!F:F,MATCH(AG442,Employee!B:B,0))</f>
        <v>Tech</v>
      </c>
      <c r="AJ442" s="4" t="e">
        <f>INDEX(Employee!C:C,MATCH(AK442,Employee!B:B,0))</f>
        <v>#N/A</v>
      </c>
      <c r="AK442" s="4"/>
      <c r="AL442" s="4" t="e">
        <f>INDEX(Employee!D:D,MATCH(AK442,Employee!B:B,0))</f>
        <v>#N/A</v>
      </c>
      <c r="AM442" s="4" t="e">
        <f>INDEX(Employee!F:F,MATCH(AK442,Employee!B:B,0))</f>
        <v>#N/A</v>
      </c>
      <c r="AN442" s="4" t="e">
        <f>INDEX(Employee!H:H,MATCH(AK442,Employee!B:B,0))</f>
        <v>#N/A</v>
      </c>
      <c r="AO442" s="4"/>
      <c r="AP442" s="4"/>
      <c r="AQ442" s="4"/>
      <c r="AR442" s="4"/>
      <c r="AS442" s="4"/>
      <c r="CX442" s="6"/>
    </row>
    <row r="443" spans="1:102" hidden="1">
      <c r="A443" s="3">
        <f t="shared" si="30"/>
        <v>442</v>
      </c>
      <c r="B443" s="4" t="s">
        <v>18</v>
      </c>
      <c r="C443" s="4" t="s">
        <v>4</v>
      </c>
      <c r="D443" s="4" t="e">
        <f>INDEX(Employee!E:E,MATCH(AK443,Employee!B:B,0))</f>
        <v>#N/A</v>
      </c>
      <c r="E443" s="4" t="e">
        <f>INDEX(Employee!F:F,MATCH(AK443,Employee!B:B,0))</f>
        <v>#N/A</v>
      </c>
      <c r="F443" s="4" t="e">
        <f>INDEX(Employee!G:G,MATCH(AK443,Employee!B:B,0))</f>
        <v>#N/A</v>
      </c>
      <c r="G443" s="4" t="s">
        <v>15</v>
      </c>
      <c r="H443" s="4"/>
      <c r="I443" s="4" t="s">
        <v>868</v>
      </c>
      <c r="J443" s="4" t="s">
        <v>111</v>
      </c>
      <c r="K443" s="4" t="s">
        <v>112</v>
      </c>
      <c r="L443" s="4"/>
      <c r="M443" s="4"/>
      <c r="N443" s="13" t="b">
        <v>0</v>
      </c>
      <c r="O443" s="13" t="b">
        <v>0</v>
      </c>
      <c r="P443" s="4" t="s">
        <v>869</v>
      </c>
      <c r="Q443" s="14" t="s">
        <v>752</v>
      </c>
      <c r="R443" s="4" t="s">
        <v>753</v>
      </c>
      <c r="S443" s="10">
        <v>250000</v>
      </c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 t="str">
        <f>INDEX(Employee!C:C,MATCH(AG443,Employee!B:B,0))</f>
        <v>Nguyễn Viết Khải</v>
      </c>
      <c r="AG443" s="4" t="s">
        <v>103</v>
      </c>
      <c r="AH443" s="4" t="str">
        <f>INDEX(Employee!D:D,MATCH(AG443,Employee!B:B,0))</f>
        <v>Lead IT Support Engineer</v>
      </c>
      <c r="AI443" s="4" t="str">
        <f>INDEX(Employee!F:F,MATCH(AG443,Employee!B:B,0))</f>
        <v>Tech</v>
      </c>
      <c r="AJ443" s="4" t="e">
        <f>INDEX(Employee!C:C,MATCH(AK443,Employee!B:B,0))</f>
        <v>#N/A</v>
      </c>
      <c r="AK443" s="4"/>
      <c r="AL443" s="4" t="e">
        <f>INDEX(Employee!D:D,MATCH(AK443,Employee!B:B,0))</f>
        <v>#N/A</v>
      </c>
      <c r="AM443" s="4" t="e">
        <f>INDEX(Employee!F:F,MATCH(AK443,Employee!B:B,0))</f>
        <v>#N/A</v>
      </c>
      <c r="AN443" s="4" t="e">
        <f>INDEX(Employee!H:H,MATCH(AK443,Employee!B:B,0))</f>
        <v>#N/A</v>
      </c>
      <c r="AO443" s="4"/>
      <c r="AP443" s="4"/>
      <c r="AQ443" s="4"/>
      <c r="AR443" s="4"/>
      <c r="AS443" s="4"/>
      <c r="CX443" s="6"/>
    </row>
    <row r="444" spans="1:102" hidden="1">
      <c r="A444" s="3">
        <f t="shared" si="30"/>
        <v>443</v>
      </c>
      <c r="B444" s="4" t="s">
        <v>18</v>
      </c>
      <c r="C444" s="4" t="s">
        <v>3</v>
      </c>
      <c r="D444" s="4" t="str">
        <f>INDEX(Employee!E:E,MATCH(AK444,Employee!B:B,0))</f>
        <v>Undirect IT Staff</v>
      </c>
      <c r="E444" s="4" t="str">
        <f>INDEX(Employee!F:F,MATCH(AK444,Employee!B:B,0))</f>
        <v>Tech</v>
      </c>
      <c r="F444" s="4" t="str">
        <f>INDEX(Employee!G:G,MATCH(AK444,Employee!B:B,0))</f>
        <v>Odoo</v>
      </c>
      <c r="G444" s="4" t="s">
        <v>15</v>
      </c>
      <c r="H444" s="4"/>
      <c r="I444" s="4" t="s">
        <v>870</v>
      </c>
      <c r="J444" s="4" t="s">
        <v>111</v>
      </c>
      <c r="K444" s="4" t="s">
        <v>112</v>
      </c>
      <c r="L444" s="4"/>
      <c r="M444" s="4"/>
      <c r="N444" s="13" t="b">
        <v>0</v>
      </c>
      <c r="O444" s="13" t="b">
        <v>0</v>
      </c>
      <c r="P444" s="4" t="s">
        <v>871</v>
      </c>
      <c r="Q444" s="14" t="s">
        <v>752</v>
      </c>
      <c r="R444" s="4" t="s">
        <v>753</v>
      </c>
      <c r="S444" s="10">
        <v>250000</v>
      </c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 t="str">
        <f>INDEX(Employee!C:C,MATCH(AG444,Employee!B:B,0))</f>
        <v>Nguyễn Viết Khải</v>
      </c>
      <c r="AG444" s="4" t="s">
        <v>103</v>
      </c>
      <c r="AH444" s="4" t="str">
        <f>INDEX(Employee!D:D,MATCH(AG444,Employee!B:B,0))</f>
        <v>Lead IT Support Engineer</v>
      </c>
      <c r="AI444" s="4" t="str">
        <f>INDEX(Employee!F:F,MATCH(AG444,Employee!B:B,0))</f>
        <v>Tech</v>
      </c>
      <c r="AJ444" s="4" t="str">
        <f>INDEX(Employee!C:C,MATCH(AK444,Employee!B:B,0))</f>
        <v>Nguyễn Quốc Trung</v>
      </c>
      <c r="AK444" s="4" t="s">
        <v>496</v>
      </c>
      <c r="AL444" s="4" t="str">
        <f>INDEX(Employee!D:D,MATCH(AK444,Employee!B:B,0))</f>
        <v>Fresher Software Engineer</v>
      </c>
      <c r="AM444" s="4" t="str">
        <f>INDEX(Employee!F:F,MATCH(AK444,Employee!B:B,0))</f>
        <v>Tech</v>
      </c>
      <c r="AN444" s="4" t="str">
        <f>INDEX(Employee!H:H,MATCH(AK444,Employee!B:B,0))</f>
        <v>Dương Phạm Thành Công (congdpt)</v>
      </c>
      <c r="AO444" s="4"/>
      <c r="AP444" s="4"/>
      <c r="AQ444" s="4"/>
      <c r="AR444" s="4"/>
      <c r="AS444" s="4"/>
      <c r="CX444" s="6"/>
    </row>
    <row r="445" spans="1:102" hidden="1">
      <c r="A445" s="3">
        <f t="shared" si="30"/>
        <v>444</v>
      </c>
      <c r="B445" s="4" t="s">
        <v>18</v>
      </c>
      <c r="C445" s="4" t="s">
        <v>3</v>
      </c>
      <c r="D445" s="4" t="str">
        <f>INDEX(Employee!E:E,MATCH(AK445,Employee!B:B,0))</f>
        <v>BO</v>
      </c>
      <c r="E445" s="4" t="str">
        <f>INDEX(Employee!F:F,MATCH(AK445,Employee!B:B,0))</f>
        <v>Business Support</v>
      </c>
      <c r="F445" s="4" t="str">
        <f>INDEX(Employee!G:G,MATCH(AK445,Employee!B:B,0))</f>
        <v>Operation Team</v>
      </c>
      <c r="G445" s="4" t="s">
        <v>15</v>
      </c>
      <c r="H445" s="4"/>
      <c r="I445" s="4" t="s">
        <v>872</v>
      </c>
      <c r="J445" s="4" t="s">
        <v>111</v>
      </c>
      <c r="K445" s="4" t="s">
        <v>112</v>
      </c>
      <c r="L445" s="4"/>
      <c r="M445" s="4"/>
      <c r="N445" s="13" t="b">
        <v>0</v>
      </c>
      <c r="O445" s="13" t="b">
        <v>0</v>
      </c>
      <c r="P445" s="4" t="s">
        <v>873</v>
      </c>
      <c r="Q445" s="14" t="s">
        <v>752</v>
      </c>
      <c r="R445" s="4" t="s">
        <v>753</v>
      </c>
      <c r="S445" s="10">
        <v>250000</v>
      </c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 t="str">
        <f>INDEX(Employee!C:C,MATCH(AG445,Employee!B:B,0))</f>
        <v>Nguyễn Viết Khải</v>
      </c>
      <c r="AG445" s="4" t="s">
        <v>103</v>
      </c>
      <c r="AH445" s="4" t="str">
        <f>INDEX(Employee!D:D,MATCH(AG445,Employee!B:B,0))</f>
        <v>Lead IT Support Engineer</v>
      </c>
      <c r="AI445" s="4" t="str">
        <f>INDEX(Employee!F:F,MATCH(AG445,Employee!B:B,0))</f>
        <v>Tech</v>
      </c>
      <c r="AJ445" s="4" t="str">
        <f>INDEX(Employee!C:C,MATCH(AK445,Employee!B:B,0))</f>
        <v>Nguyễn Ngọc Nhiên</v>
      </c>
      <c r="AK445" s="4" t="s">
        <v>283</v>
      </c>
      <c r="AL445" s="4" t="str">
        <f>INDEX(Employee!D:D,MATCH(AK445,Employee!B:B,0))</f>
        <v>Accounting Intern</v>
      </c>
      <c r="AM445" s="4" t="str">
        <f>INDEX(Employee!F:F,MATCH(AK445,Employee!B:B,0))</f>
        <v>Business Support</v>
      </c>
      <c r="AN445" s="4" t="str">
        <f>INDEX(Employee!H:H,MATCH(AK445,Employee!B:B,0))</f>
        <v>Hoàng Thị Trang</v>
      </c>
      <c r="AO445" s="4"/>
      <c r="AP445" s="4"/>
      <c r="AQ445" s="4"/>
      <c r="AR445" s="4"/>
      <c r="AS445" s="4"/>
      <c r="CX445" s="6"/>
    </row>
    <row r="446" spans="1:102" hidden="1">
      <c r="A446" s="3">
        <f t="shared" si="30"/>
        <v>445</v>
      </c>
      <c r="B446" s="4" t="s">
        <v>18</v>
      </c>
      <c r="C446" s="4" t="s">
        <v>3</v>
      </c>
      <c r="D446" s="4">
        <f>INDEX(Employee!E:E,MATCH(AK446,Employee!B:B,0))</f>
        <v>0</v>
      </c>
      <c r="E446" s="4" t="str">
        <f>INDEX(Employee!F:F,MATCH(AK446,Employee!B:B,0))</f>
        <v>COO</v>
      </c>
      <c r="F446" s="4">
        <f>INDEX(Employee!G:G,MATCH(AK446,Employee!B:B,0))</f>
        <v>0</v>
      </c>
      <c r="G446" s="4" t="s">
        <v>119</v>
      </c>
      <c r="H446" s="4"/>
      <c r="I446" s="4" t="s">
        <v>874</v>
      </c>
      <c r="J446" s="4" t="s">
        <v>111</v>
      </c>
      <c r="K446" s="4" t="s">
        <v>112</v>
      </c>
      <c r="L446" s="4"/>
      <c r="M446" s="4"/>
      <c r="N446" s="13" t="b">
        <v>0</v>
      </c>
      <c r="O446" s="13" t="b">
        <v>0</v>
      </c>
      <c r="P446" s="4" t="s">
        <v>875</v>
      </c>
      <c r="Q446" s="14" t="s">
        <v>752</v>
      </c>
      <c r="R446" s="4" t="s">
        <v>753</v>
      </c>
      <c r="S446" s="10">
        <v>250000</v>
      </c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 t="str">
        <f>INDEX(Employee!C:C,MATCH(AG446,Employee!B:B,0))</f>
        <v>Nguyễn Viết Khải</v>
      </c>
      <c r="AG446" s="4" t="s">
        <v>103</v>
      </c>
      <c r="AH446" s="4" t="str">
        <f>INDEX(Employee!D:D,MATCH(AG446,Employee!B:B,0))</f>
        <v>Lead IT Support Engineer</v>
      </c>
      <c r="AI446" s="4" t="str">
        <f>INDEX(Employee!F:F,MATCH(AG446,Employee!B:B,0))</f>
        <v>Tech</v>
      </c>
      <c r="AJ446" s="4" t="str">
        <f>INDEX(Employee!C:C,MATCH(AK446,Employee!B:B,0))</f>
        <v>Trần Triệu Dương</v>
      </c>
      <c r="AK446" s="4" t="s">
        <v>397</v>
      </c>
      <c r="AL446" s="4" t="str">
        <f>INDEX(Employee!D:D,MATCH(AK446,Employee!B:B,0))</f>
        <v>COO</v>
      </c>
      <c r="AM446" s="4" t="str">
        <f>INDEX(Employee!F:F,MATCH(AK446,Employee!B:B,0))</f>
        <v>COO</v>
      </c>
      <c r="AN446" s="4" t="str">
        <f>INDEX(Employee!H:H,MATCH(AK446,Employee!B:B,0))</f>
        <v>Aleksandar Jelic (jelica)</v>
      </c>
      <c r="AO446" s="4"/>
      <c r="AP446" s="4"/>
      <c r="AQ446" s="4"/>
      <c r="AR446" s="4"/>
      <c r="AS446" s="4"/>
      <c r="CX446" s="6"/>
    </row>
    <row r="447" spans="1:102" hidden="1">
      <c r="A447" s="3">
        <f t="shared" si="30"/>
        <v>446</v>
      </c>
      <c r="B447" s="4" t="s">
        <v>18</v>
      </c>
      <c r="C447" s="4" t="s">
        <v>4</v>
      </c>
      <c r="D447" s="4" t="e">
        <f>INDEX(Employee!E:E,MATCH(AK447,Employee!B:B,0))</f>
        <v>#N/A</v>
      </c>
      <c r="E447" s="4" t="e">
        <f>INDEX(Employee!F:F,MATCH(AK447,Employee!B:B,0))</f>
        <v>#N/A</v>
      </c>
      <c r="F447" s="4" t="e">
        <f>INDEX(Employee!G:G,MATCH(AK447,Employee!B:B,0))</f>
        <v>#N/A</v>
      </c>
      <c r="G447" s="4" t="s">
        <v>15</v>
      </c>
      <c r="H447" s="4"/>
      <c r="I447" s="4" t="s">
        <v>876</v>
      </c>
      <c r="J447" s="4" t="s">
        <v>111</v>
      </c>
      <c r="K447" s="4" t="s">
        <v>112</v>
      </c>
      <c r="L447" s="4"/>
      <c r="M447" s="4"/>
      <c r="N447" s="13" t="b">
        <v>0</v>
      </c>
      <c r="O447" s="13" t="b">
        <v>0</v>
      </c>
      <c r="P447" s="4" t="s">
        <v>877</v>
      </c>
      <c r="Q447" s="14" t="s">
        <v>752</v>
      </c>
      <c r="R447" s="4" t="s">
        <v>753</v>
      </c>
      <c r="S447" s="10">
        <v>250000</v>
      </c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 t="str">
        <f>INDEX(Employee!C:C,MATCH(AG447,Employee!B:B,0))</f>
        <v>Nguyễn Viết Khải</v>
      </c>
      <c r="AG447" s="4" t="s">
        <v>103</v>
      </c>
      <c r="AH447" s="4" t="str">
        <f>INDEX(Employee!D:D,MATCH(AG447,Employee!B:B,0))</f>
        <v>Lead IT Support Engineer</v>
      </c>
      <c r="AI447" s="4" t="str">
        <f>INDEX(Employee!F:F,MATCH(AG447,Employee!B:B,0))</f>
        <v>Tech</v>
      </c>
      <c r="AJ447" s="4" t="e">
        <f>INDEX(Employee!C:C,MATCH(AK447,Employee!B:B,0))</f>
        <v>#N/A</v>
      </c>
      <c r="AK447" s="4"/>
      <c r="AL447" s="4" t="e">
        <f>INDEX(Employee!D:D,MATCH(AK447,Employee!B:B,0))</f>
        <v>#N/A</v>
      </c>
      <c r="AM447" s="4" t="e">
        <f>INDEX(Employee!F:F,MATCH(AK447,Employee!B:B,0))</f>
        <v>#N/A</v>
      </c>
      <c r="AN447" s="4" t="e">
        <f>INDEX(Employee!H:H,MATCH(AK447,Employee!B:B,0))</f>
        <v>#N/A</v>
      </c>
      <c r="AO447" s="4"/>
      <c r="AP447" s="4"/>
      <c r="AQ447" s="4"/>
      <c r="AR447" s="4"/>
      <c r="AS447" s="4"/>
      <c r="CX447" s="6"/>
    </row>
    <row r="448" spans="1:102" hidden="1">
      <c r="A448" s="3">
        <f t="shared" si="30"/>
        <v>447</v>
      </c>
      <c r="B448" s="4" t="s">
        <v>18</v>
      </c>
      <c r="C448" s="4" t="s">
        <v>4</v>
      </c>
      <c r="D448" s="4" t="e">
        <f>INDEX(Employee!E:E,MATCH(AK448,Employee!B:B,0))</f>
        <v>#N/A</v>
      </c>
      <c r="E448" s="4" t="e">
        <f>INDEX(Employee!F:F,MATCH(AK448,Employee!B:B,0))</f>
        <v>#N/A</v>
      </c>
      <c r="F448" s="4" t="e">
        <f>INDEX(Employee!G:G,MATCH(AK448,Employee!B:B,0))</f>
        <v>#N/A</v>
      </c>
      <c r="G448" s="4" t="s">
        <v>15</v>
      </c>
      <c r="H448" s="4"/>
      <c r="I448" s="4" t="s">
        <v>878</v>
      </c>
      <c r="J448" s="4" t="s">
        <v>111</v>
      </c>
      <c r="K448" s="4" t="s">
        <v>112</v>
      </c>
      <c r="L448" s="4"/>
      <c r="M448" s="4"/>
      <c r="N448" s="13" t="b">
        <v>0</v>
      </c>
      <c r="O448" s="13" t="b">
        <v>0</v>
      </c>
      <c r="P448" s="4" t="s">
        <v>879</v>
      </c>
      <c r="Q448" s="14" t="s">
        <v>752</v>
      </c>
      <c r="R448" s="4" t="s">
        <v>753</v>
      </c>
      <c r="S448" s="10">
        <v>250000</v>
      </c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 t="str">
        <f>INDEX(Employee!C:C,MATCH(AG448,Employee!B:B,0))</f>
        <v>Nguyễn Viết Khải</v>
      </c>
      <c r="AG448" s="4" t="s">
        <v>103</v>
      </c>
      <c r="AH448" s="4" t="str">
        <f>INDEX(Employee!D:D,MATCH(AG448,Employee!B:B,0))</f>
        <v>Lead IT Support Engineer</v>
      </c>
      <c r="AI448" s="4" t="str">
        <f>INDEX(Employee!F:F,MATCH(AG448,Employee!B:B,0))</f>
        <v>Tech</v>
      </c>
      <c r="AJ448" s="4" t="e">
        <f>INDEX(Employee!C:C,MATCH(AK448,Employee!B:B,0))</f>
        <v>#N/A</v>
      </c>
      <c r="AK448" s="4"/>
      <c r="AL448" s="4" t="e">
        <f>INDEX(Employee!D:D,MATCH(AK448,Employee!B:B,0))</f>
        <v>#N/A</v>
      </c>
      <c r="AM448" s="4" t="e">
        <f>INDEX(Employee!F:F,MATCH(AK448,Employee!B:B,0))</f>
        <v>#N/A</v>
      </c>
      <c r="AN448" s="4" t="e">
        <f>INDEX(Employee!H:H,MATCH(AK448,Employee!B:B,0))</f>
        <v>#N/A</v>
      </c>
      <c r="AO448" s="4"/>
      <c r="AP448" s="4"/>
      <c r="AQ448" s="4"/>
      <c r="AR448" s="4"/>
      <c r="AS448" s="4"/>
      <c r="CX448" s="6"/>
    </row>
    <row r="449" spans="1:102" hidden="1">
      <c r="A449" s="3">
        <f t="shared" si="30"/>
        <v>448</v>
      </c>
      <c r="B449" s="4" t="s">
        <v>18</v>
      </c>
      <c r="C449" s="4" t="s">
        <v>4</v>
      </c>
      <c r="D449" s="4" t="e">
        <f>INDEX(Employee!E:E,MATCH(AK449,Employee!B:B,0))</f>
        <v>#N/A</v>
      </c>
      <c r="E449" s="4" t="e">
        <f>INDEX(Employee!F:F,MATCH(AK449,Employee!B:B,0))</f>
        <v>#N/A</v>
      </c>
      <c r="F449" s="4" t="e">
        <f>INDEX(Employee!G:G,MATCH(AK449,Employee!B:B,0))</f>
        <v>#N/A</v>
      </c>
      <c r="G449" s="4" t="s">
        <v>15</v>
      </c>
      <c r="H449" s="4"/>
      <c r="I449" s="4" t="s">
        <v>880</v>
      </c>
      <c r="J449" s="4" t="s">
        <v>111</v>
      </c>
      <c r="K449" s="4" t="s">
        <v>112</v>
      </c>
      <c r="L449" s="4"/>
      <c r="M449" s="4"/>
      <c r="N449" s="13" t="b">
        <v>0</v>
      </c>
      <c r="O449" s="13" t="b">
        <v>0</v>
      </c>
      <c r="P449" s="4" t="s">
        <v>881</v>
      </c>
      <c r="Q449" s="14" t="s">
        <v>752</v>
      </c>
      <c r="R449" s="4" t="s">
        <v>753</v>
      </c>
      <c r="S449" s="10">
        <v>250000</v>
      </c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 t="str">
        <f>INDEX(Employee!C:C,MATCH(AG449,Employee!B:B,0))</f>
        <v>Nguyễn Viết Khải</v>
      </c>
      <c r="AG449" s="4" t="s">
        <v>103</v>
      </c>
      <c r="AH449" s="4" t="str">
        <f>INDEX(Employee!D:D,MATCH(AG449,Employee!B:B,0))</f>
        <v>Lead IT Support Engineer</v>
      </c>
      <c r="AI449" s="4" t="str">
        <f>INDEX(Employee!F:F,MATCH(AG449,Employee!B:B,0))</f>
        <v>Tech</v>
      </c>
      <c r="AJ449" s="4" t="e">
        <f>INDEX(Employee!C:C,MATCH(AK449,Employee!B:B,0))</f>
        <v>#N/A</v>
      </c>
      <c r="AK449" s="4"/>
      <c r="AL449" s="4" t="e">
        <f>INDEX(Employee!D:D,MATCH(AK449,Employee!B:B,0))</f>
        <v>#N/A</v>
      </c>
      <c r="AM449" s="4" t="e">
        <f>INDEX(Employee!F:F,MATCH(AK449,Employee!B:B,0))</f>
        <v>#N/A</v>
      </c>
      <c r="AN449" s="4" t="e">
        <f>INDEX(Employee!H:H,MATCH(AK449,Employee!B:B,0))</f>
        <v>#N/A</v>
      </c>
      <c r="AO449" s="4"/>
      <c r="AP449" s="4"/>
      <c r="AQ449" s="4"/>
      <c r="AR449" s="4"/>
      <c r="AS449" s="4"/>
      <c r="CX449" s="6"/>
    </row>
    <row r="450" spans="1:102" hidden="1">
      <c r="A450" s="3">
        <f t="shared" si="30"/>
        <v>449</v>
      </c>
      <c r="B450" s="4" t="s">
        <v>18</v>
      </c>
      <c r="C450" s="4" t="s">
        <v>4</v>
      </c>
      <c r="D450" s="4" t="e">
        <f>INDEX(Employee!E:E,MATCH(AK450,Employee!B:B,0))</f>
        <v>#N/A</v>
      </c>
      <c r="E450" s="4" t="e">
        <f>INDEX(Employee!F:F,MATCH(AK450,Employee!B:B,0))</f>
        <v>#N/A</v>
      </c>
      <c r="F450" s="4" t="e">
        <f>INDEX(Employee!G:G,MATCH(AK450,Employee!B:B,0))</f>
        <v>#N/A</v>
      </c>
      <c r="G450" s="4" t="s">
        <v>15</v>
      </c>
      <c r="H450" s="4"/>
      <c r="I450" s="4" t="s">
        <v>882</v>
      </c>
      <c r="J450" s="4" t="s">
        <v>111</v>
      </c>
      <c r="K450" s="4" t="s">
        <v>112</v>
      </c>
      <c r="L450" s="4"/>
      <c r="M450" s="4"/>
      <c r="N450" s="13" t="b">
        <v>0</v>
      </c>
      <c r="O450" s="13" t="b">
        <v>0</v>
      </c>
      <c r="P450" s="4" t="s">
        <v>883</v>
      </c>
      <c r="Q450" s="14" t="s">
        <v>752</v>
      </c>
      <c r="R450" s="4" t="s">
        <v>753</v>
      </c>
      <c r="S450" s="10">
        <v>250000</v>
      </c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 t="str">
        <f>INDEX(Employee!C:C,MATCH(AG450,Employee!B:B,0))</f>
        <v>Nguyễn Viết Khải</v>
      </c>
      <c r="AG450" s="4" t="s">
        <v>103</v>
      </c>
      <c r="AH450" s="4" t="str">
        <f>INDEX(Employee!D:D,MATCH(AG450,Employee!B:B,0))</f>
        <v>Lead IT Support Engineer</v>
      </c>
      <c r="AI450" s="4" t="str">
        <f>INDEX(Employee!F:F,MATCH(AG450,Employee!B:B,0))</f>
        <v>Tech</v>
      </c>
      <c r="AJ450" s="4" t="e">
        <f>INDEX(Employee!C:C,MATCH(AK450,Employee!B:B,0))</f>
        <v>#N/A</v>
      </c>
      <c r="AK450" s="4"/>
      <c r="AL450" s="4" t="e">
        <f>INDEX(Employee!D:D,MATCH(AK450,Employee!B:B,0))</f>
        <v>#N/A</v>
      </c>
      <c r="AM450" s="4" t="e">
        <f>INDEX(Employee!F:F,MATCH(AK450,Employee!B:B,0))</f>
        <v>#N/A</v>
      </c>
      <c r="AN450" s="4" t="e">
        <f>INDEX(Employee!H:H,MATCH(AK450,Employee!B:B,0))</f>
        <v>#N/A</v>
      </c>
      <c r="AO450" s="4"/>
      <c r="AP450" s="4"/>
      <c r="AQ450" s="4"/>
      <c r="AR450" s="4"/>
      <c r="AS450" s="4"/>
      <c r="CX450" s="6"/>
    </row>
    <row r="451" spans="1:102" hidden="1">
      <c r="A451" s="3">
        <f t="shared" si="30"/>
        <v>450</v>
      </c>
      <c r="B451" s="4" t="s">
        <v>18</v>
      </c>
      <c r="C451" s="4" t="s">
        <v>5</v>
      </c>
      <c r="D451" s="4" t="str">
        <f>INDEX(Employee!E:E,MATCH(AK451,Employee!B:B,0))</f>
        <v>Undirect IT Staff</v>
      </c>
      <c r="E451" s="4" t="str">
        <f>INDEX(Employee!F:F,MATCH(AK451,Employee!B:B,0))</f>
        <v>Tech</v>
      </c>
      <c r="F451" s="4" t="str">
        <f>INDEX(Employee!G:G,MATCH(AK451,Employee!B:B,0))</f>
        <v>Odoo</v>
      </c>
      <c r="G451" s="4" t="s">
        <v>15</v>
      </c>
      <c r="H451" s="4"/>
      <c r="I451" s="4" t="s">
        <v>884</v>
      </c>
      <c r="J451" s="4" t="s">
        <v>111</v>
      </c>
      <c r="K451" s="4" t="s">
        <v>112</v>
      </c>
      <c r="L451" s="4"/>
      <c r="M451" s="4"/>
      <c r="N451" s="13" t="b">
        <v>0</v>
      </c>
      <c r="O451" s="13" t="b">
        <v>0</v>
      </c>
      <c r="P451" s="4" t="s">
        <v>885</v>
      </c>
      <c r="Q451" s="14" t="s">
        <v>752</v>
      </c>
      <c r="R451" s="4" t="s">
        <v>753</v>
      </c>
      <c r="S451" s="10">
        <v>250000</v>
      </c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 t="str">
        <f>INDEX(Employee!C:C,MATCH(AG451,Employee!B:B,0))</f>
        <v>Nguyễn Viết Khải</v>
      </c>
      <c r="AG451" s="4" t="s">
        <v>103</v>
      </c>
      <c r="AH451" s="4" t="str">
        <f>INDEX(Employee!D:D,MATCH(AG451,Employee!B:B,0))</f>
        <v>Lead IT Support Engineer</v>
      </c>
      <c r="AI451" s="4" t="str">
        <f>INDEX(Employee!F:F,MATCH(AG451,Employee!B:B,0))</f>
        <v>Tech</v>
      </c>
      <c r="AJ451" s="4" t="str">
        <f>INDEX(Employee!C:C,MATCH(AK451,Employee!B:B,0))</f>
        <v>Nguyễn Quốc Trung</v>
      </c>
      <c r="AK451" s="4" t="s">
        <v>496</v>
      </c>
      <c r="AL451" s="4" t="str">
        <f>INDEX(Employee!D:D,MATCH(AK451,Employee!B:B,0))</f>
        <v>Fresher Software Engineer</v>
      </c>
      <c r="AM451" s="4" t="str">
        <f>INDEX(Employee!F:F,MATCH(AK451,Employee!B:B,0))</f>
        <v>Tech</v>
      </c>
      <c r="AN451" s="4" t="str">
        <f>INDEX(Employee!H:H,MATCH(AK451,Employee!B:B,0))</f>
        <v>Dương Phạm Thành Công (congdpt)</v>
      </c>
      <c r="AO451" s="4"/>
      <c r="AP451" s="4"/>
      <c r="AQ451" s="4"/>
      <c r="AR451" s="4"/>
      <c r="AS451" s="4"/>
      <c r="CX451" s="6"/>
    </row>
    <row r="452" spans="1:102" hidden="1">
      <c r="A452" s="3">
        <f t="shared" si="30"/>
        <v>451</v>
      </c>
      <c r="B452" s="4" t="s">
        <v>18</v>
      </c>
      <c r="C452" s="4" t="s">
        <v>4</v>
      </c>
      <c r="D452" s="4" t="e">
        <f>INDEX(Employee!E:E,MATCH(AK452,Employee!B:B,0))</f>
        <v>#N/A</v>
      </c>
      <c r="E452" s="4" t="e">
        <f>INDEX(Employee!F:F,MATCH(AK452,Employee!B:B,0))</f>
        <v>#N/A</v>
      </c>
      <c r="F452" s="4" t="e">
        <f>INDEX(Employee!G:G,MATCH(AK452,Employee!B:B,0))</f>
        <v>#N/A</v>
      </c>
      <c r="G452" s="4" t="s">
        <v>15</v>
      </c>
      <c r="H452" s="4"/>
      <c r="I452" s="4" t="s">
        <v>886</v>
      </c>
      <c r="J452" s="4" t="s">
        <v>111</v>
      </c>
      <c r="K452" s="4" t="s">
        <v>112</v>
      </c>
      <c r="L452" s="4"/>
      <c r="M452" s="4"/>
      <c r="N452" s="13" t="b">
        <v>0</v>
      </c>
      <c r="O452" s="13" t="b">
        <v>0</v>
      </c>
      <c r="P452" s="4" t="s">
        <v>887</v>
      </c>
      <c r="Q452" s="14" t="s">
        <v>752</v>
      </c>
      <c r="R452" s="4" t="s">
        <v>753</v>
      </c>
      <c r="S452" s="10">
        <v>250000</v>
      </c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 t="str">
        <f>INDEX(Employee!C:C,MATCH(AG452,Employee!B:B,0))</f>
        <v>Nguyễn Viết Khải</v>
      </c>
      <c r="AG452" s="4" t="s">
        <v>103</v>
      </c>
      <c r="AH452" s="4" t="str">
        <f>INDEX(Employee!D:D,MATCH(AG452,Employee!B:B,0))</f>
        <v>Lead IT Support Engineer</v>
      </c>
      <c r="AI452" s="4" t="str">
        <f>INDEX(Employee!F:F,MATCH(AG452,Employee!B:B,0))</f>
        <v>Tech</v>
      </c>
      <c r="AJ452" s="4" t="e">
        <f>INDEX(Employee!C:C,MATCH(AK452,Employee!B:B,0))</f>
        <v>#N/A</v>
      </c>
      <c r="AK452" s="4"/>
      <c r="AL452" s="4" t="e">
        <f>INDEX(Employee!D:D,MATCH(AK452,Employee!B:B,0))</f>
        <v>#N/A</v>
      </c>
      <c r="AM452" s="4" t="e">
        <f>INDEX(Employee!F:F,MATCH(AK452,Employee!B:B,0))</f>
        <v>#N/A</v>
      </c>
      <c r="AN452" s="4" t="e">
        <f>INDEX(Employee!H:H,MATCH(AK452,Employee!B:B,0))</f>
        <v>#N/A</v>
      </c>
      <c r="AO452" s="4"/>
      <c r="AP452" s="4"/>
      <c r="AQ452" s="4"/>
      <c r="AR452" s="4"/>
      <c r="AS452" s="4"/>
      <c r="CX452" s="6"/>
    </row>
    <row r="453" spans="1:102" hidden="1">
      <c r="A453" s="3">
        <f t="shared" si="30"/>
        <v>452</v>
      </c>
      <c r="B453" s="4" t="s">
        <v>18</v>
      </c>
      <c r="C453" s="4" t="s">
        <v>3</v>
      </c>
      <c r="D453" s="4" t="str">
        <f>INDEX(Employee!E:E,MATCH(AK453,Employee!B:B,0))</f>
        <v>BO</v>
      </c>
      <c r="E453" s="4" t="str">
        <f>INDEX(Employee!F:F,MATCH(AK453,Employee!B:B,0))</f>
        <v>Business Support</v>
      </c>
      <c r="F453" s="4" t="str">
        <f>INDEX(Employee!G:G,MATCH(AK453,Employee!B:B,0))</f>
        <v>Operation Team</v>
      </c>
      <c r="G453" s="4" t="s">
        <v>15</v>
      </c>
      <c r="H453" s="4"/>
      <c r="I453" s="4" t="s">
        <v>888</v>
      </c>
      <c r="J453" s="4" t="s">
        <v>111</v>
      </c>
      <c r="K453" s="4" t="s">
        <v>112</v>
      </c>
      <c r="L453" s="4"/>
      <c r="M453" s="4"/>
      <c r="N453" s="13" t="b">
        <v>0</v>
      </c>
      <c r="O453" s="13" t="b">
        <v>0</v>
      </c>
      <c r="P453" s="4" t="s">
        <v>889</v>
      </c>
      <c r="Q453" s="14" t="s">
        <v>752</v>
      </c>
      <c r="R453" s="4" t="s">
        <v>753</v>
      </c>
      <c r="S453" s="10">
        <v>250000</v>
      </c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 t="str">
        <f>INDEX(Employee!C:C,MATCH(AG453,Employee!B:B,0))</f>
        <v>Nguyễn Viết Khải</v>
      </c>
      <c r="AG453" s="4" t="s">
        <v>103</v>
      </c>
      <c r="AH453" s="4" t="str">
        <f>INDEX(Employee!D:D,MATCH(AG453,Employee!B:B,0))</f>
        <v>Lead IT Support Engineer</v>
      </c>
      <c r="AI453" s="4" t="str">
        <f>INDEX(Employee!F:F,MATCH(AG453,Employee!B:B,0))</f>
        <v>Tech</v>
      </c>
      <c r="AJ453" s="4" t="str">
        <f>INDEX(Employee!C:C,MATCH(AK453,Employee!B:B,0))</f>
        <v>Hoàng Thị Trang</v>
      </c>
      <c r="AK453" s="4" t="s">
        <v>348</v>
      </c>
      <c r="AL453" s="4" t="str">
        <f>INDEX(Employee!D:D,MATCH(AK453,Employee!B:B,0))</f>
        <v>Accounting Manager</v>
      </c>
      <c r="AM453" s="4" t="str">
        <f>INDEX(Employee!F:F,MATCH(AK453,Employee!B:B,0))</f>
        <v>Business Support</v>
      </c>
      <c r="AN453" s="4" t="str">
        <f>INDEX(Employee!H:H,MATCH(AK453,Employee!B:B,0))</f>
        <v>Nguyễn Thị Thủy</v>
      </c>
      <c r="AO453" s="4"/>
      <c r="AP453" s="4"/>
      <c r="AQ453" s="4"/>
      <c r="AR453" s="4"/>
      <c r="AS453" s="4"/>
      <c r="CX453" s="6"/>
    </row>
    <row r="454" spans="1:102" hidden="1">
      <c r="A454" s="3">
        <f t="shared" si="30"/>
        <v>453</v>
      </c>
      <c r="B454" s="4" t="s">
        <v>18</v>
      </c>
      <c r="C454" s="4" t="s">
        <v>3</v>
      </c>
      <c r="D454" s="4" t="str">
        <f>INDEX(Employee!E:E,MATCH(AK454,Employee!B:B,0))</f>
        <v>Project</v>
      </c>
      <c r="E454" s="4" t="str">
        <f>INDEX(Employee!F:F,MATCH(AK454,Employee!B:B,0))</f>
        <v>Tech</v>
      </c>
      <c r="F454" s="4" t="str">
        <f>INDEX(Employee!G:G,MATCH(AK454,Employee!B:B,0))</f>
        <v>Venture</v>
      </c>
      <c r="G454" s="4" t="s">
        <v>15</v>
      </c>
      <c r="H454" s="4"/>
      <c r="I454" s="4" t="s">
        <v>890</v>
      </c>
      <c r="J454" s="4" t="s">
        <v>111</v>
      </c>
      <c r="K454" s="4" t="s">
        <v>112</v>
      </c>
      <c r="L454" s="4"/>
      <c r="M454" s="4"/>
      <c r="N454" s="13" t="b">
        <v>0</v>
      </c>
      <c r="O454" s="13" t="b">
        <v>0</v>
      </c>
      <c r="P454" s="4" t="s">
        <v>891</v>
      </c>
      <c r="Q454" s="14" t="s">
        <v>752</v>
      </c>
      <c r="R454" s="4" t="s">
        <v>753</v>
      </c>
      <c r="S454" s="10">
        <v>250000</v>
      </c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 t="str">
        <f>INDEX(Employee!C:C,MATCH(AG454,Employee!B:B,0))</f>
        <v>Nguyễn Viết Khải</v>
      </c>
      <c r="AG454" s="4" t="s">
        <v>103</v>
      </c>
      <c r="AH454" s="4" t="str">
        <f>INDEX(Employee!D:D,MATCH(AG454,Employee!B:B,0))</f>
        <v>Lead IT Support Engineer</v>
      </c>
      <c r="AI454" s="4" t="str">
        <f>INDEX(Employee!F:F,MATCH(AG454,Employee!B:B,0))</f>
        <v>Tech</v>
      </c>
      <c r="AJ454" s="4" t="str">
        <f>INDEX(Employee!C:C,MATCH(AK454,Employee!B:B,0))</f>
        <v>Nguyễn Hoàng Tâm</v>
      </c>
      <c r="AK454" s="4" t="s">
        <v>523</v>
      </c>
      <c r="AL454" s="4" t="str">
        <f>INDEX(Employee!D:D,MATCH(AK454,Employee!B:B,0))</f>
        <v>Senior Software Engineer</v>
      </c>
      <c r="AM454" s="4" t="str">
        <f>INDEX(Employee!F:F,MATCH(AK454,Employee!B:B,0))</f>
        <v>Tech</v>
      </c>
      <c r="AN454" s="4" t="str">
        <f>INDEX(Employee!H:H,MATCH(AK454,Employee!B:B,0))</f>
        <v>Phùng Thanh Huy (huypt3)</v>
      </c>
      <c r="AO454" s="4"/>
      <c r="AP454" s="4"/>
      <c r="AQ454" s="4"/>
      <c r="AR454" s="4"/>
      <c r="AS454" s="4"/>
      <c r="CX454" s="6"/>
    </row>
    <row r="455" spans="1:102" hidden="1">
      <c r="A455" s="3">
        <f t="shared" si="30"/>
        <v>454</v>
      </c>
      <c r="B455" s="4" t="s">
        <v>18</v>
      </c>
      <c r="C455" s="4" t="s">
        <v>4</v>
      </c>
      <c r="D455" s="4" t="e">
        <f>INDEX(Employee!E:E,MATCH(AK455,Employee!B:B,0))</f>
        <v>#N/A</v>
      </c>
      <c r="E455" s="4" t="e">
        <f>INDEX(Employee!F:F,MATCH(AK455,Employee!B:B,0))</f>
        <v>#N/A</v>
      </c>
      <c r="F455" s="4" t="e">
        <f>INDEX(Employee!G:G,MATCH(AK455,Employee!B:B,0))</f>
        <v>#N/A</v>
      </c>
      <c r="G455" s="4" t="s">
        <v>15</v>
      </c>
      <c r="H455" s="4"/>
      <c r="I455" s="4" t="s">
        <v>892</v>
      </c>
      <c r="J455" s="4" t="s">
        <v>111</v>
      </c>
      <c r="K455" s="4" t="s">
        <v>112</v>
      </c>
      <c r="L455" s="4"/>
      <c r="M455" s="4"/>
      <c r="N455" s="13" t="b">
        <v>0</v>
      </c>
      <c r="O455" s="13" t="b">
        <v>0</v>
      </c>
      <c r="P455" s="4" t="s">
        <v>893</v>
      </c>
      <c r="Q455" s="14" t="s">
        <v>752</v>
      </c>
      <c r="R455" s="4" t="s">
        <v>753</v>
      </c>
      <c r="S455" s="10">
        <v>250000</v>
      </c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 t="str">
        <f>INDEX(Employee!C:C,MATCH(AG455,Employee!B:B,0))</f>
        <v>Nguyễn Viết Khải</v>
      </c>
      <c r="AG455" s="4" t="s">
        <v>103</v>
      </c>
      <c r="AH455" s="4" t="str">
        <f>INDEX(Employee!D:D,MATCH(AG455,Employee!B:B,0))</f>
        <v>Lead IT Support Engineer</v>
      </c>
      <c r="AI455" s="4" t="str">
        <f>INDEX(Employee!F:F,MATCH(AG455,Employee!B:B,0))</f>
        <v>Tech</v>
      </c>
      <c r="AJ455" s="4" t="e">
        <f>INDEX(Employee!C:C,MATCH(AK455,Employee!B:B,0))</f>
        <v>#N/A</v>
      </c>
      <c r="AK455" s="4"/>
      <c r="AL455" s="4" t="e">
        <f>INDEX(Employee!D:D,MATCH(AK455,Employee!B:B,0))</f>
        <v>#N/A</v>
      </c>
      <c r="AM455" s="4" t="e">
        <f>INDEX(Employee!F:F,MATCH(AK455,Employee!B:B,0))</f>
        <v>#N/A</v>
      </c>
      <c r="AN455" s="4" t="e">
        <f>INDEX(Employee!H:H,MATCH(AK455,Employee!B:B,0))</f>
        <v>#N/A</v>
      </c>
      <c r="AO455" s="4"/>
      <c r="AP455" s="4"/>
      <c r="AQ455" s="4"/>
      <c r="AR455" s="4"/>
      <c r="AS455" s="4"/>
      <c r="CX455" s="6"/>
    </row>
    <row r="456" spans="1:102" hidden="1">
      <c r="A456" s="3">
        <f t="shared" si="30"/>
        <v>455</v>
      </c>
      <c r="B456" s="4" t="s">
        <v>18</v>
      </c>
      <c r="C456" s="4" t="s">
        <v>3</v>
      </c>
      <c r="D456" s="4" t="str">
        <f>INDEX(Employee!E:E,MATCH(AK456,Employee!B:B,0))</f>
        <v>BO</v>
      </c>
      <c r="E456" s="4" t="str">
        <f>INDEX(Employee!F:F,MATCH(AK456,Employee!B:B,0))</f>
        <v>Business Support</v>
      </c>
      <c r="F456" s="4" t="str">
        <f>INDEX(Employee!G:G,MATCH(AK456,Employee!B:B,0))</f>
        <v>Operation Team</v>
      </c>
      <c r="G456" s="4" t="s">
        <v>15</v>
      </c>
      <c r="H456" s="4"/>
      <c r="I456" s="4" t="s">
        <v>894</v>
      </c>
      <c r="J456" s="4" t="s">
        <v>111</v>
      </c>
      <c r="K456" s="4" t="s">
        <v>112</v>
      </c>
      <c r="L456" s="4"/>
      <c r="M456" s="4"/>
      <c r="N456" s="13" t="b">
        <v>0</v>
      </c>
      <c r="O456" s="13" t="b">
        <v>0</v>
      </c>
      <c r="P456" s="4" t="s">
        <v>895</v>
      </c>
      <c r="Q456" s="14" t="s">
        <v>752</v>
      </c>
      <c r="R456" s="4" t="s">
        <v>753</v>
      </c>
      <c r="S456" s="10">
        <v>250000</v>
      </c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 t="str">
        <f>INDEX(Employee!C:C,MATCH(AG456,Employee!B:B,0))</f>
        <v>Nguyễn Viết Khải</v>
      </c>
      <c r="AG456" s="4" t="s">
        <v>103</v>
      </c>
      <c r="AH456" s="4" t="str">
        <f>INDEX(Employee!D:D,MATCH(AG456,Employee!B:B,0))</f>
        <v>Lead IT Support Engineer</v>
      </c>
      <c r="AI456" s="4" t="str">
        <f>INDEX(Employee!F:F,MATCH(AG456,Employee!B:B,0))</f>
        <v>Tech</v>
      </c>
      <c r="AJ456" s="4" t="str">
        <f>INDEX(Employee!C:C,MATCH(AK456,Employee!B:B,0))</f>
        <v>Võ Lê Nguyên Khang</v>
      </c>
      <c r="AK456" s="4" t="s">
        <v>250</v>
      </c>
      <c r="AL456" s="4" t="str">
        <f>INDEX(Employee!D:D,MATCH(AK456,Employee!B:B,0))</f>
        <v>Talent Acquisition Business Partner</v>
      </c>
      <c r="AM456" s="4" t="str">
        <f>INDEX(Employee!F:F,MATCH(AK456,Employee!B:B,0))</f>
        <v>Business Support</v>
      </c>
      <c r="AN456" s="4" t="str">
        <f>INDEX(Employee!H:H,MATCH(AK456,Employee!B:B,0))</f>
        <v>Nguyễn Thị My Sa</v>
      </c>
      <c r="AO456" s="4"/>
      <c r="AP456" s="4"/>
      <c r="AQ456" s="4"/>
      <c r="AR456" s="4"/>
      <c r="AS456" s="4"/>
      <c r="CX456" s="6"/>
    </row>
    <row r="457" spans="1:102" hidden="1">
      <c r="A457" s="3">
        <f t="shared" si="30"/>
        <v>456</v>
      </c>
      <c r="B457" s="4" t="s">
        <v>18</v>
      </c>
      <c r="C457" s="4" t="s">
        <v>4</v>
      </c>
      <c r="D457" s="4" t="e">
        <f>INDEX(Employee!E:E,MATCH(AK457,Employee!B:B,0))</f>
        <v>#N/A</v>
      </c>
      <c r="E457" s="4" t="e">
        <f>INDEX(Employee!F:F,MATCH(AK457,Employee!B:B,0))</f>
        <v>#N/A</v>
      </c>
      <c r="F457" s="4" t="e">
        <f>INDEX(Employee!G:G,MATCH(AK457,Employee!B:B,0))</f>
        <v>#N/A</v>
      </c>
      <c r="G457" s="4" t="s">
        <v>15</v>
      </c>
      <c r="H457" s="4"/>
      <c r="I457" s="4" t="s">
        <v>896</v>
      </c>
      <c r="J457" s="4" t="s">
        <v>111</v>
      </c>
      <c r="K457" s="4" t="s">
        <v>112</v>
      </c>
      <c r="L457" s="4"/>
      <c r="M457" s="4"/>
      <c r="N457" s="13" t="b">
        <v>0</v>
      </c>
      <c r="O457" s="13" t="b">
        <v>0</v>
      </c>
      <c r="P457" s="4" t="s">
        <v>897</v>
      </c>
      <c r="Q457" s="14" t="s">
        <v>752</v>
      </c>
      <c r="R457" s="4" t="s">
        <v>753</v>
      </c>
      <c r="S457" s="10">
        <v>250000</v>
      </c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 t="str">
        <f>INDEX(Employee!C:C,MATCH(AG457,Employee!B:B,0))</f>
        <v>Nguyễn Viết Khải</v>
      </c>
      <c r="AG457" s="4" t="s">
        <v>103</v>
      </c>
      <c r="AH457" s="4" t="str">
        <f>INDEX(Employee!D:D,MATCH(AG457,Employee!B:B,0))</f>
        <v>Lead IT Support Engineer</v>
      </c>
      <c r="AI457" s="4" t="str">
        <f>INDEX(Employee!F:F,MATCH(AG457,Employee!B:B,0))</f>
        <v>Tech</v>
      </c>
      <c r="AJ457" s="4" t="e">
        <f>INDEX(Employee!C:C,MATCH(AK457,Employee!B:B,0))</f>
        <v>#N/A</v>
      </c>
      <c r="AK457" s="4"/>
      <c r="AL457" s="4" t="e">
        <f>INDEX(Employee!D:D,MATCH(AK457,Employee!B:B,0))</f>
        <v>#N/A</v>
      </c>
      <c r="AM457" s="4" t="e">
        <f>INDEX(Employee!F:F,MATCH(AK457,Employee!B:B,0))</f>
        <v>#N/A</v>
      </c>
      <c r="AN457" s="4" t="e">
        <f>INDEX(Employee!H:H,MATCH(AK457,Employee!B:B,0))</f>
        <v>#N/A</v>
      </c>
      <c r="AO457" s="4"/>
      <c r="AP457" s="4"/>
      <c r="AQ457" s="4"/>
      <c r="AR457" s="4"/>
      <c r="AS457" s="4"/>
      <c r="CX457" s="6"/>
    </row>
    <row r="458" spans="1:102" hidden="1">
      <c r="A458" s="3">
        <f t="shared" si="30"/>
        <v>457</v>
      </c>
      <c r="B458" s="4" t="s">
        <v>18</v>
      </c>
      <c r="C458" s="4" t="s">
        <v>3</v>
      </c>
      <c r="D458" s="4" t="str">
        <f>INDEX(Employee!E:E,MATCH(AK458,Employee!B:B,0))</f>
        <v>Project</v>
      </c>
      <c r="E458" s="4" t="str">
        <f>INDEX(Employee!F:F,MATCH(AK458,Employee!B:B,0))</f>
        <v>Tech</v>
      </c>
      <c r="F458" s="4" t="str">
        <f>INDEX(Employee!G:G,MATCH(AK458,Employee!B:B,0))</f>
        <v>Venture</v>
      </c>
      <c r="G458" s="4" t="s">
        <v>15</v>
      </c>
      <c r="H458" s="4"/>
      <c r="I458" s="4" t="s">
        <v>898</v>
      </c>
      <c r="J458" s="4" t="s">
        <v>111</v>
      </c>
      <c r="K458" s="4" t="s">
        <v>112</v>
      </c>
      <c r="L458" s="4"/>
      <c r="M458" s="4"/>
      <c r="N458" s="13" t="b">
        <v>0</v>
      </c>
      <c r="O458" s="13" t="b">
        <v>0</v>
      </c>
      <c r="P458" s="4" t="s">
        <v>899</v>
      </c>
      <c r="Q458" s="14" t="s">
        <v>752</v>
      </c>
      <c r="R458" s="4" t="s">
        <v>753</v>
      </c>
      <c r="S458" s="10">
        <v>250000</v>
      </c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 t="str">
        <f>INDEX(Employee!C:C,MATCH(AG458,Employee!B:B,0))</f>
        <v>Nguyễn Viết Khải</v>
      </c>
      <c r="AG458" s="4" t="s">
        <v>103</v>
      </c>
      <c r="AH458" s="4" t="str">
        <f>INDEX(Employee!D:D,MATCH(AG458,Employee!B:B,0))</f>
        <v>Lead IT Support Engineer</v>
      </c>
      <c r="AI458" s="4" t="str">
        <f>INDEX(Employee!F:F,MATCH(AG458,Employee!B:B,0))</f>
        <v>Tech</v>
      </c>
      <c r="AJ458" s="4" t="str">
        <f>INDEX(Employee!C:C,MATCH(AK458,Employee!B:B,0))</f>
        <v>Bùi Quốc Thái</v>
      </c>
      <c r="AK458" s="4" t="s">
        <v>104</v>
      </c>
      <c r="AL458" s="4" t="str">
        <f>INDEX(Employee!D:D,MATCH(AK458,Employee!B:B,0))</f>
        <v>Associate QC Engineer</v>
      </c>
      <c r="AM458" s="4" t="str">
        <f>INDEX(Employee!F:F,MATCH(AK458,Employee!B:B,0))</f>
        <v>Tech</v>
      </c>
      <c r="AN458" s="4" t="str">
        <f>INDEX(Employee!H:H,MATCH(AK458,Employee!B:B,0))</f>
        <v>Nguyễn Khánh Vy</v>
      </c>
      <c r="AO458" s="4"/>
      <c r="AP458" s="4"/>
      <c r="AQ458" s="4"/>
      <c r="AR458" s="4"/>
      <c r="AS458" s="4"/>
      <c r="CX458" s="6"/>
    </row>
    <row r="459" spans="1:102" hidden="1">
      <c r="A459" s="3">
        <f t="shared" si="30"/>
        <v>458</v>
      </c>
      <c r="B459" s="4" t="s">
        <v>18</v>
      </c>
      <c r="C459" s="4" t="s">
        <v>3</v>
      </c>
      <c r="D459" s="4" t="str">
        <f>INDEX(Employee!E:E,MATCH(AK459,Employee!B:B,0))</f>
        <v>BO</v>
      </c>
      <c r="E459" s="4" t="str">
        <f>INDEX(Employee!F:F,MATCH(AK459,Employee!B:B,0))</f>
        <v>Business Support</v>
      </c>
      <c r="F459" s="4" t="str">
        <f>INDEX(Employee!G:G,MATCH(AK459,Employee!B:B,0))</f>
        <v>Operation Team</v>
      </c>
      <c r="G459" s="4" t="s">
        <v>15</v>
      </c>
      <c r="H459" s="4"/>
      <c r="I459" s="4" t="s">
        <v>900</v>
      </c>
      <c r="J459" s="4" t="s">
        <v>111</v>
      </c>
      <c r="K459" s="4" t="s">
        <v>112</v>
      </c>
      <c r="L459" s="4"/>
      <c r="M459" s="4"/>
      <c r="N459" s="13" t="b">
        <v>0</v>
      </c>
      <c r="O459" s="13" t="b">
        <v>0</v>
      </c>
      <c r="P459" s="4" t="s">
        <v>901</v>
      </c>
      <c r="Q459" s="14" t="s">
        <v>752</v>
      </c>
      <c r="R459" s="4" t="s">
        <v>753</v>
      </c>
      <c r="S459" s="10">
        <v>250000</v>
      </c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 t="str">
        <f>INDEX(Employee!C:C,MATCH(AG459,Employee!B:B,0))</f>
        <v>Nguyễn Viết Khải</v>
      </c>
      <c r="AG459" s="4" t="s">
        <v>103</v>
      </c>
      <c r="AH459" s="4" t="str">
        <f>INDEX(Employee!D:D,MATCH(AG459,Employee!B:B,0))</f>
        <v>Lead IT Support Engineer</v>
      </c>
      <c r="AI459" s="4" t="str">
        <f>INDEX(Employee!F:F,MATCH(AG459,Employee!B:B,0))</f>
        <v>Tech</v>
      </c>
      <c r="AJ459" s="4" t="str">
        <f>INDEX(Employee!C:C,MATCH(AK459,Employee!B:B,0))</f>
        <v>Đoàn Hà Mi</v>
      </c>
      <c r="AK459" s="4" t="s">
        <v>345</v>
      </c>
      <c r="AL459" s="4" t="str">
        <f>INDEX(Employee!D:D,MATCH(AK459,Employee!B:B,0))</f>
        <v>Admin &amp; Office Manager</v>
      </c>
      <c r="AM459" s="4" t="str">
        <f>INDEX(Employee!F:F,MATCH(AK459,Employee!B:B,0))</f>
        <v>Business Support</v>
      </c>
      <c r="AN459" s="4" t="str">
        <f>INDEX(Employee!H:H,MATCH(AK459,Employee!B:B,0))</f>
        <v>Trần Huyền Thanh (thanhth5)</v>
      </c>
      <c r="AO459" s="4"/>
      <c r="AP459" s="4"/>
      <c r="AQ459" s="4"/>
      <c r="AR459" s="4"/>
      <c r="AS459" s="4"/>
      <c r="CX459" s="6"/>
    </row>
    <row r="460" spans="1:102" hidden="1">
      <c r="A460" s="3">
        <f t="shared" si="30"/>
        <v>459</v>
      </c>
      <c r="B460" s="4" t="s">
        <v>18</v>
      </c>
      <c r="C460" s="4" t="s">
        <v>4</v>
      </c>
      <c r="D460" s="4" t="e">
        <f>INDEX(Employee!E:E,MATCH(AK460,Employee!B:B,0))</f>
        <v>#N/A</v>
      </c>
      <c r="E460" s="4" t="e">
        <f>INDEX(Employee!F:F,MATCH(AK460,Employee!B:B,0))</f>
        <v>#N/A</v>
      </c>
      <c r="F460" s="4" t="e">
        <f>INDEX(Employee!G:G,MATCH(AK460,Employee!B:B,0))</f>
        <v>#N/A</v>
      </c>
      <c r="G460" s="4" t="s">
        <v>15</v>
      </c>
      <c r="H460" s="4"/>
      <c r="I460" s="4" t="s">
        <v>902</v>
      </c>
      <c r="J460" s="4" t="s">
        <v>111</v>
      </c>
      <c r="K460" s="4" t="s">
        <v>112</v>
      </c>
      <c r="L460" s="4"/>
      <c r="M460" s="4"/>
      <c r="N460" s="13" t="b">
        <v>0</v>
      </c>
      <c r="O460" s="13" t="b">
        <v>0</v>
      </c>
      <c r="P460" s="4" t="s">
        <v>903</v>
      </c>
      <c r="Q460" s="14" t="s">
        <v>752</v>
      </c>
      <c r="R460" s="4" t="s">
        <v>753</v>
      </c>
      <c r="S460" s="10">
        <v>250000</v>
      </c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 t="str">
        <f>INDEX(Employee!C:C,MATCH(AG460,Employee!B:B,0))</f>
        <v>Nguyễn Viết Khải</v>
      </c>
      <c r="AG460" s="4" t="s">
        <v>103</v>
      </c>
      <c r="AH460" s="4" t="str">
        <f>INDEX(Employee!D:D,MATCH(AG460,Employee!B:B,0))</f>
        <v>Lead IT Support Engineer</v>
      </c>
      <c r="AI460" s="4" t="str">
        <f>INDEX(Employee!F:F,MATCH(AG460,Employee!B:B,0))</f>
        <v>Tech</v>
      </c>
      <c r="AJ460" s="4" t="e">
        <f>INDEX(Employee!C:C,MATCH(AK460,Employee!B:B,0))</f>
        <v>#N/A</v>
      </c>
      <c r="AK460" s="4"/>
      <c r="AL460" s="4" t="e">
        <f>INDEX(Employee!D:D,MATCH(AK460,Employee!B:B,0))</f>
        <v>#N/A</v>
      </c>
      <c r="AM460" s="4" t="e">
        <f>INDEX(Employee!F:F,MATCH(AK460,Employee!B:B,0))</f>
        <v>#N/A</v>
      </c>
      <c r="AN460" s="4" t="e">
        <f>INDEX(Employee!H:H,MATCH(AK460,Employee!B:B,0))</f>
        <v>#N/A</v>
      </c>
      <c r="AO460" s="4"/>
      <c r="AP460" s="4"/>
      <c r="AQ460" s="4"/>
      <c r="AR460" s="4"/>
      <c r="AS460" s="4"/>
      <c r="CX460" s="6"/>
    </row>
    <row r="461" spans="1:102" hidden="1">
      <c r="A461" s="3">
        <f t="shared" si="30"/>
        <v>460</v>
      </c>
      <c r="B461" s="4" t="s">
        <v>18</v>
      </c>
      <c r="C461" s="4" t="s">
        <v>3</v>
      </c>
      <c r="D461" s="4">
        <f>INDEX(Employee!E:E,MATCH(AK461,Employee!B:B,0))</f>
        <v>0</v>
      </c>
      <c r="E461" s="4" t="str">
        <f>INDEX(Employee!F:F,MATCH(AK461,Employee!B:B,0))</f>
        <v>Tech</v>
      </c>
      <c r="F461" s="4">
        <f>INDEX(Employee!G:G,MATCH(AK461,Employee!B:B,0))</f>
        <v>0</v>
      </c>
      <c r="G461" s="4" t="s">
        <v>119</v>
      </c>
      <c r="H461" s="4"/>
      <c r="I461" s="4" t="s">
        <v>904</v>
      </c>
      <c r="J461" s="4" t="s">
        <v>111</v>
      </c>
      <c r="K461" s="4" t="s">
        <v>112</v>
      </c>
      <c r="L461" s="4"/>
      <c r="M461" s="4"/>
      <c r="N461" s="13" t="b">
        <v>0</v>
      </c>
      <c r="O461" s="13" t="b">
        <v>0</v>
      </c>
      <c r="P461" s="4" t="s">
        <v>905</v>
      </c>
      <c r="Q461" s="14" t="s">
        <v>752</v>
      </c>
      <c r="R461" s="4" t="s">
        <v>753</v>
      </c>
      <c r="S461" s="10">
        <v>250000</v>
      </c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 t="str">
        <f>INDEX(Employee!C:C,MATCH(AG461,Employee!B:B,0))</f>
        <v>Nguyễn Viết Khải</v>
      </c>
      <c r="AG461" s="4" t="s">
        <v>103</v>
      </c>
      <c r="AH461" s="4" t="str">
        <f>INDEX(Employee!D:D,MATCH(AG461,Employee!B:B,0))</f>
        <v>Lead IT Support Engineer</v>
      </c>
      <c r="AI461" s="4" t="str">
        <f>INDEX(Employee!F:F,MATCH(AG461,Employee!B:B,0))</f>
        <v>Tech</v>
      </c>
      <c r="AJ461" s="4" t="str">
        <f>INDEX(Employee!C:C,MATCH(AK461,Employee!B:B,0))</f>
        <v>Trịnh Xuân Vượng</v>
      </c>
      <c r="AK461" s="4" t="s">
        <v>389</v>
      </c>
      <c r="AL461" s="4" t="str">
        <f>INDEX(Employee!D:D,MATCH(AK461,Employee!B:B,0))</f>
        <v>Solutions Architect</v>
      </c>
      <c r="AM461" s="4" t="str">
        <f>INDEX(Employee!F:F,MATCH(AK461,Employee!B:B,0))</f>
        <v>Tech</v>
      </c>
      <c r="AN461" s="4" t="str">
        <f>INDEX(Employee!H:H,MATCH(AK461,Employee!B:B,0))</f>
        <v>Dương Huỳnh Nghĩa (nghiadh)</v>
      </c>
      <c r="AO461" s="4"/>
      <c r="AP461" s="4"/>
      <c r="AQ461" s="4"/>
      <c r="AR461" s="4"/>
      <c r="AS461" s="4"/>
      <c r="CX461" s="6"/>
    </row>
    <row r="462" spans="1:102" hidden="1">
      <c r="A462" s="3">
        <f t="shared" si="30"/>
        <v>461</v>
      </c>
      <c r="B462" s="4" t="s">
        <v>18</v>
      </c>
      <c r="C462" s="4" t="s">
        <v>4</v>
      </c>
      <c r="D462" s="4" t="e">
        <f>INDEX(Employee!E:E,MATCH(AK462,Employee!B:B,0))</f>
        <v>#N/A</v>
      </c>
      <c r="E462" s="4" t="e">
        <f>INDEX(Employee!F:F,MATCH(AK462,Employee!B:B,0))</f>
        <v>#N/A</v>
      </c>
      <c r="F462" s="4" t="e">
        <f>INDEX(Employee!G:G,MATCH(AK462,Employee!B:B,0))</f>
        <v>#N/A</v>
      </c>
      <c r="G462" s="4" t="s">
        <v>15</v>
      </c>
      <c r="H462" s="4"/>
      <c r="I462" s="4" t="s">
        <v>906</v>
      </c>
      <c r="J462" s="4" t="s">
        <v>111</v>
      </c>
      <c r="K462" s="4" t="s">
        <v>112</v>
      </c>
      <c r="L462" s="4"/>
      <c r="M462" s="4"/>
      <c r="N462" s="13" t="b">
        <v>0</v>
      </c>
      <c r="O462" s="13" t="b">
        <v>0</v>
      </c>
      <c r="P462" s="4" t="s">
        <v>907</v>
      </c>
      <c r="Q462" s="14" t="s">
        <v>752</v>
      </c>
      <c r="R462" s="4" t="s">
        <v>753</v>
      </c>
      <c r="S462" s="10">
        <v>250000</v>
      </c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 t="str">
        <f>INDEX(Employee!C:C,MATCH(AG462,Employee!B:B,0))</f>
        <v>Nguyễn Viết Khải</v>
      </c>
      <c r="AG462" s="4" t="s">
        <v>103</v>
      </c>
      <c r="AH462" s="4" t="str">
        <f>INDEX(Employee!D:D,MATCH(AG462,Employee!B:B,0))</f>
        <v>Lead IT Support Engineer</v>
      </c>
      <c r="AI462" s="4" t="str">
        <f>INDEX(Employee!F:F,MATCH(AG462,Employee!B:B,0))</f>
        <v>Tech</v>
      </c>
      <c r="AJ462" s="4" t="e">
        <f>INDEX(Employee!C:C,MATCH(AK462,Employee!B:B,0))</f>
        <v>#N/A</v>
      </c>
      <c r="AK462" s="4"/>
      <c r="AL462" s="4" t="e">
        <f>INDEX(Employee!D:D,MATCH(AK462,Employee!B:B,0))</f>
        <v>#N/A</v>
      </c>
      <c r="AM462" s="4" t="e">
        <f>INDEX(Employee!F:F,MATCH(AK462,Employee!B:B,0))</f>
        <v>#N/A</v>
      </c>
      <c r="AN462" s="4" t="e">
        <f>INDEX(Employee!H:H,MATCH(AK462,Employee!B:B,0))</f>
        <v>#N/A</v>
      </c>
      <c r="AO462" s="4"/>
      <c r="AP462" s="4"/>
      <c r="AQ462" s="4"/>
      <c r="AR462" s="4"/>
      <c r="AS462" s="4"/>
      <c r="CX462" s="6"/>
    </row>
    <row r="463" spans="1:102" hidden="1">
      <c r="A463" s="3">
        <f t="shared" si="30"/>
        <v>462</v>
      </c>
      <c r="B463" s="4" t="s">
        <v>18</v>
      </c>
      <c r="C463" s="4" t="s">
        <v>4</v>
      </c>
      <c r="D463" s="4" t="e">
        <f>INDEX(Employee!E:E,MATCH(AK463,Employee!B:B,0))</f>
        <v>#N/A</v>
      </c>
      <c r="E463" s="4" t="e">
        <f>INDEX(Employee!F:F,MATCH(AK463,Employee!B:B,0))</f>
        <v>#N/A</v>
      </c>
      <c r="F463" s="4" t="e">
        <f>INDEX(Employee!G:G,MATCH(AK463,Employee!B:B,0))</f>
        <v>#N/A</v>
      </c>
      <c r="G463" s="4" t="s">
        <v>15</v>
      </c>
      <c r="H463" s="4"/>
      <c r="I463" s="4" t="s">
        <v>908</v>
      </c>
      <c r="J463" s="4" t="s">
        <v>111</v>
      </c>
      <c r="K463" s="4" t="s">
        <v>112</v>
      </c>
      <c r="L463" s="4"/>
      <c r="M463" s="4"/>
      <c r="N463" s="13" t="b">
        <v>0</v>
      </c>
      <c r="O463" s="13" t="b">
        <v>0</v>
      </c>
      <c r="P463" s="4" t="s">
        <v>909</v>
      </c>
      <c r="Q463" s="14" t="s">
        <v>752</v>
      </c>
      <c r="R463" s="4" t="s">
        <v>753</v>
      </c>
      <c r="S463" s="10">
        <v>250000</v>
      </c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 t="str">
        <f>INDEX(Employee!C:C,MATCH(AG463,Employee!B:B,0))</f>
        <v>Nguyễn Viết Khải</v>
      </c>
      <c r="AG463" s="4" t="s">
        <v>103</v>
      </c>
      <c r="AH463" s="4" t="str">
        <f>INDEX(Employee!D:D,MATCH(AG463,Employee!B:B,0))</f>
        <v>Lead IT Support Engineer</v>
      </c>
      <c r="AI463" s="4" t="str">
        <f>INDEX(Employee!F:F,MATCH(AG463,Employee!B:B,0))</f>
        <v>Tech</v>
      </c>
      <c r="AJ463" s="4" t="e">
        <f>INDEX(Employee!C:C,MATCH(AK463,Employee!B:B,0))</f>
        <v>#N/A</v>
      </c>
      <c r="AK463" s="4"/>
      <c r="AL463" s="4" t="e">
        <f>INDEX(Employee!D:D,MATCH(AK463,Employee!B:B,0))</f>
        <v>#N/A</v>
      </c>
      <c r="AM463" s="4" t="e">
        <f>INDEX(Employee!F:F,MATCH(AK463,Employee!B:B,0))</f>
        <v>#N/A</v>
      </c>
      <c r="AN463" s="4" t="e">
        <f>INDEX(Employee!H:H,MATCH(AK463,Employee!B:B,0))</f>
        <v>#N/A</v>
      </c>
      <c r="AO463" s="4"/>
      <c r="AP463" s="4"/>
      <c r="AQ463" s="4"/>
      <c r="AR463" s="4"/>
      <c r="AS463" s="4"/>
      <c r="CX463" s="6"/>
    </row>
    <row r="464" spans="1:102" hidden="1">
      <c r="A464" s="3">
        <f t="shared" si="30"/>
        <v>463</v>
      </c>
      <c r="B464" s="4" t="s">
        <v>18</v>
      </c>
      <c r="C464" s="4" t="s">
        <v>4</v>
      </c>
      <c r="D464" s="4" t="e">
        <f>INDEX(Employee!E:E,MATCH(AK464,Employee!B:B,0))</f>
        <v>#N/A</v>
      </c>
      <c r="E464" s="4" t="e">
        <f>INDEX(Employee!F:F,MATCH(AK464,Employee!B:B,0))</f>
        <v>#N/A</v>
      </c>
      <c r="F464" s="4" t="e">
        <f>INDEX(Employee!G:G,MATCH(AK464,Employee!B:B,0))</f>
        <v>#N/A</v>
      </c>
      <c r="G464" s="4" t="s">
        <v>15</v>
      </c>
      <c r="H464" s="4"/>
      <c r="I464" s="4" t="s">
        <v>910</v>
      </c>
      <c r="J464" s="4" t="s">
        <v>111</v>
      </c>
      <c r="K464" s="4" t="s">
        <v>112</v>
      </c>
      <c r="L464" s="4"/>
      <c r="M464" s="4"/>
      <c r="N464" s="13" t="b">
        <v>0</v>
      </c>
      <c r="O464" s="13" t="b">
        <v>0</v>
      </c>
      <c r="P464" s="4" t="s">
        <v>911</v>
      </c>
      <c r="Q464" s="14" t="s">
        <v>752</v>
      </c>
      <c r="R464" s="4" t="s">
        <v>753</v>
      </c>
      <c r="S464" s="10">
        <v>250000</v>
      </c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 t="str">
        <f>INDEX(Employee!C:C,MATCH(AG464,Employee!B:B,0))</f>
        <v>Nguyễn Viết Khải</v>
      </c>
      <c r="AG464" s="4" t="s">
        <v>103</v>
      </c>
      <c r="AH464" s="4" t="str">
        <f>INDEX(Employee!D:D,MATCH(AG464,Employee!B:B,0))</f>
        <v>Lead IT Support Engineer</v>
      </c>
      <c r="AI464" s="4" t="str">
        <f>INDEX(Employee!F:F,MATCH(AG464,Employee!B:B,0))</f>
        <v>Tech</v>
      </c>
      <c r="AJ464" s="4" t="e">
        <f>INDEX(Employee!C:C,MATCH(AK464,Employee!B:B,0))</f>
        <v>#N/A</v>
      </c>
      <c r="AK464" s="4"/>
      <c r="AL464" s="4" t="e">
        <f>INDEX(Employee!D:D,MATCH(AK464,Employee!B:B,0))</f>
        <v>#N/A</v>
      </c>
      <c r="AM464" s="4" t="e">
        <f>INDEX(Employee!F:F,MATCH(AK464,Employee!B:B,0))</f>
        <v>#N/A</v>
      </c>
      <c r="AN464" s="4" t="e">
        <f>INDEX(Employee!H:H,MATCH(AK464,Employee!B:B,0))</f>
        <v>#N/A</v>
      </c>
      <c r="AO464" s="4"/>
      <c r="AP464" s="4"/>
      <c r="AQ464" s="4"/>
      <c r="AR464" s="4"/>
      <c r="AS464" s="4"/>
      <c r="CX464" s="6"/>
    </row>
    <row r="465" spans="1:102" hidden="1">
      <c r="A465" s="3">
        <f t="shared" si="30"/>
        <v>464</v>
      </c>
      <c r="B465" s="4" t="s">
        <v>18</v>
      </c>
      <c r="C465" s="4" t="s">
        <v>4</v>
      </c>
      <c r="D465" s="4" t="e">
        <f>INDEX(Employee!E:E,MATCH(AK465,Employee!B:B,0))</f>
        <v>#N/A</v>
      </c>
      <c r="E465" s="4" t="e">
        <f>INDEX(Employee!F:F,MATCH(AK465,Employee!B:B,0))</f>
        <v>#N/A</v>
      </c>
      <c r="F465" s="4" t="e">
        <f>INDEX(Employee!G:G,MATCH(AK465,Employee!B:B,0))</f>
        <v>#N/A</v>
      </c>
      <c r="G465" s="4" t="s">
        <v>15</v>
      </c>
      <c r="H465" s="4"/>
      <c r="I465" s="4" t="s">
        <v>912</v>
      </c>
      <c r="J465" s="4" t="s">
        <v>111</v>
      </c>
      <c r="K465" s="4" t="s">
        <v>112</v>
      </c>
      <c r="L465" s="4"/>
      <c r="M465" s="4"/>
      <c r="N465" s="13" t="b">
        <v>0</v>
      </c>
      <c r="O465" s="13" t="b">
        <v>0</v>
      </c>
      <c r="P465" s="4" t="s">
        <v>913</v>
      </c>
      <c r="Q465" s="14" t="s">
        <v>752</v>
      </c>
      <c r="R465" s="4" t="s">
        <v>753</v>
      </c>
      <c r="S465" s="10">
        <v>250000</v>
      </c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 t="str">
        <f>INDEX(Employee!C:C,MATCH(AG465,Employee!B:B,0))</f>
        <v>Nguyễn Viết Khải</v>
      </c>
      <c r="AG465" s="4" t="s">
        <v>103</v>
      </c>
      <c r="AH465" s="4" t="str">
        <f>INDEX(Employee!D:D,MATCH(AG465,Employee!B:B,0))</f>
        <v>Lead IT Support Engineer</v>
      </c>
      <c r="AI465" s="4" t="str">
        <f>INDEX(Employee!F:F,MATCH(AG465,Employee!B:B,0))</f>
        <v>Tech</v>
      </c>
      <c r="AJ465" s="4" t="e">
        <f>INDEX(Employee!C:C,MATCH(AK465,Employee!B:B,0))</f>
        <v>#N/A</v>
      </c>
      <c r="AK465" s="4"/>
      <c r="AL465" s="4" t="e">
        <f>INDEX(Employee!D:D,MATCH(AK465,Employee!B:B,0))</f>
        <v>#N/A</v>
      </c>
      <c r="AM465" s="4" t="e">
        <f>INDEX(Employee!F:F,MATCH(AK465,Employee!B:B,0))</f>
        <v>#N/A</v>
      </c>
      <c r="AN465" s="4" t="e">
        <f>INDEX(Employee!H:H,MATCH(AK465,Employee!B:B,0))</f>
        <v>#N/A</v>
      </c>
      <c r="AO465" s="4"/>
      <c r="AP465" s="4"/>
      <c r="AQ465" s="4"/>
      <c r="AR465" s="4"/>
      <c r="AS465" s="4"/>
      <c r="CX465" s="6"/>
    </row>
    <row r="466" spans="1:102" hidden="1">
      <c r="A466" s="3">
        <f t="shared" si="30"/>
        <v>465</v>
      </c>
      <c r="B466" s="4" t="s">
        <v>18</v>
      </c>
      <c r="C466" s="4" t="s">
        <v>3</v>
      </c>
      <c r="D466" s="4" t="str">
        <f>INDEX(Employee!E:E,MATCH(AK466,Employee!B:B,0))</f>
        <v>Project</v>
      </c>
      <c r="E466" s="4" t="str">
        <f>INDEX(Employee!F:F,MATCH(AK466,Employee!B:B,0))</f>
        <v>Tech</v>
      </c>
      <c r="F466" s="4" t="str">
        <f>INDEX(Employee!G:G,MATCH(AK466,Employee!B:B,0))</f>
        <v>Venture</v>
      </c>
      <c r="G466" s="4" t="s">
        <v>15</v>
      </c>
      <c r="H466" s="4"/>
      <c r="I466" s="4" t="s">
        <v>914</v>
      </c>
      <c r="J466" s="4" t="s">
        <v>111</v>
      </c>
      <c r="K466" s="4" t="s">
        <v>112</v>
      </c>
      <c r="L466" s="4"/>
      <c r="M466" s="4"/>
      <c r="N466" s="13" t="b">
        <v>0</v>
      </c>
      <c r="O466" s="13" t="b">
        <v>0</v>
      </c>
      <c r="P466" s="4" t="s">
        <v>915</v>
      </c>
      <c r="Q466" s="14" t="s">
        <v>752</v>
      </c>
      <c r="R466" s="4" t="s">
        <v>753</v>
      </c>
      <c r="S466" s="10">
        <v>250000</v>
      </c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 t="str">
        <f>INDEX(Employee!C:C,MATCH(AG466,Employee!B:B,0))</f>
        <v>Nguyễn Viết Khải</v>
      </c>
      <c r="AG466" s="4" t="s">
        <v>103</v>
      </c>
      <c r="AH466" s="4" t="str">
        <f>INDEX(Employee!D:D,MATCH(AG466,Employee!B:B,0))</f>
        <v>Lead IT Support Engineer</v>
      </c>
      <c r="AI466" s="4" t="str">
        <f>INDEX(Employee!F:F,MATCH(AG466,Employee!B:B,0))</f>
        <v>Tech</v>
      </c>
      <c r="AJ466" s="4" t="str">
        <f>INDEX(Employee!C:C,MATCH(AK466,Employee!B:B,0))</f>
        <v>Nguyễn Văn Bình</v>
      </c>
      <c r="AK466" s="4" t="s">
        <v>447</v>
      </c>
      <c r="AL466" s="4" t="str">
        <f>INDEX(Employee!D:D,MATCH(AK466,Employee!B:B,0))</f>
        <v>Senior Software Engineer, Team Leader</v>
      </c>
      <c r="AM466" s="4" t="str">
        <f>INDEX(Employee!F:F,MATCH(AK466,Employee!B:B,0))</f>
        <v>Tech</v>
      </c>
      <c r="AN466" s="4" t="str">
        <f>INDEX(Employee!H:H,MATCH(AK466,Employee!B:B,0))</f>
        <v>Đoàn Nhật Duẩn (duandn)</v>
      </c>
      <c r="AO466" s="4"/>
      <c r="AP466" s="4"/>
      <c r="AQ466" s="4"/>
      <c r="AR466" s="4"/>
      <c r="AS466" s="4"/>
      <c r="CX466" s="6"/>
    </row>
    <row r="467" spans="1:102" hidden="1">
      <c r="A467" s="3">
        <f t="shared" si="30"/>
        <v>466</v>
      </c>
      <c r="B467" s="4" t="s">
        <v>18</v>
      </c>
      <c r="C467" s="4" t="s">
        <v>4</v>
      </c>
      <c r="D467" s="4" t="e">
        <f>INDEX(Employee!E:E,MATCH(AK467,Employee!B:B,0))</f>
        <v>#N/A</v>
      </c>
      <c r="E467" s="4" t="e">
        <f>INDEX(Employee!F:F,MATCH(AK467,Employee!B:B,0))</f>
        <v>#N/A</v>
      </c>
      <c r="F467" s="4" t="e">
        <f>INDEX(Employee!G:G,MATCH(AK467,Employee!B:B,0))</f>
        <v>#N/A</v>
      </c>
      <c r="G467" s="4" t="s">
        <v>15</v>
      </c>
      <c r="H467" s="4"/>
      <c r="I467" s="4" t="s">
        <v>916</v>
      </c>
      <c r="J467" s="4" t="s">
        <v>111</v>
      </c>
      <c r="K467" s="4" t="s">
        <v>112</v>
      </c>
      <c r="L467" s="4"/>
      <c r="M467" s="4"/>
      <c r="N467" s="13" t="b">
        <v>0</v>
      </c>
      <c r="O467" s="13" t="b">
        <v>0</v>
      </c>
      <c r="P467" s="4" t="s">
        <v>917</v>
      </c>
      <c r="Q467" s="14" t="s">
        <v>752</v>
      </c>
      <c r="R467" s="4" t="s">
        <v>753</v>
      </c>
      <c r="S467" s="10">
        <v>250000</v>
      </c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 t="str">
        <f>INDEX(Employee!C:C,MATCH(AG467,Employee!B:B,0))</f>
        <v>Nguyễn Viết Khải</v>
      </c>
      <c r="AG467" s="4" t="s">
        <v>103</v>
      </c>
      <c r="AH467" s="4" t="str">
        <f>INDEX(Employee!D:D,MATCH(AG467,Employee!B:B,0))</f>
        <v>Lead IT Support Engineer</v>
      </c>
      <c r="AI467" s="4" t="str">
        <f>INDEX(Employee!F:F,MATCH(AG467,Employee!B:B,0))</f>
        <v>Tech</v>
      </c>
      <c r="AJ467" s="4" t="e">
        <f>INDEX(Employee!C:C,MATCH(AK467,Employee!B:B,0))</f>
        <v>#N/A</v>
      </c>
      <c r="AK467" s="4"/>
      <c r="AL467" s="4" t="e">
        <f>INDEX(Employee!D:D,MATCH(AK467,Employee!B:B,0))</f>
        <v>#N/A</v>
      </c>
      <c r="AM467" s="4" t="e">
        <f>INDEX(Employee!F:F,MATCH(AK467,Employee!B:B,0))</f>
        <v>#N/A</v>
      </c>
      <c r="AN467" s="4" t="e">
        <f>INDEX(Employee!H:H,MATCH(AK467,Employee!B:B,0))</f>
        <v>#N/A</v>
      </c>
      <c r="AO467" s="4"/>
      <c r="AP467" s="4"/>
      <c r="AQ467" s="4"/>
      <c r="AR467" s="4"/>
      <c r="AS467" s="4"/>
      <c r="CX467" s="6"/>
    </row>
    <row r="468" spans="1:102" hidden="1">
      <c r="A468" s="3">
        <f t="shared" si="30"/>
        <v>467</v>
      </c>
      <c r="B468" s="4" t="s">
        <v>18</v>
      </c>
      <c r="C468" s="4" t="s">
        <v>4</v>
      </c>
      <c r="D468" s="4" t="e">
        <f>INDEX(Employee!E:E,MATCH(AK468,Employee!B:B,0))</f>
        <v>#N/A</v>
      </c>
      <c r="E468" s="4" t="e">
        <f>INDEX(Employee!F:F,MATCH(AK468,Employee!B:B,0))</f>
        <v>#N/A</v>
      </c>
      <c r="F468" s="4" t="e">
        <f>INDEX(Employee!G:G,MATCH(AK468,Employee!B:B,0))</f>
        <v>#N/A</v>
      </c>
      <c r="G468" s="4" t="s">
        <v>15</v>
      </c>
      <c r="H468" s="4"/>
      <c r="I468" s="4" t="s">
        <v>918</v>
      </c>
      <c r="J468" s="4" t="s">
        <v>111</v>
      </c>
      <c r="K468" s="4" t="s">
        <v>112</v>
      </c>
      <c r="L468" s="4"/>
      <c r="M468" s="4"/>
      <c r="N468" s="13" t="b">
        <v>0</v>
      </c>
      <c r="O468" s="13" t="b">
        <v>0</v>
      </c>
      <c r="P468" s="4" t="s">
        <v>919</v>
      </c>
      <c r="Q468" s="14" t="s">
        <v>752</v>
      </c>
      <c r="R468" s="4" t="s">
        <v>753</v>
      </c>
      <c r="S468" s="10">
        <v>250000</v>
      </c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 t="str">
        <f>INDEX(Employee!C:C,MATCH(AG468,Employee!B:B,0))</f>
        <v>Nguyễn Viết Khải</v>
      </c>
      <c r="AG468" s="4" t="s">
        <v>103</v>
      </c>
      <c r="AH468" s="4" t="str">
        <f>INDEX(Employee!D:D,MATCH(AG468,Employee!B:B,0))</f>
        <v>Lead IT Support Engineer</v>
      </c>
      <c r="AI468" s="4" t="str">
        <f>INDEX(Employee!F:F,MATCH(AG468,Employee!B:B,0))</f>
        <v>Tech</v>
      </c>
      <c r="AJ468" s="4" t="e">
        <f>INDEX(Employee!C:C,MATCH(AK468,Employee!B:B,0))</f>
        <v>#N/A</v>
      </c>
      <c r="AK468" s="4"/>
      <c r="AL468" s="4" t="e">
        <f>INDEX(Employee!D:D,MATCH(AK468,Employee!B:B,0))</f>
        <v>#N/A</v>
      </c>
      <c r="AM468" s="4" t="e">
        <f>INDEX(Employee!F:F,MATCH(AK468,Employee!B:B,0))</f>
        <v>#N/A</v>
      </c>
      <c r="AN468" s="4" t="e">
        <f>INDEX(Employee!H:H,MATCH(AK468,Employee!B:B,0))</f>
        <v>#N/A</v>
      </c>
      <c r="AO468" s="4"/>
      <c r="AP468" s="4"/>
      <c r="AQ468" s="4"/>
      <c r="AR468" s="4"/>
      <c r="AS468" s="4"/>
      <c r="CX468" s="6"/>
    </row>
    <row r="469" spans="1:102" hidden="1">
      <c r="A469" s="3">
        <f t="shared" si="30"/>
        <v>468</v>
      </c>
      <c r="B469" s="4" t="s">
        <v>18</v>
      </c>
      <c r="C469" s="4" t="s">
        <v>3</v>
      </c>
      <c r="D469" s="4">
        <f>INDEX(Employee!E:E,MATCH(AK469,Employee!B:B,0))</f>
        <v>0</v>
      </c>
      <c r="E469" s="4" t="str">
        <f>INDEX(Employee!F:F,MATCH(AK469,Employee!B:B,0))</f>
        <v>OP</v>
      </c>
      <c r="F469" s="4">
        <f>INDEX(Employee!G:G,MATCH(AK469,Employee!B:B,0))</f>
        <v>0</v>
      </c>
      <c r="G469" s="4" t="s">
        <v>119</v>
      </c>
      <c r="H469" s="4"/>
      <c r="I469" s="4" t="s">
        <v>920</v>
      </c>
      <c r="J469" s="4" t="s">
        <v>111</v>
      </c>
      <c r="K469" s="4" t="s">
        <v>112</v>
      </c>
      <c r="L469" s="4"/>
      <c r="M469" s="4"/>
      <c r="N469" s="13" t="b">
        <v>0</v>
      </c>
      <c r="O469" s="13" t="b">
        <v>0</v>
      </c>
      <c r="P469" s="4" t="s">
        <v>921</v>
      </c>
      <c r="Q469" s="14" t="s">
        <v>752</v>
      </c>
      <c r="R469" s="4" t="s">
        <v>753</v>
      </c>
      <c r="S469" s="10">
        <v>250000</v>
      </c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 t="str">
        <f>INDEX(Employee!C:C,MATCH(AG469,Employee!B:B,0))</f>
        <v>Nguyễn Viết Khải</v>
      </c>
      <c r="AG469" s="4" t="s">
        <v>103</v>
      </c>
      <c r="AH469" s="4" t="str">
        <f>INDEX(Employee!D:D,MATCH(AG469,Employee!B:B,0))</f>
        <v>Lead IT Support Engineer</v>
      </c>
      <c r="AI469" s="4" t="str">
        <f>INDEX(Employee!F:F,MATCH(AG469,Employee!B:B,0))</f>
        <v>Tech</v>
      </c>
      <c r="AJ469" s="4" t="str">
        <f>INDEX(Employee!C:C,MATCH(AK469,Employee!B:B,0))</f>
        <v>Nguyễn Thành Trung</v>
      </c>
      <c r="AK469" s="4" t="s">
        <v>503</v>
      </c>
      <c r="AL469" s="4" t="str">
        <f>INDEX(Employee!D:D,MATCH(AK469,Employee!B:B,0))</f>
        <v>IT Service Management Specialist II</v>
      </c>
      <c r="AM469" s="4" t="str">
        <f>INDEX(Employee!F:F,MATCH(AK469,Employee!B:B,0))</f>
        <v>OP</v>
      </c>
      <c r="AN469" s="4" t="str">
        <f>INDEX(Employee!H:H,MATCH(AK469,Employee!B:B,0))</f>
        <v>Chu Văn Toàn (ToanCV)</v>
      </c>
      <c r="AO469" s="4"/>
      <c r="AP469" s="4"/>
      <c r="AQ469" s="4"/>
      <c r="AR469" s="4"/>
      <c r="AS469" s="4"/>
      <c r="CX469" s="6"/>
    </row>
    <row r="470" spans="1:102" hidden="1">
      <c r="A470" s="3">
        <f t="shared" si="30"/>
        <v>469</v>
      </c>
      <c r="B470" s="4" t="s">
        <v>18</v>
      </c>
      <c r="C470" s="4" t="s">
        <v>5</v>
      </c>
      <c r="D470" s="4">
        <f>INDEX(Employee!E:E,MATCH(AK470,Employee!B:B,0))</f>
        <v>0</v>
      </c>
      <c r="E470" s="4" t="str">
        <f>INDEX(Employee!F:F,MATCH(AK470,Employee!B:B,0))</f>
        <v>HR</v>
      </c>
      <c r="F470" s="4">
        <f>INDEX(Employee!G:G,MATCH(AK470,Employee!B:B,0))</f>
        <v>0</v>
      </c>
      <c r="G470" s="4" t="s">
        <v>15</v>
      </c>
      <c r="H470" s="4"/>
      <c r="I470" s="4" t="s">
        <v>922</v>
      </c>
      <c r="J470" s="4" t="s">
        <v>111</v>
      </c>
      <c r="K470" s="4" t="s">
        <v>112</v>
      </c>
      <c r="L470" s="4"/>
      <c r="M470" s="4"/>
      <c r="N470" s="13" t="b">
        <v>0</v>
      </c>
      <c r="O470" s="13" t="b">
        <v>0</v>
      </c>
      <c r="P470" s="4" t="s">
        <v>923</v>
      </c>
      <c r="Q470" s="14" t="s">
        <v>752</v>
      </c>
      <c r="R470" s="4" t="s">
        <v>753</v>
      </c>
      <c r="S470" s="10">
        <v>250000</v>
      </c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 t="str">
        <f>INDEX(Employee!C:C,MATCH(AG470,Employee!B:B,0))</f>
        <v>Nguyễn Viết Khải</v>
      </c>
      <c r="AG470" s="4" t="s">
        <v>103</v>
      </c>
      <c r="AH470" s="4" t="str">
        <f>INDEX(Employee!D:D,MATCH(AG470,Employee!B:B,0))</f>
        <v>Lead IT Support Engineer</v>
      </c>
      <c r="AI470" s="4" t="str">
        <f>INDEX(Employee!F:F,MATCH(AG470,Employee!B:B,0))</f>
        <v>Tech</v>
      </c>
      <c r="AJ470" s="4" t="str">
        <f>INDEX(Employee!C:C,MATCH(AK470,Employee!B:B,0))</f>
        <v>Nguyễn Mỹ Duyên</v>
      </c>
      <c r="AK470" s="4" t="s">
        <v>924</v>
      </c>
      <c r="AL470" s="4" t="str">
        <f>INDEX(Employee!D:D,MATCH(AK470,Employee!B:B,0))</f>
        <v>HR Intern</v>
      </c>
      <c r="AM470" s="4" t="str">
        <f>INDEX(Employee!F:F,MATCH(AK470,Employee!B:B,0))</f>
        <v>HR</v>
      </c>
      <c r="AN470" s="4" t="str">
        <f>INDEX(Employee!H:H,MATCH(AK470,Employee!B:B,0))</f>
        <v>Vòng Bảo Nhi</v>
      </c>
      <c r="AO470" s="4"/>
      <c r="AP470" s="4"/>
      <c r="AQ470" s="4"/>
      <c r="AR470" s="4"/>
      <c r="AS470" s="4"/>
      <c r="CX470" s="6"/>
    </row>
    <row r="471" spans="1:102" hidden="1">
      <c r="A471" s="3">
        <f t="shared" si="30"/>
        <v>470</v>
      </c>
      <c r="B471" s="4" t="s">
        <v>18</v>
      </c>
      <c r="C471" s="4" t="s">
        <v>4</v>
      </c>
      <c r="D471" s="4" t="e">
        <f>INDEX(Employee!E:E,MATCH(AK471,Employee!B:B,0))</f>
        <v>#N/A</v>
      </c>
      <c r="E471" s="4" t="e">
        <f>INDEX(Employee!F:F,MATCH(AK471,Employee!B:B,0))</f>
        <v>#N/A</v>
      </c>
      <c r="F471" s="4" t="e">
        <f>INDEX(Employee!G:G,MATCH(AK471,Employee!B:B,0))</f>
        <v>#N/A</v>
      </c>
      <c r="G471" s="4" t="s">
        <v>15</v>
      </c>
      <c r="H471" s="4"/>
      <c r="I471" s="4" t="s">
        <v>925</v>
      </c>
      <c r="J471" s="4" t="s">
        <v>111</v>
      </c>
      <c r="K471" s="4" t="s">
        <v>112</v>
      </c>
      <c r="L471" s="4"/>
      <c r="M471" s="4"/>
      <c r="N471" s="13" t="b">
        <v>0</v>
      </c>
      <c r="O471" s="13" t="b">
        <v>0</v>
      </c>
      <c r="P471" s="4" t="s">
        <v>926</v>
      </c>
      <c r="Q471" s="14" t="s">
        <v>752</v>
      </c>
      <c r="R471" s="4" t="s">
        <v>753</v>
      </c>
      <c r="S471" s="10">
        <v>250000</v>
      </c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 t="str">
        <f>INDEX(Employee!C:C,MATCH(AG471,Employee!B:B,0))</f>
        <v>Nguyễn Viết Khải</v>
      </c>
      <c r="AG471" s="4" t="s">
        <v>103</v>
      </c>
      <c r="AH471" s="4" t="str">
        <f>INDEX(Employee!D:D,MATCH(AG471,Employee!B:B,0))</f>
        <v>Lead IT Support Engineer</v>
      </c>
      <c r="AI471" s="4" t="str">
        <f>INDEX(Employee!F:F,MATCH(AG471,Employee!B:B,0))</f>
        <v>Tech</v>
      </c>
      <c r="AJ471" s="4" t="e">
        <f>INDEX(Employee!C:C,MATCH(AK471,Employee!B:B,0))</f>
        <v>#N/A</v>
      </c>
      <c r="AK471" s="4"/>
      <c r="AL471" s="4" t="e">
        <f>INDEX(Employee!D:D,MATCH(AK471,Employee!B:B,0))</f>
        <v>#N/A</v>
      </c>
      <c r="AM471" s="4" t="e">
        <f>INDEX(Employee!F:F,MATCH(AK471,Employee!B:B,0))</f>
        <v>#N/A</v>
      </c>
      <c r="AN471" s="4" t="e">
        <f>INDEX(Employee!H:H,MATCH(AK471,Employee!B:B,0))</f>
        <v>#N/A</v>
      </c>
      <c r="AO471" s="4"/>
      <c r="AP471" s="4"/>
      <c r="AQ471" s="4"/>
      <c r="AR471" s="4"/>
      <c r="AS471" s="4"/>
      <c r="CX471" s="6"/>
    </row>
    <row r="472" spans="1:102" hidden="1">
      <c r="A472" s="3">
        <f t="shared" si="30"/>
        <v>471</v>
      </c>
      <c r="B472" s="4" t="s">
        <v>18</v>
      </c>
      <c r="C472" s="4" t="s">
        <v>4</v>
      </c>
      <c r="D472" s="4" t="e">
        <f>INDEX(Employee!E:E,MATCH(AK472,Employee!B:B,0))</f>
        <v>#N/A</v>
      </c>
      <c r="E472" s="4" t="e">
        <f>INDEX(Employee!F:F,MATCH(AK472,Employee!B:B,0))</f>
        <v>#N/A</v>
      </c>
      <c r="F472" s="4" t="e">
        <f>INDEX(Employee!G:G,MATCH(AK472,Employee!B:B,0))</f>
        <v>#N/A</v>
      </c>
      <c r="G472" s="4" t="s">
        <v>15</v>
      </c>
      <c r="H472" s="4"/>
      <c r="I472" s="4" t="s">
        <v>927</v>
      </c>
      <c r="J472" s="4" t="s">
        <v>111</v>
      </c>
      <c r="K472" s="4" t="s">
        <v>112</v>
      </c>
      <c r="L472" s="4"/>
      <c r="M472" s="4"/>
      <c r="N472" s="13" t="b">
        <v>0</v>
      </c>
      <c r="O472" s="13" t="b">
        <v>0</v>
      </c>
      <c r="P472" s="4" t="s">
        <v>928</v>
      </c>
      <c r="Q472" s="14" t="s">
        <v>752</v>
      </c>
      <c r="R472" s="4" t="s">
        <v>753</v>
      </c>
      <c r="S472" s="10">
        <v>250000</v>
      </c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 t="str">
        <f>INDEX(Employee!C:C,MATCH(AG472,Employee!B:B,0))</f>
        <v>Nguyễn Viết Khải</v>
      </c>
      <c r="AG472" s="4" t="s">
        <v>103</v>
      </c>
      <c r="AH472" s="4" t="str">
        <f>INDEX(Employee!D:D,MATCH(AG472,Employee!B:B,0))</f>
        <v>Lead IT Support Engineer</v>
      </c>
      <c r="AI472" s="4" t="str">
        <f>INDEX(Employee!F:F,MATCH(AG472,Employee!B:B,0))</f>
        <v>Tech</v>
      </c>
      <c r="AJ472" s="4" t="e">
        <f>INDEX(Employee!C:C,MATCH(AK472,Employee!B:B,0))</f>
        <v>#N/A</v>
      </c>
      <c r="AK472" s="4"/>
      <c r="AL472" s="4" t="e">
        <f>INDEX(Employee!D:D,MATCH(AK472,Employee!B:B,0))</f>
        <v>#N/A</v>
      </c>
      <c r="AM472" s="4" t="e">
        <f>INDEX(Employee!F:F,MATCH(AK472,Employee!B:B,0))</f>
        <v>#N/A</v>
      </c>
      <c r="AN472" s="4" t="e">
        <f>INDEX(Employee!H:H,MATCH(AK472,Employee!B:B,0))</f>
        <v>#N/A</v>
      </c>
      <c r="AO472" s="4"/>
      <c r="AP472" s="4"/>
      <c r="AQ472" s="4"/>
      <c r="AR472" s="4"/>
      <c r="AS472" s="4"/>
      <c r="CX472" s="6"/>
    </row>
    <row r="473" spans="1:102" hidden="1">
      <c r="A473" s="3">
        <f t="shared" si="30"/>
        <v>472</v>
      </c>
      <c r="B473" s="4" t="s">
        <v>18</v>
      </c>
      <c r="C473" s="4" t="s">
        <v>4</v>
      </c>
      <c r="D473" s="4" t="str">
        <f>INDEX(Employee!E:E,MATCH(AK473,Employee!B:B,0))</f>
        <v>BO</v>
      </c>
      <c r="E473" s="4" t="str">
        <f>INDEX(Employee!F:F,MATCH(AK473,Employee!B:B,0))</f>
        <v>Business Support</v>
      </c>
      <c r="F473" s="4" t="str">
        <f>INDEX(Employee!G:G,MATCH(AK473,Employee!B:B,0))</f>
        <v>Operation Team</v>
      </c>
      <c r="G473" s="4" t="s">
        <v>15</v>
      </c>
      <c r="H473" s="4"/>
      <c r="I473" s="4" t="s">
        <v>929</v>
      </c>
      <c r="J473" s="4" t="s">
        <v>111</v>
      </c>
      <c r="K473" s="4" t="s">
        <v>112</v>
      </c>
      <c r="L473" s="4"/>
      <c r="M473" s="4"/>
      <c r="N473" s="13" t="b">
        <v>0</v>
      </c>
      <c r="O473" s="13" t="b">
        <v>0</v>
      </c>
      <c r="P473" s="4" t="s">
        <v>930</v>
      </c>
      <c r="Q473" s="14" t="s">
        <v>752</v>
      </c>
      <c r="R473" s="4" t="s">
        <v>753</v>
      </c>
      <c r="S473" s="10">
        <v>250000</v>
      </c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 t="str">
        <f>INDEX(Employee!C:C,MATCH(AG473,Employee!B:B,0))</f>
        <v>Nguyễn Viết Khải</v>
      </c>
      <c r="AG473" s="4" t="s">
        <v>103</v>
      </c>
      <c r="AH473" s="4" t="str">
        <f>INDEX(Employee!D:D,MATCH(AG473,Employee!B:B,0))</f>
        <v>Lead IT Support Engineer</v>
      </c>
      <c r="AI473" s="4" t="str">
        <f>INDEX(Employee!F:F,MATCH(AG473,Employee!B:B,0))</f>
        <v>Tech</v>
      </c>
      <c r="AJ473" s="4" t="str">
        <f>INDEX(Employee!C:C,MATCH(AK473,Employee!B:B,0))</f>
        <v>Đoàn Hà Mi</v>
      </c>
      <c r="AK473" s="4" t="s">
        <v>345</v>
      </c>
      <c r="AL473" s="4" t="str">
        <f>INDEX(Employee!D:D,MATCH(AK473,Employee!B:B,0))</f>
        <v>Admin &amp; Office Manager</v>
      </c>
      <c r="AM473" s="4" t="str">
        <f>INDEX(Employee!F:F,MATCH(AK473,Employee!B:B,0))</f>
        <v>Business Support</v>
      </c>
      <c r="AN473" s="4" t="str">
        <f>INDEX(Employee!H:H,MATCH(AK473,Employee!B:B,0))</f>
        <v>Trần Huyền Thanh (thanhth5)</v>
      </c>
      <c r="AO473" s="4"/>
      <c r="AP473" s="4"/>
      <c r="AQ473" s="4"/>
      <c r="AR473" s="4"/>
      <c r="AS473" s="4"/>
      <c r="CX473" s="6"/>
    </row>
    <row r="474" spans="1:102" hidden="1">
      <c r="A474" s="3">
        <f t="shared" si="30"/>
        <v>473</v>
      </c>
      <c r="B474" s="4" t="s">
        <v>18</v>
      </c>
      <c r="C474" s="4" t="s">
        <v>3</v>
      </c>
      <c r="D474" s="4">
        <f>INDEX(Employee!E:E,MATCH(AK474,Employee!B:B,0))</f>
        <v>0</v>
      </c>
      <c r="E474" s="4" t="str">
        <f>INDEX(Employee!F:F,MATCH(AK474,Employee!B:B,0))</f>
        <v>Tech</v>
      </c>
      <c r="F474" s="4">
        <f>INDEX(Employee!G:G,MATCH(AK474,Employee!B:B,0))</f>
        <v>0</v>
      </c>
      <c r="G474" s="4" t="s">
        <v>119</v>
      </c>
      <c r="H474" s="4"/>
      <c r="I474" s="4" t="s">
        <v>931</v>
      </c>
      <c r="J474" s="4" t="s">
        <v>111</v>
      </c>
      <c r="K474" s="4" t="s">
        <v>112</v>
      </c>
      <c r="L474" s="4"/>
      <c r="M474" s="4"/>
      <c r="N474" s="13" t="b">
        <v>0</v>
      </c>
      <c r="O474" s="13" t="b">
        <v>0</v>
      </c>
      <c r="P474" s="4" t="s">
        <v>932</v>
      </c>
      <c r="Q474" s="14" t="s">
        <v>752</v>
      </c>
      <c r="R474" s="4" t="s">
        <v>753</v>
      </c>
      <c r="S474" s="10">
        <v>250000</v>
      </c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 t="str">
        <f>INDEX(Employee!C:C,MATCH(AG474,Employee!B:B,0))</f>
        <v>Nguyễn Viết Khải</v>
      </c>
      <c r="AG474" s="4" t="s">
        <v>103</v>
      </c>
      <c r="AH474" s="4" t="str">
        <f>INDEX(Employee!D:D,MATCH(AG474,Employee!B:B,0))</f>
        <v>Lead IT Support Engineer</v>
      </c>
      <c r="AI474" s="4" t="str">
        <f>INDEX(Employee!F:F,MATCH(AG474,Employee!B:B,0))</f>
        <v>Tech</v>
      </c>
      <c r="AJ474" s="4" t="str">
        <f>INDEX(Employee!C:C,MATCH(AK474,Employee!B:B,0))</f>
        <v>Nguyễn Văn Lân</v>
      </c>
      <c r="AK474" s="4" t="s">
        <v>536</v>
      </c>
      <c r="AL474" s="4" t="str">
        <f>INDEX(Employee!D:D,MATCH(AK474,Employee!B:B,0))</f>
        <v>Software Engineer</v>
      </c>
      <c r="AM474" s="4" t="str">
        <f>INDEX(Employee!F:F,MATCH(AK474,Employee!B:B,0))</f>
        <v>Tech</v>
      </c>
      <c r="AN474" s="4" t="str">
        <f>INDEX(Employee!H:H,MATCH(AK474,Employee!B:B,0))</f>
        <v>Trần Triệu Dương (duongtt5)</v>
      </c>
      <c r="AO474" s="4"/>
      <c r="AP474" s="4"/>
      <c r="AQ474" s="4"/>
      <c r="AR474" s="4"/>
      <c r="AS474" s="4"/>
      <c r="CX474" s="6"/>
    </row>
    <row r="475" spans="1:102" hidden="1">
      <c r="A475" s="3">
        <f t="shared" si="30"/>
        <v>474</v>
      </c>
      <c r="B475" s="4" t="s">
        <v>18</v>
      </c>
      <c r="C475" s="4" t="s">
        <v>3</v>
      </c>
      <c r="D475" s="4">
        <f>INDEX(Employee!E:E,MATCH(AK475,Employee!B:B,0))</f>
        <v>0</v>
      </c>
      <c r="E475" s="4" t="str">
        <f>INDEX(Employee!F:F,MATCH(AK475,Employee!B:B,0))</f>
        <v>Tech</v>
      </c>
      <c r="F475" s="4">
        <f>INDEX(Employee!G:G,MATCH(AK475,Employee!B:B,0))</f>
        <v>0</v>
      </c>
      <c r="G475" s="4" t="s">
        <v>119</v>
      </c>
      <c r="H475" s="4"/>
      <c r="I475" s="4" t="s">
        <v>933</v>
      </c>
      <c r="J475" s="4" t="s">
        <v>111</v>
      </c>
      <c r="K475" s="4" t="s">
        <v>112</v>
      </c>
      <c r="L475" s="4"/>
      <c r="M475" s="4"/>
      <c r="N475" s="13" t="b">
        <v>0</v>
      </c>
      <c r="O475" s="13" t="b">
        <v>0</v>
      </c>
      <c r="P475" s="4" t="s">
        <v>934</v>
      </c>
      <c r="Q475" s="14" t="s">
        <v>752</v>
      </c>
      <c r="R475" s="4" t="s">
        <v>753</v>
      </c>
      <c r="S475" s="10">
        <v>250000</v>
      </c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 t="str">
        <f>INDEX(Employee!C:C,MATCH(AG475,Employee!B:B,0))</f>
        <v>Nguyễn Viết Khải</v>
      </c>
      <c r="AG475" s="4" t="s">
        <v>103</v>
      </c>
      <c r="AH475" s="4" t="str">
        <f>INDEX(Employee!D:D,MATCH(AG475,Employee!B:B,0))</f>
        <v>Lead IT Support Engineer</v>
      </c>
      <c r="AI475" s="4" t="str">
        <f>INDEX(Employee!F:F,MATCH(AG475,Employee!B:B,0))</f>
        <v>Tech</v>
      </c>
      <c r="AJ475" s="4" t="str">
        <f>INDEX(Employee!C:C,MATCH(AK475,Employee!B:B,0))</f>
        <v>Nguyễn Thanh Lê</v>
      </c>
      <c r="AK475" s="4" t="s">
        <v>143</v>
      </c>
      <c r="AL475" s="4" t="str">
        <f>INDEX(Employee!D:D,MATCH(AK475,Employee!B:B,0))</f>
        <v>Senior GIS Specialist</v>
      </c>
      <c r="AM475" s="4" t="str">
        <f>INDEX(Employee!F:F,MATCH(AK475,Employee!B:B,0))</f>
        <v>Tech</v>
      </c>
      <c r="AN475" s="4" t="str">
        <f>INDEX(Employee!H:H,MATCH(AK475,Employee!B:B,0))</f>
        <v>Dương Huỳnh Nghĩa (nghiadh)</v>
      </c>
      <c r="AO475" s="4"/>
      <c r="AP475" s="4"/>
      <c r="AQ475" s="4"/>
      <c r="AR475" s="4"/>
      <c r="AS475" s="4"/>
      <c r="CX475" s="6"/>
    </row>
    <row r="476" spans="1:102" hidden="1">
      <c r="A476" s="3">
        <f t="shared" si="30"/>
        <v>475</v>
      </c>
      <c r="B476" s="4" t="s">
        <v>18</v>
      </c>
      <c r="C476" s="4" t="s">
        <v>4</v>
      </c>
      <c r="D476" s="4" t="e">
        <f>INDEX(Employee!E:E,MATCH(AK476,Employee!B:B,0))</f>
        <v>#N/A</v>
      </c>
      <c r="E476" s="4" t="e">
        <f>INDEX(Employee!F:F,MATCH(AK476,Employee!B:B,0))</f>
        <v>#N/A</v>
      </c>
      <c r="F476" s="4" t="e">
        <f>INDEX(Employee!G:G,MATCH(AK476,Employee!B:B,0))</f>
        <v>#N/A</v>
      </c>
      <c r="G476" s="4" t="s">
        <v>15</v>
      </c>
      <c r="H476" s="4"/>
      <c r="I476" s="4" t="s">
        <v>935</v>
      </c>
      <c r="J476" s="4" t="s">
        <v>111</v>
      </c>
      <c r="K476" s="4" t="s">
        <v>112</v>
      </c>
      <c r="L476" s="4"/>
      <c r="M476" s="4"/>
      <c r="N476" s="13" t="b">
        <v>0</v>
      </c>
      <c r="O476" s="13" t="b">
        <v>0</v>
      </c>
      <c r="P476" s="4" t="s">
        <v>936</v>
      </c>
      <c r="Q476" s="14" t="s">
        <v>752</v>
      </c>
      <c r="R476" s="4" t="s">
        <v>753</v>
      </c>
      <c r="S476" s="10">
        <v>250000</v>
      </c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 t="str">
        <f>INDEX(Employee!C:C,MATCH(AG476,Employee!B:B,0))</f>
        <v>Nguyễn Viết Khải</v>
      </c>
      <c r="AG476" s="4" t="s">
        <v>103</v>
      </c>
      <c r="AH476" s="4" t="str">
        <f>INDEX(Employee!D:D,MATCH(AG476,Employee!B:B,0))</f>
        <v>Lead IT Support Engineer</v>
      </c>
      <c r="AI476" s="4" t="str">
        <f>INDEX(Employee!F:F,MATCH(AG476,Employee!B:B,0))</f>
        <v>Tech</v>
      </c>
      <c r="AJ476" s="4" t="e">
        <f>INDEX(Employee!C:C,MATCH(AK476,Employee!B:B,0))</f>
        <v>#N/A</v>
      </c>
      <c r="AK476" s="4"/>
      <c r="AL476" s="4" t="e">
        <f>INDEX(Employee!D:D,MATCH(AK476,Employee!B:B,0))</f>
        <v>#N/A</v>
      </c>
      <c r="AM476" s="4" t="e">
        <f>INDEX(Employee!F:F,MATCH(AK476,Employee!B:B,0))</f>
        <v>#N/A</v>
      </c>
      <c r="AN476" s="4" t="e">
        <f>INDEX(Employee!H:H,MATCH(AK476,Employee!B:B,0))</f>
        <v>#N/A</v>
      </c>
      <c r="AO476" s="4"/>
      <c r="AP476" s="4"/>
      <c r="AQ476" s="4"/>
      <c r="AR476" s="4"/>
      <c r="AS476" s="4"/>
      <c r="CX476" s="6"/>
    </row>
    <row r="477" spans="1:102" hidden="1">
      <c r="A477" s="3">
        <f t="shared" si="30"/>
        <v>476</v>
      </c>
      <c r="B477" s="4" t="s">
        <v>18</v>
      </c>
      <c r="C477" s="4" t="s">
        <v>3</v>
      </c>
      <c r="D477" s="4" t="str">
        <f>INDEX(Employee!E:E,MATCH(AK477,Employee!B:B,0))</f>
        <v>CTD</v>
      </c>
      <c r="E477" s="4" t="str">
        <f>INDEX(Employee!F:F,MATCH(AK477,Employee!B:B,0))</f>
        <v>CTD</v>
      </c>
      <c r="F477" s="4" t="str">
        <f>INDEX(Employee!G:G,MATCH(AK477,Employee!B:B,0))</f>
        <v>CTD</v>
      </c>
      <c r="G477" s="4" t="s">
        <v>15</v>
      </c>
      <c r="H477" s="4"/>
      <c r="I477" s="4" t="s">
        <v>937</v>
      </c>
      <c r="J477" s="4" t="s">
        <v>111</v>
      </c>
      <c r="K477" s="4" t="s">
        <v>112</v>
      </c>
      <c r="L477" s="4"/>
      <c r="M477" s="4"/>
      <c r="N477" s="13" t="b">
        <v>0</v>
      </c>
      <c r="O477" s="13" t="b">
        <v>0</v>
      </c>
      <c r="P477" s="4" t="s">
        <v>938</v>
      </c>
      <c r="Q477" s="14" t="s">
        <v>752</v>
      </c>
      <c r="R477" s="4" t="s">
        <v>753</v>
      </c>
      <c r="S477" s="10">
        <v>250000</v>
      </c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 t="str">
        <f>INDEX(Employee!C:C,MATCH(AG477,Employee!B:B,0))</f>
        <v>Nguyễn Viết Khải</v>
      </c>
      <c r="AG477" s="4" t="s">
        <v>103</v>
      </c>
      <c r="AH477" s="4" t="str">
        <f>INDEX(Employee!D:D,MATCH(AG477,Employee!B:B,0))</f>
        <v>Lead IT Support Engineer</v>
      </c>
      <c r="AI477" s="4" t="str">
        <f>INDEX(Employee!F:F,MATCH(AG477,Employee!B:B,0))</f>
        <v>Tech</v>
      </c>
      <c r="AJ477" s="4" t="str">
        <f>INDEX(Employee!C:C,MATCH(AK477,Employee!B:B,0))</f>
        <v>Nguyễn Thị My Sa</v>
      </c>
      <c r="AK477" s="4" t="s">
        <v>475</v>
      </c>
      <c r="AL477" s="4" t="str">
        <f>INDEX(Employee!D:D,MATCH(AK477,Employee!B:B,0))</f>
        <v>HR Business Partner</v>
      </c>
      <c r="AM477" s="4" t="str">
        <f>INDEX(Employee!F:F,MATCH(AK477,Employee!B:B,0))</f>
        <v>CTD</v>
      </c>
      <c r="AN477" s="4" t="str">
        <f>INDEX(Employee!H:H,MATCH(AK477,Employee!B:B,0))</f>
        <v>Nguyễn Trình Thùy Trang</v>
      </c>
      <c r="AO477" s="4"/>
      <c r="AP477" s="4"/>
      <c r="AQ477" s="4"/>
      <c r="AR477" s="4"/>
      <c r="AS477" s="4"/>
      <c r="CX477" s="6"/>
    </row>
    <row r="478" spans="1:102" hidden="1">
      <c r="A478" s="3">
        <f t="shared" si="30"/>
        <v>477</v>
      </c>
      <c r="B478" s="4" t="s">
        <v>18</v>
      </c>
      <c r="C478" s="4" t="s">
        <v>4</v>
      </c>
      <c r="D478" s="4" t="e">
        <f>INDEX(Employee!E:E,MATCH(AK478,Employee!B:B,0))</f>
        <v>#N/A</v>
      </c>
      <c r="E478" s="4" t="e">
        <f>INDEX(Employee!F:F,MATCH(AK478,Employee!B:B,0))</f>
        <v>#N/A</v>
      </c>
      <c r="F478" s="4" t="e">
        <f>INDEX(Employee!G:G,MATCH(AK478,Employee!B:B,0))</f>
        <v>#N/A</v>
      </c>
      <c r="G478" s="4" t="s">
        <v>15</v>
      </c>
      <c r="H478" s="4"/>
      <c r="I478" s="4" t="s">
        <v>939</v>
      </c>
      <c r="J478" s="4" t="s">
        <v>111</v>
      </c>
      <c r="K478" s="4" t="s">
        <v>112</v>
      </c>
      <c r="L478" s="4"/>
      <c r="M478" s="4"/>
      <c r="N478" s="13" t="b">
        <v>0</v>
      </c>
      <c r="O478" s="13" t="b">
        <v>0</v>
      </c>
      <c r="P478" s="4" t="s">
        <v>940</v>
      </c>
      <c r="Q478" s="14" t="s">
        <v>752</v>
      </c>
      <c r="R478" s="4" t="s">
        <v>753</v>
      </c>
      <c r="S478" s="10">
        <v>250000</v>
      </c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 t="str">
        <f>INDEX(Employee!C:C,MATCH(AG478,Employee!B:B,0))</f>
        <v>Nguyễn Viết Khải</v>
      </c>
      <c r="AG478" s="4" t="s">
        <v>103</v>
      </c>
      <c r="AH478" s="4" t="str">
        <f>INDEX(Employee!D:D,MATCH(AG478,Employee!B:B,0))</f>
        <v>Lead IT Support Engineer</v>
      </c>
      <c r="AI478" s="4" t="str">
        <f>INDEX(Employee!F:F,MATCH(AG478,Employee!B:B,0))</f>
        <v>Tech</v>
      </c>
      <c r="AJ478" s="4" t="e">
        <f>INDEX(Employee!C:C,MATCH(AK478,Employee!B:B,0))</f>
        <v>#N/A</v>
      </c>
      <c r="AK478" s="4"/>
      <c r="AL478" s="4" t="e">
        <f>INDEX(Employee!D:D,MATCH(AK478,Employee!B:B,0))</f>
        <v>#N/A</v>
      </c>
      <c r="AM478" s="4" t="e">
        <f>INDEX(Employee!F:F,MATCH(AK478,Employee!B:B,0))</f>
        <v>#N/A</v>
      </c>
      <c r="AN478" s="4" t="e">
        <f>INDEX(Employee!H:H,MATCH(AK478,Employee!B:B,0))</f>
        <v>#N/A</v>
      </c>
      <c r="AO478" s="4"/>
      <c r="AP478" s="4"/>
      <c r="AQ478" s="4"/>
      <c r="AR478" s="4"/>
      <c r="AS478" s="4"/>
      <c r="CX478" s="6"/>
    </row>
    <row r="479" spans="1:102" hidden="1">
      <c r="A479" s="3">
        <f t="shared" si="30"/>
        <v>478</v>
      </c>
      <c r="B479" s="4" t="s">
        <v>18</v>
      </c>
      <c r="C479" s="4" t="s">
        <v>4</v>
      </c>
      <c r="D479" s="4" t="e">
        <f>INDEX(Employee!E:E,MATCH(AK479,Employee!B:B,0))</f>
        <v>#N/A</v>
      </c>
      <c r="E479" s="4" t="e">
        <f>INDEX(Employee!F:F,MATCH(AK479,Employee!B:B,0))</f>
        <v>#N/A</v>
      </c>
      <c r="F479" s="4" t="e">
        <f>INDEX(Employee!G:G,MATCH(AK479,Employee!B:B,0))</f>
        <v>#N/A</v>
      </c>
      <c r="G479" s="4" t="s">
        <v>15</v>
      </c>
      <c r="H479" s="4"/>
      <c r="I479" s="4" t="s">
        <v>941</v>
      </c>
      <c r="J479" s="4" t="s">
        <v>111</v>
      </c>
      <c r="K479" s="4" t="s">
        <v>112</v>
      </c>
      <c r="L479" s="4"/>
      <c r="M479" s="4"/>
      <c r="N479" s="13" t="b">
        <v>0</v>
      </c>
      <c r="O479" s="13" t="b">
        <v>0</v>
      </c>
      <c r="P479" s="4" t="s">
        <v>942</v>
      </c>
      <c r="Q479" s="14" t="s">
        <v>752</v>
      </c>
      <c r="R479" s="4" t="s">
        <v>753</v>
      </c>
      <c r="S479" s="10">
        <v>250000</v>
      </c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 t="str">
        <f>INDEX(Employee!C:C,MATCH(AG479,Employee!B:B,0))</f>
        <v>Nguyễn Viết Khải</v>
      </c>
      <c r="AG479" s="4" t="s">
        <v>103</v>
      </c>
      <c r="AH479" s="4" t="str">
        <f>INDEX(Employee!D:D,MATCH(AG479,Employee!B:B,0))</f>
        <v>Lead IT Support Engineer</v>
      </c>
      <c r="AI479" s="4" t="str">
        <f>INDEX(Employee!F:F,MATCH(AG479,Employee!B:B,0))</f>
        <v>Tech</v>
      </c>
      <c r="AJ479" s="4" t="e">
        <f>INDEX(Employee!C:C,MATCH(AK479,Employee!B:B,0))</f>
        <v>#N/A</v>
      </c>
      <c r="AK479" s="4"/>
      <c r="AL479" s="4" t="e">
        <f>INDEX(Employee!D:D,MATCH(AK479,Employee!B:B,0))</f>
        <v>#N/A</v>
      </c>
      <c r="AM479" s="4" t="e">
        <f>INDEX(Employee!F:F,MATCH(AK479,Employee!B:B,0))</f>
        <v>#N/A</v>
      </c>
      <c r="AN479" s="4" t="e">
        <f>INDEX(Employee!H:H,MATCH(AK479,Employee!B:B,0))</f>
        <v>#N/A</v>
      </c>
      <c r="AO479" s="4"/>
      <c r="AP479" s="4"/>
      <c r="AQ479" s="4"/>
      <c r="AR479" s="4"/>
      <c r="AS479" s="4"/>
      <c r="CX479" s="6"/>
    </row>
    <row r="480" spans="1:102" hidden="1">
      <c r="A480" s="3">
        <f t="shared" si="30"/>
        <v>479</v>
      </c>
      <c r="B480" s="4" t="s">
        <v>18</v>
      </c>
      <c r="C480" s="4" t="s">
        <v>3</v>
      </c>
      <c r="D480" s="4" t="str">
        <f>INDEX(Employee!E:E,MATCH(AK480,Employee!B:B,0))</f>
        <v>CTD</v>
      </c>
      <c r="E480" s="4" t="str">
        <f>INDEX(Employee!F:F,MATCH(AK480,Employee!B:B,0))</f>
        <v>CTD</v>
      </c>
      <c r="F480" s="4" t="str">
        <f>INDEX(Employee!G:G,MATCH(AK480,Employee!B:B,0))</f>
        <v>CTD</v>
      </c>
      <c r="G480" s="4" t="s">
        <v>15</v>
      </c>
      <c r="H480" s="4"/>
      <c r="I480" s="4" t="s">
        <v>943</v>
      </c>
      <c r="J480" s="4" t="s">
        <v>111</v>
      </c>
      <c r="K480" s="4" t="s">
        <v>112</v>
      </c>
      <c r="L480" s="4"/>
      <c r="M480" s="4"/>
      <c r="N480" s="13" t="b">
        <v>0</v>
      </c>
      <c r="O480" s="13" t="b">
        <v>0</v>
      </c>
      <c r="P480" s="4" t="s">
        <v>944</v>
      </c>
      <c r="Q480" s="14" t="s">
        <v>752</v>
      </c>
      <c r="R480" s="4" t="s">
        <v>753</v>
      </c>
      <c r="S480" s="10">
        <v>250000</v>
      </c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 t="str">
        <f>INDEX(Employee!C:C,MATCH(AG480,Employee!B:B,0))</f>
        <v>Nguyễn Viết Khải</v>
      </c>
      <c r="AG480" s="4" t="s">
        <v>103</v>
      </c>
      <c r="AH480" s="4" t="str">
        <f>INDEX(Employee!D:D,MATCH(AG480,Employee!B:B,0))</f>
        <v>Lead IT Support Engineer</v>
      </c>
      <c r="AI480" s="4" t="str">
        <f>INDEX(Employee!F:F,MATCH(AG480,Employee!B:B,0))</f>
        <v>Tech</v>
      </c>
      <c r="AJ480" s="4" t="str">
        <f>INDEX(Employee!C:C,MATCH(AK480,Employee!B:B,0))</f>
        <v>Nguyễn Nhã Minh</v>
      </c>
      <c r="AK480" s="4" t="s">
        <v>262</v>
      </c>
      <c r="AL480" s="4" t="str">
        <f>INDEX(Employee!D:D,MATCH(AK480,Employee!B:B,0))</f>
        <v>Intern IT</v>
      </c>
      <c r="AM480" s="4" t="str">
        <f>INDEX(Employee!F:F,MATCH(AK480,Employee!B:B,0))</f>
        <v>CTD</v>
      </c>
      <c r="AN480" s="4">
        <f>INDEX(Employee!H:H,MATCH(AK480,Employee!B:B,0))</f>
        <v>0</v>
      </c>
      <c r="AO480" s="4"/>
      <c r="AP480" s="4"/>
      <c r="AQ480" s="4"/>
      <c r="AR480" s="4"/>
      <c r="AS480" s="4"/>
      <c r="CX480" s="6"/>
    </row>
    <row r="481" spans="1:102" hidden="1">
      <c r="A481" s="3">
        <f t="shared" si="30"/>
        <v>480</v>
      </c>
      <c r="B481" s="4" t="s">
        <v>18</v>
      </c>
      <c r="C481" s="4" t="s">
        <v>3</v>
      </c>
      <c r="D481" s="4" t="str">
        <f>INDEX(Employee!E:E,MATCH(AK481,Employee!B:B,0))</f>
        <v>CTD</v>
      </c>
      <c r="E481" s="4" t="str">
        <f>INDEX(Employee!F:F,MATCH(AK481,Employee!B:B,0))</f>
        <v>CTD</v>
      </c>
      <c r="F481" s="4" t="str">
        <f>INDEX(Employee!G:G,MATCH(AK481,Employee!B:B,0))</f>
        <v>CTD</v>
      </c>
      <c r="G481" s="4" t="s">
        <v>15</v>
      </c>
      <c r="H481" s="4"/>
      <c r="I481" s="4" t="s">
        <v>945</v>
      </c>
      <c r="J481" s="4" t="s">
        <v>111</v>
      </c>
      <c r="K481" s="4" t="s">
        <v>112</v>
      </c>
      <c r="L481" s="4"/>
      <c r="M481" s="4"/>
      <c r="N481" s="13" t="b">
        <v>0</v>
      </c>
      <c r="O481" s="13" t="b">
        <v>0</v>
      </c>
      <c r="P481" s="4" t="s">
        <v>946</v>
      </c>
      <c r="Q481" s="14" t="s">
        <v>752</v>
      </c>
      <c r="R481" s="4" t="s">
        <v>753</v>
      </c>
      <c r="S481" s="10">
        <v>250000</v>
      </c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 t="str">
        <f>INDEX(Employee!C:C,MATCH(AG481,Employee!B:B,0))</f>
        <v>Nguyễn Viết Khải</v>
      </c>
      <c r="AG481" s="4" t="s">
        <v>103</v>
      </c>
      <c r="AH481" s="4" t="str">
        <f>INDEX(Employee!D:D,MATCH(AG481,Employee!B:B,0))</f>
        <v>Lead IT Support Engineer</v>
      </c>
      <c r="AI481" s="4" t="str">
        <f>INDEX(Employee!F:F,MATCH(AG481,Employee!B:B,0))</f>
        <v>Tech</v>
      </c>
      <c r="AJ481" s="4" t="str">
        <f>INDEX(Employee!C:C,MATCH(AK481,Employee!B:B,0))</f>
        <v>Trần Gia Ân</v>
      </c>
      <c r="AK481" s="4" t="s">
        <v>450</v>
      </c>
      <c r="AL481" s="4" t="str">
        <f>INDEX(Employee!D:D,MATCH(AK481,Employee!B:B,0))</f>
        <v>SAP Intern</v>
      </c>
      <c r="AM481" s="4" t="str">
        <f>INDEX(Employee!F:F,MATCH(AK481,Employee!B:B,0))</f>
        <v>CTD</v>
      </c>
      <c r="AN481" s="4" t="str">
        <f>INDEX(Employee!H:H,MATCH(AK481,Employee!B:B,0))</f>
        <v>CTD</v>
      </c>
      <c r="AO481" s="4"/>
      <c r="AP481" s="4"/>
      <c r="AQ481" s="4"/>
      <c r="AR481" s="4"/>
      <c r="AS481" s="4"/>
      <c r="CX481" s="6"/>
    </row>
    <row r="482" spans="1:102" hidden="1">
      <c r="A482" s="3">
        <f t="shared" si="30"/>
        <v>481</v>
      </c>
      <c r="B482" s="4" t="s">
        <v>18</v>
      </c>
      <c r="C482" s="4" t="s">
        <v>4</v>
      </c>
      <c r="D482" s="4" t="e">
        <f>INDEX(Employee!E:E,MATCH(AK482,Employee!B:B,0))</f>
        <v>#N/A</v>
      </c>
      <c r="E482" s="4" t="e">
        <f>INDEX(Employee!F:F,MATCH(AK482,Employee!B:B,0))</f>
        <v>#N/A</v>
      </c>
      <c r="F482" s="4" t="e">
        <f>INDEX(Employee!G:G,MATCH(AK482,Employee!B:B,0))</f>
        <v>#N/A</v>
      </c>
      <c r="G482" s="4" t="s">
        <v>15</v>
      </c>
      <c r="H482" s="4"/>
      <c r="I482" s="4" t="s">
        <v>947</v>
      </c>
      <c r="J482" s="4" t="s">
        <v>111</v>
      </c>
      <c r="K482" s="4" t="s">
        <v>112</v>
      </c>
      <c r="L482" s="4"/>
      <c r="M482" s="4"/>
      <c r="N482" s="13" t="b">
        <v>0</v>
      </c>
      <c r="O482" s="13" t="b">
        <v>0</v>
      </c>
      <c r="P482" s="4" t="s">
        <v>948</v>
      </c>
      <c r="Q482" s="14" t="s">
        <v>752</v>
      </c>
      <c r="R482" s="4" t="s">
        <v>753</v>
      </c>
      <c r="S482" s="10">
        <v>250000</v>
      </c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 t="str">
        <f>INDEX(Employee!C:C,MATCH(AG482,Employee!B:B,0))</f>
        <v>Nguyễn Viết Khải</v>
      </c>
      <c r="AG482" s="4" t="s">
        <v>103</v>
      </c>
      <c r="AH482" s="4" t="str">
        <f>INDEX(Employee!D:D,MATCH(AG482,Employee!B:B,0))</f>
        <v>Lead IT Support Engineer</v>
      </c>
      <c r="AI482" s="4" t="str">
        <f>INDEX(Employee!F:F,MATCH(AG482,Employee!B:B,0))</f>
        <v>Tech</v>
      </c>
      <c r="AJ482" s="4" t="e">
        <f>INDEX(Employee!C:C,MATCH(AK482,Employee!B:B,0))</f>
        <v>#N/A</v>
      </c>
      <c r="AK482" s="4"/>
      <c r="AL482" s="4" t="e">
        <f>INDEX(Employee!D:D,MATCH(AK482,Employee!B:B,0))</f>
        <v>#N/A</v>
      </c>
      <c r="AM482" s="4" t="e">
        <f>INDEX(Employee!F:F,MATCH(AK482,Employee!B:B,0))</f>
        <v>#N/A</v>
      </c>
      <c r="AN482" s="4" t="e">
        <f>INDEX(Employee!H:H,MATCH(AK482,Employee!B:B,0))</f>
        <v>#N/A</v>
      </c>
      <c r="AO482" s="4"/>
      <c r="AP482" s="4"/>
      <c r="AQ482" s="4"/>
      <c r="AR482" s="4"/>
      <c r="AS482" s="4"/>
      <c r="CX482" s="6"/>
    </row>
    <row r="483" spans="1:102" hidden="1">
      <c r="A483" s="3">
        <f t="shared" si="30"/>
        <v>482</v>
      </c>
      <c r="B483" s="4" t="s">
        <v>18</v>
      </c>
      <c r="C483" s="4" t="s">
        <v>4</v>
      </c>
      <c r="D483" s="4" t="e">
        <f>INDEX(Employee!E:E,MATCH(AK483,Employee!B:B,0))</f>
        <v>#N/A</v>
      </c>
      <c r="E483" s="4" t="e">
        <f>INDEX(Employee!F:F,MATCH(AK483,Employee!B:B,0))</f>
        <v>#N/A</v>
      </c>
      <c r="F483" s="4" t="e">
        <f>INDEX(Employee!G:G,MATCH(AK483,Employee!B:B,0))</f>
        <v>#N/A</v>
      </c>
      <c r="G483" s="4" t="s">
        <v>15</v>
      </c>
      <c r="H483" s="4"/>
      <c r="I483" s="4" t="s">
        <v>949</v>
      </c>
      <c r="J483" s="4" t="s">
        <v>111</v>
      </c>
      <c r="K483" s="4" t="s">
        <v>112</v>
      </c>
      <c r="L483" s="4"/>
      <c r="M483" s="4"/>
      <c r="N483" s="13" t="b">
        <v>0</v>
      </c>
      <c r="O483" s="13" t="b">
        <v>0</v>
      </c>
      <c r="P483" s="4" t="s">
        <v>950</v>
      </c>
      <c r="Q483" s="14" t="s">
        <v>752</v>
      </c>
      <c r="R483" s="4" t="s">
        <v>753</v>
      </c>
      <c r="S483" s="10">
        <v>250000</v>
      </c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 t="str">
        <f>INDEX(Employee!C:C,MATCH(AG483,Employee!B:B,0))</f>
        <v>Nguyễn Viết Khải</v>
      </c>
      <c r="AG483" s="4" t="s">
        <v>103</v>
      </c>
      <c r="AH483" s="4" t="str">
        <f>INDEX(Employee!D:D,MATCH(AG483,Employee!B:B,0))</f>
        <v>Lead IT Support Engineer</v>
      </c>
      <c r="AI483" s="4" t="str">
        <f>INDEX(Employee!F:F,MATCH(AG483,Employee!B:B,0))</f>
        <v>Tech</v>
      </c>
      <c r="AJ483" s="4" t="e">
        <f>INDEX(Employee!C:C,MATCH(AK483,Employee!B:B,0))</f>
        <v>#N/A</v>
      </c>
      <c r="AK483" s="4"/>
      <c r="AL483" s="4" t="e">
        <f>INDEX(Employee!D:D,MATCH(AK483,Employee!B:B,0))</f>
        <v>#N/A</v>
      </c>
      <c r="AM483" s="4" t="e">
        <f>INDEX(Employee!F:F,MATCH(AK483,Employee!B:B,0))</f>
        <v>#N/A</v>
      </c>
      <c r="AN483" s="4" t="e">
        <f>INDEX(Employee!H:H,MATCH(AK483,Employee!B:B,0))</f>
        <v>#N/A</v>
      </c>
      <c r="AO483" s="4"/>
      <c r="AP483" s="4"/>
      <c r="AQ483" s="4"/>
      <c r="AR483" s="4"/>
      <c r="AS483" s="4"/>
      <c r="CX483" s="6"/>
    </row>
    <row r="484" spans="1:102" hidden="1">
      <c r="A484" s="3">
        <f t="shared" si="30"/>
        <v>483</v>
      </c>
      <c r="B484" s="4" t="s">
        <v>18</v>
      </c>
      <c r="C484" s="4" t="s">
        <v>3</v>
      </c>
      <c r="D484" s="4" t="str">
        <f>INDEX(Employee!E:E,MATCH(AK484,Employee!B:B,0))</f>
        <v>Project</v>
      </c>
      <c r="E484" s="4" t="str">
        <f>INDEX(Employee!F:F,MATCH(AK484,Employee!B:B,0))</f>
        <v>Tech</v>
      </c>
      <c r="F484" s="4" t="str">
        <f>INDEX(Employee!G:G,MATCH(AK484,Employee!B:B,0))</f>
        <v>Venture</v>
      </c>
      <c r="G484" s="4" t="s">
        <v>15</v>
      </c>
      <c r="H484" s="4"/>
      <c r="I484" s="4" t="s">
        <v>951</v>
      </c>
      <c r="J484" s="4" t="s">
        <v>111</v>
      </c>
      <c r="K484" s="4" t="s">
        <v>112</v>
      </c>
      <c r="L484" s="4"/>
      <c r="M484" s="4"/>
      <c r="N484" s="13" t="b">
        <v>0</v>
      </c>
      <c r="O484" s="13" t="b">
        <v>0</v>
      </c>
      <c r="P484" s="4" t="s">
        <v>952</v>
      </c>
      <c r="Q484" s="14" t="s">
        <v>752</v>
      </c>
      <c r="R484" s="4" t="s">
        <v>753</v>
      </c>
      <c r="S484" s="10">
        <v>250000</v>
      </c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 t="str">
        <f>INDEX(Employee!C:C,MATCH(AG484,Employee!B:B,0))</f>
        <v>Nguyễn Viết Khải</v>
      </c>
      <c r="AG484" s="4" t="s">
        <v>103</v>
      </c>
      <c r="AH484" s="4" t="str">
        <f>INDEX(Employee!D:D,MATCH(AG484,Employee!B:B,0))</f>
        <v>Lead IT Support Engineer</v>
      </c>
      <c r="AI484" s="4" t="str">
        <f>INDEX(Employee!F:F,MATCH(AG484,Employee!B:B,0))</f>
        <v>Tech</v>
      </c>
      <c r="AJ484" s="4" t="str">
        <f>INDEX(Employee!C:C,MATCH(AK484,Employee!B:B,0))</f>
        <v>Nguyễn Ngọc Lân</v>
      </c>
      <c r="AK484" s="4" t="s">
        <v>554</v>
      </c>
      <c r="AL484" s="4" t="str">
        <f>INDEX(Employee!D:D,MATCH(AK484,Employee!B:B,0))</f>
        <v xml:space="preserve">Business Analyst Intern </v>
      </c>
      <c r="AM484" s="4" t="str">
        <f>INDEX(Employee!F:F,MATCH(AK484,Employee!B:B,0))</f>
        <v>Tech</v>
      </c>
      <c r="AN484" s="4" t="str">
        <f>INDEX(Employee!H:H,MATCH(AK484,Employee!B:B,0))</f>
        <v>Ngô Khánh Vu</v>
      </c>
      <c r="AO484" s="4"/>
      <c r="AP484" s="4"/>
      <c r="AQ484" s="4"/>
      <c r="AR484" s="4"/>
      <c r="AS484" s="4"/>
      <c r="CX484" s="6"/>
    </row>
    <row r="485" spans="1:102" hidden="1">
      <c r="A485" s="3">
        <f t="shared" si="30"/>
        <v>484</v>
      </c>
      <c r="B485" s="4" t="s">
        <v>18</v>
      </c>
      <c r="C485" s="4" t="s">
        <v>4</v>
      </c>
      <c r="D485" s="4" t="e">
        <f>INDEX(Employee!E:E,MATCH(AK485,Employee!B:B,0))</f>
        <v>#N/A</v>
      </c>
      <c r="E485" s="4" t="e">
        <f>INDEX(Employee!F:F,MATCH(AK485,Employee!B:B,0))</f>
        <v>#N/A</v>
      </c>
      <c r="F485" s="4" t="e">
        <f>INDEX(Employee!G:G,MATCH(AK485,Employee!B:B,0))</f>
        <v>#N/A</v>
      </c>
      <c r="G485" s="4" t="s">
        <v>15</v>
      </c>
      <c r="H485" s="4"/>
      <c r="I485" s="4" t="s">
        <v>953</v>
      </c>
      <c r="J485" s="4" t="s">
        <v>111</v>
      </c>
      <c r="K485" s="4" t="s">
        <v>112</v>
      </c>
      <c r="L485" s="4"/>
      <c r="M485" s="4"/>
      <c r="N485" s="13" t="b">
        <v>0</v>
      </c>
      <c r="O485" s="13" t="b">
        <v>0</v>
      </c>
      <c r="P485" s="4" t="s">
        <v>954</v>
      </c>
      <c r="Q485" s="14" t="s">
        <v>752</v>
      </c>
      <c r="R485" s="4" t="s">
        <v>753</v>
      </c>
      <c r="S485" s="10">
        <v>250000</v>
      </c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 t="str">
        <f>INDEX(Employee!C:C,MATCH(AG485,Employee!B:B,0))</f>
        <v>Nguyễn Viết Khải</v>
      </c>
      <c r="AG485" s="4" t="s">
        <v>103</v>
      </c>
      <c r="AH485" s="4" t="str">
        <f>INDEX(Employee!D:D,MATCH(AG485,Employee!B:B,0))</f>
        <v>Lead IT Support Engineer</v>
      </c>
      <c r="AI485" s="4" t="str">
        <f>INDEX(Employee!F:F,MATCH(AG485,Employee!B:B,0))</f>
        <v>Tech</v>
      </c>
      <c r="AJ485" s="4" t="e">
        <f>INDEX(Employee!C:C,MATCH(AK485,Employee!B:B,0))</f>
        <v>#N/A</v>
      </c>
      <c r="AK485" s="4"/>
      <c r="AL485" s="4" t="e">
        <f>INDEX(Employee!D:D,MATCH(AK485,Employee!B:B,0))</f>
        <v>#N/A</v>
      </c>
      <c r="AM485" s="4" t="e">
        <f>INDEX(Employee!F:F,MATCH(AK485,Employee!B:B,0))</f>
        <v>#N/A</v>
      </c>
      <c r="AN485" s="4" t="e">
        <f>INDEX(Employee!H:H,MATCH(AK485,Employee!B:B,0))</f>
        <v>#N/A</v>
      </c>
      <c r="AO485" s="4"/>
      <c r="AP485" s="4"/>
      <c r="AQ485" s="4"/>
      <c r="AR485" s="4"/>
      <c r="AS485" s="4"/>
      <c r="CX485" s="6"/>
    </row>
    <row r="486" spans="1:102" hidden="1">
      <c r="A486" s="3">
        <f t="shared" si="30"/>
        <v>485</v>
      </c>
      <c r="B486" s="4" t="s">
        <v>18</v>
      </c>
      <c r="C486" s="4" t="s">
        <v>3</v>
      </c>
      <c r="D486" s="4">
        <f>INDEX(Employee!E:E,MATCH(AK486,Employee!B:B,0))</f>
        <v>0</v>
      </c>
      <c r="E486" s="4" t="str">
        <f>INDEX(Employee!F:F,MATCH(AK486,Employee!B:B,0))</f>
        <v>Tech</v>
      </c>
      <c r="F486" s="4">
        <f>INDEX(Employee!G:G,MATCH(AK486,Employee!B:B,0))</f>
        <v>0</v>
      </c>
      <c r="G486" s="4" t="s">
        <v>119</v>
      </c>
      <c r="H486" s="4"/>
      <c r="I486" s="4" t="s">
        <v>955</v>
      </c>
      <c r="J486" s="4" t="s">
        <v>111</v>
      </c>
      <c r="K486" s="4" t="s">
        <v>112</v>
      </c>
      <c r="L486" s="4"/>
      <c r="M486" s="4"/>
      <c r="N486" s="13" t="b">
        <v>0</v>
      </c>
      <c r="O486" s="13" t="b">
        <v>0</v>
      </c>
      <c r="P486" s="4" t="s">
        <v>956</v>
      </c>
      <c r="Q486" s="14" t="s">
        <v>752</v>
      </c>
      <c r="R486" s="4" t="s">
        <v>753</v>
      </c>
      <c r="S486" s="10">
        <v>250000</v>
      </c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 t="str">
        <f>INDEX(Employee!C:C,MATCH(AG486,Employee!B:B,0))</f>
        <v>Nguyễn Viết Khải</v>
      </c>
      <c r="AG486" s="4" t="s">
        <v>103</v>
      </c>
      <c r="AH486" s="4" t="str">
        <f>INDEX(Employee!D:D,MATCH(AG486,Employee!B:B,0))</f>
        <v>Lead IT Support Engineer</v>
      </c>
      <c r="AI486" s="4" t="str">
        <f>INDEX(Employee!F:F,MATCH(AG486,Employee!B:B,0))</f>
        <v>Tech</v>
      </c>
      <c r="AJ486" s="4" t="str">
        <f>INDEX(Employee!C:C,MATCH(AK486,Employee!B:B,0))</f>
        <v>Phạm Hồng Quốc Anh</v>
      </c>
      <c r="AK486" s="4" t="s">
        <v>513</v>
      </c>
      <c r="AL486" s="4" t="str">
        <f>INDEX(Employee!D:D,MATCH(AK486,Employee!B:B,0))</f>
        <v>Lead Software Engineer</v>
      </c>
      <c r="AM486" s="4" t="str">
        <f>INDEX(Employee!F:F,MATCH(AK486,Employee!B:B,0))</f>
        <v>Tech</v>
      </c>
      <c r="AN486" s="4" t="str">
        <f>INDEX(Employee!H:H,MATCH(AK486,Employee!B:B,0))</f>
        <v>Trần Triệu Dương (duongtt5)</v>
      </c>
      <c r="AO486" s="4"/>
      <c r="AP486" s="4"/>
      <c r="AQ486" s="4"/>
      <c r="AR486" s="4"/>
      <c r="AS486" s="4"/>
      <c r="CX486" s="6"/>
    </row>
    <row r="487" spans="1:102" hidden="1">
      <c r="A487" s="3">
        <f t="shared" si="30"/>
        <v>486</v>
      </c>
      <c r="B487" s="4" t="s">
        <v>18</v>
      </c>
      <c r="C487" s="4" t="s">
        <v>4</v>
      </c>
      <c r="D487" s="4" t="e">
        <f>INDEX(Employee!E:E,MATCH(AK487,Employee!B:B,0))</f>
        <v>#N/A</v>
      </c>
      <c r="E487" s="4" t="e">
        <f>INDEX(Employee!F:F,MATCH(AK487,Employee!B:B,0))</f>
        <v>#N/A</v>
      </c>
      <c r="F487" s="4" t="e">
        <f>INDEX(Employee!G:G,MATCH(AK487,Employee!B:B,0))</f>
        <v>#N/A</v>
      </c>
      <c r="G487" s="4" t="s">
        <v>15</v>
      </c>
      <c r="H487" s="4"/>
      <c r="I487" s="4" t="s">
        <v>957</v>
      </c>
      <c r="J487" s="4" t="s">
        <v>111</v>
      </c>
      <c r="K487" s="4" t="s">
        <v>112</v>
      </c>
      <c r="L487" s="4"/>
      <c r="M487" s="4"/>
      <c r="N487" s="13" t="b">
        <v>0</v>
      </c>
      <c r="O487" s="13" t="b">
        <v>0</v>
      </c>
      <c r="P487" s="4" t="s">
        <v>958</v>
      </c>
      <c r="Q487" s="14" t="s">
        <v>752</v>
      </c>
      <c r="R487" s="4" t="s">
        <v>753</v>
      </c>
      <c r="S487" s="10">
        <v>250000</v>
      </c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 t="str">
        <f>INDEX(Employee!C:C,MATCH(AG487,Employee!B:B,0))</f>
        <v>Nguyễn Viết Khải</v>
      </c>
      <c r="AG487" s="4" t="s">
        <v>103</v>
      </c>
      <c r="AH487" s="4" t="str">
        <f>INDEX(Employee!D:D,MATCH(AG487,Employee!B:B,0))</f>
        <v>Lead IT Support Engineer</v>
      </c>
      <c r="AI487" s="4" t="str">
        <f>INDEX(Employee!F:F,MATCH(AG487,Employee!B:B,0))</f>
        <v>Tech</v>
      </c>
      <c r="AJ487" s="4" t="e">
        <f>INDEX(Employee!C:C,MATCH(AK487,Employee!B:B,0))</f>
        <v>#N/A</v>
      </c>
      <c r="AK487" s="4"/>
      <c r="AL487" s="4" t="e">
        <f>INDEX(Employee!D:D,MATCH(AK487,Employee!B:B,0))</f>
        <v>#N/A</v>
      </c>
      <c r="AM487" s="4" t="e">
        <f>INDEX(Employee!F:F,MATCH(AK487,Employee!B:B,0))</f>
        <v>#N/A</v>
      </c>
      <c r="AN487" s="4" t="e">
        <f>INDEX(Employee!H:H,MATCH(AK487,Employee!B:B,0))</f>
        <v>#N/A</v>
      </c>
      <c r="AO487" s="4"/>
      <c r="AP487" s="4"/>
      <c r="AQ487" s="4"/>
      <c r="AR487" s="4"/>
      <c r="AS487" s="4"/>
      <c r="CX487" s="6"/>
    </row>
    <row r="488" spans="1:102" hidden="1">
      <c r="A488" s="3">
        <f t="shared" si="30"/>
        <v>487</v>
      </c>
      <c r="B488" s="4" t="s">
        <v>18</v>
      </c>
      <c r="C488" s="4" t="s">
        <v>4</v>
      </c>
      <c r="D488" s="4" t="e">
        <f>INDEX(Employee!E:E,MATCH(AK488,Employee!B:B,0))</f>
        <v>#N/A</v>
      </c>
      <c r="E488" s="4" t="e">
        <f>INDEX(Employee!F:F,MATCH(AK488,Employee!B:B,0))</f>
        <v>#N/A</v>
      </c>
      <c r="F488" s="4" t="e">
        <f>INDEX(Employee!G:G,MATCH(AK488,Employee!B:B,0))</f>
        <v>#N/A</v>
      </c>
      <c r="G488" s="4" t="s">
        <v>15</v>
      </c>
      <c r="H488" s="4"/>
      <c r="I488" s="4" t="s">
        <v>959</v>
      </c>
      <c r="J488" s="4" t="s">
        <v>111</v>
      </c>
      <c r="K488" s="4" t="s">
        <v>112</v>
      </c>
      <c r="L488" s="4"/>
      <c r="M488" s="4"/>
      <c r="N488" s="13" t="b">
        <v>0</v>
      </c>
      <c r="O488" s="13" t="b">
        <v>0</v>
      </c>
      <c r="P488" s="4" t="s">
        <v>960</v>
      </c>
      <c r="Q488" s="14" t="s">
        <v>752</v>
      </c>
      <c r="R488" s="4" t="s">
        <v>753</v>
      </c>
      <c r="S488" s="10">
        <v>250000</v>
      </c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 t="str">
        <f>INDEX(Employee!C:C,MATCH(AG488,Employee!B:B,0))</f>
        <v>Nguyễn Viết Khải</v>
      </c>
      <c r="AG488" s="4" t="s">
        <v>103</v>
      </c>
      <c r="AH488" s="4" t="str">
        <f>INDEX(Employee!D:D,MATCH(AG488,Employee!B:B,0))</f>
        <v>Lead IT Support Engineer</v>
      </c>
      <c r="AI488" s="4" t="str">
        <f>INDEX(Employee!F:F,MATCH(AG488,Employee!B:B,0))</f>
        <v>Tech</v>
      </c>
      <c r="AJ488" s="4" t="e">
        <f>INDEX(Employee!C:C,MATCH(AK488,Employee!B:B,0))</f>
        <v>#N/A</v>
      </c>
      <c r="AK488" s="4"/>
      <c r="AL488" s="4" t="e">
        <f>INDEX(Employee!D:D,MATCH(AK488,Employee!B:B,0))</f>
        <v>#N/A</v>
      </c>
      <c r="AM488" s="4" t="e">
        <f>INDEX(Employee!F:F,MATCH(AK488,Employee!B:B,0))</f>
        <v>#N/A</v>
      </c>
      <c r="AN488" s="4" t="e">
        <f>INDEX(Employee!H:H,MATCH(AK488,Employee!B:B,0))</f>
        <v>#N/A</v>
      </c>
      <c r="AO488" s="4"/>
      <c r="AP488" s="4"/>
      <c r="AQ488" s="4"/>
      <c r="AR488" s="4"/>
      <c r="AS488" s="4"/>
      <c r="CX488" s="6"/>
    </row>
    <row r="489" spans="1:102" hidden="1">
      <c r="A489" s="3">
        <f t="shared" si="30"/>
        <v>488</v>
      </c>
      <c r="B489" s="4" t="s">
        <v>18</v>
      </c>
      <c r="C489" s="4" t="s">
        <v>3</v>
      </c>
      <c r="D489" s="4" t="str">
        <f>INDEX(Employee!E:E,MATCH(AK489,Employee!B:B,0))</f>
        <v>Project</v>
      </c>
      <c r="E489" s="4" t="str">
        <f>INDEX(Employee!F:F,MATCH(AK489,Employee!B:B,0))</f>
        <v>Tech</v>
      </c>
      <c r="F489" s="4" t="str">
        <f>INDEX(Employee!G:G,MATCH(AK489,Employee!B:B,0))</f>
        <v>Venture</v>
      </c>
      <c r="G489" s="4" t="s">
        <v>15</v>
      </c>
      <c r="H489" s="4"/>
      <c r="I489" s="4" t="s">
        <v>961</v>
      </c>
      <c r="J489" s="4" t="s">
        <v>111</v>
      </c>
      <c r="K489" s="4" t="s">
        <v>112</v>
      </c>
      <c r="L489" s="4"/>
      <c r="M489" s="4"/>
      <c r="N489" s="13" t="b">
        <v>0</v>
      </c>
      <c r="O489" s="13" t="b">
        <v>0</v>
      </c>
      <c r="P489" s="4" t="s">
        <v>962</v>
      </c>
      <c r="Q489" s="14" t="s">
        <v>752</v>
      </c>
      <c r="R489" s="4" t="s">
        <v>753</v>
      </c>
      <c r="S489" s="10">
        <v>250000</v>
      </c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 t="str">
        <f>INDEX(Employee!C:C,MATCH(AG489,Employee!B:B,0))</f>
        <v>Nguyễn Viết Khải</v>
      </c>
      <c r="AG489" s="4" t="s">
        <v>103</v>
      </c>
      <c r="AH489" s="4" t="str">
        <f>INDEX(Employee!D:D,MATCH(AG489,Employee!B:B,0))</f>
        <v>Lead IT Support Engineer</v>
      </c>
      <c r="AI489" s="4" t="str">
        <f>INDEX(Employee!F:F,MATCH(AG489,Employee!B:B,0))</f>
        <v>Tech</v>
      </c>
      <c r="AJ489" s="4" t="str">
        <f>INDEX(Employee!C:C,MATCH(AK489,Employee!B:B,0))</f>
        <v>Huỳnh Thúy Diễm</v>
      </c>
      <c r="AK489" s="4" t="s">
        <v>132</v>
      </c>
      <c r="AL489" s="4" t="str">
        <f>INDEX(Employee!D:D,MATCH(AK489,Employee!B:B,0))</f>
        <v>Fresher Business Analyst</v>
      </c>
      <c r="AM489" s="4" t="str">
        <f>INDEX(Employee!F:F,MATCH(AK489,Employee!B:B,0))</f>
        <v>Tech</v>
      </c>
      <c r="AN489" s="4" t="str">
        <f>INDEX(Employee!H:H,MATCH(AK489,Employee!B:B,0))</f>
        <v>Nguyễn Khánh Vy</v>
      </c>
      <c r="AO489" s="4"/>
      <c r="AP489" s="4"/>
      <c r="AQ489" s="4"/>
      <c r="AR489" s="4"/>
      <c r="AS489" s="4"/>
      <c r="CX489" s="6"/>
    </row>
    <row r="490" spans="1:102">
      <c r="A490" s="3">
        <f t="shared" si="30"/>
        <v>489</v>
      </c>
      <c r="B490" s="4" t="s">
        <v>22</v>
      </c>
      <c r="C490" s="4" t="s">
        <v>5</v>
      </c>
      <c r="D490" s="4" t="str">
        <f>INDEX(Employee!E:E,MATCH(AK490,Employee!B:B,0))</f>
        <v>Project</v>
      </c>
      <c r="E490" s="4" t="str">
        <f>INDEX(Employee!F:F,MATCH(AK490,Employee!B:B,0))</f>
        <v>Tech</v>
      </c>
      <c r="F490" s="4" t="str">
        <f>INDEX(Employee!G:G,MATCH(AK490,Employee!B:B,0))</f>
        <v>Venture</v>
      </c>
      <c r="G490" s="4" t="s">
        <v>15</v>
      </c>
      <c r="H490" s="4"/>
      <c r="I490" s="4" t="s">
        <v>963</v>
      </c>
      <c r="J490" s="4" t="s">
        <v>678</v>
      </c>
      <c r="K490" s="4" t="s">
        <v>679</v>
      </c>
      <c r="L490" s="4"/>
      <c r="M490" s="4"/>
      <c r="N490" s="13" t="b">
        <v>0</v>
      </c>
      <c r="O490" s="13" t="b">
        <v>0</v>
      </c>
      <c r="P490" s="4"/>
      <c r="Q490" s="14" t="s">
        <v>752</v>
      </c>
      <c r="R490" s="4" t="s">
        <v>753</v>
      </c>
      <c r="S490" s="10">
        <v>769000</v>
      </c>
      <c r="T490" s="4" t="e">
        <f>INDEX(Employee!#REF!,MATCH(U490,Employee!#REF!,0))</f>
        <v>#REF!</v>
      </c>
      <c r="U490" s="4" t="s">
        <v>292</v>
      </c>
      <c r="V490" s="4" t="e">
        <f>INDEX(Employee!#REF!,MATCH(U490,Employee!#REF!,0))</f>
        <v>#REF!</v>
      </c>
      <c r="W490" s="4" t="e">
        <f>INDEX(Employee!#REF!,MATCH(U490,Employee!#REF!,0))</f>
        <v>#REF!</v>
      </c>
      <c r="X490" s="4" t="e">
        <f>INDEX(Employee!#REF!,MATCH(U490,Employee!#REF!,0))</f>
        <v>#REF!</v>
      </c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 t="str">
        <f>INDEX(Employee!C:C,MATCH(AK490,Employee!B:B,0))</f>
        <v>Phạm Thị Trúc Linh</v>
      </c>
      <c r="AK490" s="4" t="s">
        <v>292</v>
      </c>
      <c r="AL490" s="4" t="str">
        <f>INDEX(Employee!D:D,MATCH(AK490,Employee!B:B,0))</f>
        <v>Associate QC Engineer</v>
      </c>
      <c r="AM490" s="4" t="str">
        <f>INDEX(Employee!F:F,MATCH(AK490,Employee!B:B,0))</f>
        <v>Tech</v>
      </c>
      <c r="AN490" s="4" t="str">
        <f>INDEX(Employee!H:H,MATCH(AK490,Employee!B:B,0))</f>
        <v>Nguyễn Khánh Vy</v>
      </c>
      <c r="AO490" s="4"/>
      <c r="AP490" s="4"/>
      <c r="AQ490" s="4"/>
      <c r="AR490" s="4"/>
      <c r="AS490" s="4" t="s">
        <v>553</v>
      </c>
      <c r="CH490" s="6"/>
      <c r="CX490" s="6"/>
    </row>
    <row r="491" spans="1:102" hidden="1">
      <c r="A491" s="3">
        <f t="shared" si="30"/>
        <v>490</v>
      </c>
      <c r="B491" s="4" t="s">
        <v>22</v>
      </c>
      <c r="C491" s="4" t="s">
        <v>3</v>
      </c>
      <c r="D491" s="4" t="str">
        <f>INDEX(Employee!E:E,MATCH(AK491,Employee!B:B,0))</f>
        <v>Project</v>
      </c>
      <c r="E491" s="4" t="str">
        <f>INDEX(Employee!F:F,MATCH(AK491,Employee!B:B,0))</f>
        <v>Tech</v>
      </c>
      <c r="F491" s="4" t="str">
        <f>INDEX(Employee!G:G,MATCH(AK491,Employee!B:B,0))</f>
        <v>Venture</v>
      </c>
      <c r="G491" s="4" t="s">
        <v>15</v>
      </c>
      <c r="H491" s="4"/>
      <c r="I491" s="4" t="str">
        <f t="shared" ref="I491:I504" si="31">IF(I490="","", "CAB"&amp;TEXT(VALUE(RIGHT(I490,4))+1,"0000"))</f>
        <v>CAB0063</v>
      </c>
      <c r="J491" s="4" t="s">
        <v>678</v>
      </c>
      <c r="K491" s="4" t="s">
        <v>679</v>
      </c>
      <c r="L491" s="4"/>
      <c r="M491" s="4"/>
      <c r="N491" s="13" t="b">
        <v>0</v>
      </c>
      <c r="O491" s="13" t="b">
        <v>0</v>
      </c>
      <c r="P491" s="4"/>
      <c r="Q491" s="14" t="s">
        <v>752</v>
      </c>
      <c r="R491" s="4" t="s">
        <v>753</v>
      </c>
      <c r="S491" s="10">
        <v>769000</v>
      </c>
      <c r="T491" s="4" t="e">
        <f>INDEX(Employee!#REF!,MATCH(U491,Employee!#REF!,0))</f>
        <v>#REF!</v>
      </c>
      <c r="U491" s="4" t="s">
        <v>292</v>
      </c>
      <c r="V491" s="4" t="e">
        <f>INDEX(Employee!#REF!,MATCH(U491,Employee!#REF!,0))</f>
        <v>#REF!</v>
      </c>
      <c r="W491" s="4" t="e">
        <f>INDEX(Employee!#REF!,MATCH(U491,Employee!#REF!,0))</f>
        <v>#REF!</v>
      </c>
      <c r="X491" s="4" t="e">
        <f>INDEX(Employee!#REF!,MATCH(U491,Employee!#REF!,0))</f>
        <v>#REF!</v>
      </c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 t="str">
        <f>INDEX(Employee!C:C,MATCH(AK491,Employee!B:B,0))</f>
        <v>Nguyễn Văn Bình</v>
      </c>
      <c r="AK491" s="4" t="s">
        <v>447</v>
      </c>
      <c r="AL491" s="4" t="str">
        <f>INDEX(Employee!D:D,MATCH(AK491,Employee!B:B,0))</f>
        <v>Senior Software Engineer, Team Leader</v>
      </c>
      <c r="AM491" s="4" t="str">
        <f>INDEX(Employee!F:F,MATCH(AK491,Employee!B:B,0))</f>
        <v>Tech</v>
      </c>
      <c r="AN491" s="4" t="str">
        <f>INDEX(Employee!H:H,MATCH(AK491,Employee!B:B,0))</f>
        <v>Đoàn Nhật Duẩn (duandn)</v>
      </c>
      <c r="AO491" s="4"/>
      <c r="AP491" s="4"/>
      <c r="AQ491" s="4"/>
      <c r="AR491" s="4"/>
      <c r="AS491" s="4"/>
      <c r="CH491" s="6"/>
      <c r="CX491" s="6"/>
    </row>
    <row r="492" spans="1:102" hidden="1">
      <c r="A492" s="3">
        <f t="shared" ref="A492:A532" si="32">IF(B492&lt;&gt;"",ROW()-1,"")</f>
        <v>491</v>
      </c>
      <c r="B492" s="4" t="s">
        <v>22</v>
      </c>
      <c r="C492" s="4" t="s">
        <v>4</v>
      </c>
      <c r="D492" s="4" t="e">
        <f>INDEX(Employee!E:E,MATCH(AK492,Employee!B:B,0))</f>
        <v>#N/A</v>
      </c>
      <c r="E492" s="4" t="e">
        <f>INDEX(Employee!F:F,MATCH(AK492,Employee!B:B,0))</f>
        <v>#N/A</v>
      </c>
      <c r="F492" s="4" t="e">
        <f>INDEX(Employee!G:G,MATCH(AK492,Employee!B:B,0))</f>
        <v>#N/A</v>
      </c>
      <c r="G492" s="4" t="s">
        <v>15</v>
      </c>
      <c r="H492" s="4"/>
      <c r="I492" s="4" t="str">
        <f t="shared" si="31"/>
        <v>CAB0064</v>
      </c>
      <c r="J492" s="4" t="s">
        <v>678</v>
      </c>
      <c r="K492" s="4" t="s">
        <v>679</v>
      </c>
      <c r="L492" s="4"/>
      <c r="M492" s="4"/>
      <c r="N492" s="13" t="b">
        <v>0</v>
      </c>
      <c r="O492" s="13" t="b">
        <v>0</v>
      </c>
      <c r="P492" s="4"/>
      <c r="Q492" s="14" t="s">
        <v>752</v>
      </c>
      <c r="R492" s="4" t="s">
        <v>753</v>
      </c>
      <c r="S492" s="10">
        <v>769000</v>
      </c>
      <c r="T492" s="4" t="e">
        <f>INDEX(Employee!#REF!,MATCH(U492,Employee!#REF!,0))</f>
        <v>#REF!</v>
      </c>
      <c r="U492" s="4" t="s">
        <v>292</v>
      </c>
      <c r="V492" s="4" t="e">
        <f>INDEX(Employee!#REF!,MATCH(U492,Employee!#REF!,0))</f>
        <v>#REF!</v>
      </c>
      <c r="W492" s="4" t="e">
        <f>INDEX(Employee!#REF!,MATCH(U492,Employee!#REF!,0))</f>
        <v>#REF!</v>
      </c>
      <c r="X492" s="4" t="e">
        <f>INDEX(Employee!#REF!,MATCH(U492,Employee!#REF!,0))</f>
        <v>#REF!</v>
      </c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 t="e">
        <f>INDEX(Employee!C:C,MATCH(AK492,Employee!B:B,0))</f>
        <v>#N/A</v>
      </c>
      <c r="AK492" s="4"/>
      <c r="AL492" s="4" t="e">
        <f>INDEX(Employee!D:D,MATCH(AK492,Employee!B:B,0))</f>
        <v>#N/A</v>
      </c>
      <c r="AM492" s="4" t="e">
        <f>INDEX(Employee!F:F,MATCH(AK492,Employee!B:B,0))</f>
        <v>#N/A</v>
      </c>
      <c r="AN492" s="4" t="e">
        <f>INDEX(Employee!H:H,MATCH(AK492,Employee!B:B,0))</f>
        <v>#N/A</v>
      </c>
      <c r="AO492" s="4"/>
      <c r="AP492" s="4"/>
      <c r="AQ492" s="4"/>
      <c r="AR492" s="4"/>
      <c r="AS492" s="4"/>
      <c r="CH492" s="6"/>
      <c r="CX492" s="6"/>
    </row>
    <row r="493" spans="1:102" hidden="1">
      <c r="A493" s="3">
        <f t="shared" si="32"/>
        <v>492</v>
      </c>
      <c r="B493" s="4" t="s">
        <v>22</v>
      </c>
      <c r="C493" s="4" t="s">
        <v>3</v>
      </c>
      <c r="D493" s="4" t="str">
        <f>INDEX(Employee!E:E,MATCH(AK493,Employee!B:B,0))</f>
        <v>BO</v>
      </c>
      <c r="E493" s="4" t="str">
        <f>INDEX(Employee!F:F,MATCH(AK493,Employee!B:B,0))</f>
        <v>Marketing</v>
      </c>
      <c r="F493" s="4" t="str">
        <f>INDEX(Employee!G:G,MATCH(AK493,Employee!B:B,0))</f>
        <v>Operation Team</v>
      </c>
      <c r="G493" s="4" t="s">
        <v>15</v>
      </c>
      <c r="H493" s="4"/>
      <c r="I493" s="4" t="str">
        <f t="shared" si="31"/>
        <v>CAB0065</v>
      </c>
      <c r="J493" s="4" t="s">
        <v>678</v>
      </c>
      <c r="K493" s="4" t="s">
        <v>679</v>
      </c>
      <c r="L493" s="4"/>
      <c r="M493" s="4"/>
      <c r="N493" s="13" t="b">
        <v>0</v>
      </c>
      <c r="O493" s="13" t="b">
        <v>0</v>
      </c>
      <c r="P493" s="4"/>
      <c r="Q493" s="14" t="s">
        <v>752</v>
      </c>
      <c r="R493" s="4" t="s">
        <v>753</v>
      </c>
      <c r="S493" s="10">
        <v>769000</v>
      </c>
      <c r="T493" s="4" t="e">
        <f>INDEX(Employee!#REF!,MATCH(U493,Employee!#REF!,0))</f>
        <v>#REF!</v>
      </c>
      <c r="U493" s="4" t="s">
        <v>292</v>
      </c>
      <c r="V493" s="4" t="e">
        <f>INDEX(Employee!#REF!,MATCH(U493,Employee!#REF!,0))</f>
        <v>#REF!</v>
      </c>
      <c r="W493" s="4" t="e">
        <f>INDEX(Employee!#REF!,MATCH(U493,Employee!#REF!,0))</f>
        <v>#REF!</v>
      </c>
      <c r="X493" s="4" t="e">
        <f>INDEX(Employee!#REF!,MATCH(U493,Employee!#REF!,0))</f>
        <v>#REF!</v>
      </c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 t="str">
        <f>INDEX(Employee!C:C,MATCH(AK493,Employee!B:B,0))</f>
        <v>Đinh Vũ Tiến</v>
      </c>
      <c r="AK493" s="4" t="s">
        <v>545</v>
      </c>
      <c r="AL493" s="4" t="str">
        <f>INDEX(Employee!D:D,MATCH(AK493,Employee!B:B,0))</f>
        <v>Branding and Communications Lead</v>
      </c>
      <c r="AM493" s="4" t="str">
        <f>INDEX(Employee!F:F,MATCH(AK493,Employee!B:B,0))</f>
        <v>Marketing</v>
      </c>
      <c r="AN493" s="4" t="str">
        <f>INDEX(Employee!H:H,MATCH(AK493,Employee!B:B,0))</f>
        <v>Nguyễn Thị Thùy Trang</v>
      </c>
      <c r="AO493" s="4"/>
      <c r="AP493" s="4"/>
      <c r="AQ493" s="4"/>
      <c r="AR493" s="4"/>
      <c r="AS493" s="4"/>
      <c r="CH493" s="6"/>
      <c r="CX493" s="6"/>
    </row>
    <row r="494" spans="1:102">
      <c r="A494" s="3">
        <f t="shared" si="32"/>
        <v>493</v>
      </c>
      <c r="B494" s="4" t="s">
        <v>22</v>
      </c>
      <c r="C494" s="4" t="s">
        <v>3</v>
      </c>
      <c r="D494" s="4" t="str">
        <f>INDEX(Employee!E:E,MATCH(AK494,Employee!B:B,0))</f>
        <v>Project</v>
      </c>
      <c r="E494" s="4" t="str">
        <f>INDEX(Employee!F:F,MATCH(AK494,Employee!B:B,0))</f>
        <v>Tech</v>
      </c>
      <c r="F494" s="4" t="str">
        <f>INDEX(Employee!G:G,MATCH(AK494,Employee!B:B,0))</f>
        <v>Venture</v>
      </c>
      <c r="G494" s="4" t="s">
        <v>15</v>
      </c>
      <c r="H494" s="4"/>
      <c r="I494" s="4" t="str">
        <f t="shared" si="31"/>
        <v>CAB0066</v>
      </c>
      <c r="J494" s="4" t="s">
        <v>678</v>
      </c>
      <c r="K494" s="4" t="s">
        <v>679</v>
      </c>
      <c r="L494" s="4"/>
      <c r="M494" s="4"/>
      <c r="N494" s="13" t="b">
        <v>0</v>
      </c>
      <c r="O494" s="13" t="b">
        <v>0</v>
      </c>
      <c r="P494" s="4"/>
      <c r="Q494" s="14" t="s">
        <v>752</v>
      </c>
      <c r="R494" s="4" t="s">
        <v>753</v>
      </c>
      <c r="S494" s="10">
        <v>769000</v>
      </c>
      <c r="T494" s="4" t="e">
        <f>INDEX(Employee!#REF!,MATCH(U494,Employee!#REF!,0))</f>
        <v>#REF!</v>
      </c>
      <c r="U494" s="4" t="s">
        <v>292</v>
      </c>
      <c r="V494" s="4" t="e">
        <f>INDEX(Employee!#REF!,MATCH(U494,Employee!#REF!,0))</f>
        <v>#REF!</v>
      </c>
      <c r="W494" s="4" t="e">
        <f>INDEX(Employee!#REF!,MATCH(U494,Employee!#REF!,0))</f>
        <v>#REF!</v>
      </c>
      <c r="X494" s="4" t="e">
        <f>INDEX(Employee!#REF!,MATCH(U494,Employee!#REF!,0))</f>
        <v>#REF!</v>
      </c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 t="str">
        <f>INDEX(Employee!C:C,MATCH(AK494,Employee!B:B,0))</f>
        <v>Phạm Thị Trúc Linh</v>
      </c>
      <c r="AK494" s="4" t="s">
        <v>292</v>
      </c>
      <c r="AL494" s="4" t="str">
        <f>INDEX(Employee!D:D,MATCH(AK494,Employee!B:B,0))</f>
        <v>Associate QC Engineer</v>
      </c>
      <c r="AM494" s="4" t="str">
        <f>INDEX(Employee!F:F,MATCH(AK494,Employee!B:B,0))</f>
        <v>Tech</v>
      </c>
      <c r="AN494" s="4" t="str">
        <f>INDEX(Employee!H:H,MATCH(AK494,Employee!B:B,0))</f>
        <v>Nguyễn Khánh Vy</v>
      </c>
      <c r="AO494" s="4"/>
      <c r="AP494" s="4"/>
      <c r="AQ494" s="4"/>
      <c r="AR494" s="4"/>
      <c r="AS494" s="4"/>
      <c r="CH494" s="6"/>
      <c r="CX494" s="6"/>
    </row>
    <row r="495" spans="1:102" hidden="1">
      <c r="A495" s="3">
        <f t="shared" si="32"/>
        <v>494</v>
      </c>
      <c r="B495" s="4" t="s">
        <v>22</v>
      </c>
      <c r="C495" s="4" t="s">
        <v>3</v>
      </c>
      <c r="D495" s="4">
        <f>INDEX(Employee!E:E,MATCH(AK495,Employee!B:B,0))</f>
        <v>0</v>
      </c>
      <c r="E495" s="4" t="str">
        <f>INDEX(Employee!F:F,MATCH(AK495,Employee!B:B,0))</f>
        <v>Data</v>
      </c>
      <c r="F495" s="4">
        <f>INDEX(Employee!G:G,MATCH(AK495,Employee!B:B,0))</f>
        <v>0</v>
      </c>
      <c r="G495" s="4" t="s">
        <v>119</v>
      </c>
      <c r="H495" s="4"/>
      <c r="I495" s="4" t="str">
        <f t="shared" si="31"/>
        <v>CAB0067</v>
      </c>
      <c r="J495" s="4" t="s">
        <v>678</v>
      </c>
      <c r="K495" s="4" t="s">
        <v>679</v>
      </c>
      <c r="L495" s="4"/>
      <c r="M495" s="4"/>
      <c r="N495" s="13" t="b">
        <v>0</v>
      </c>
      <c r="O495" s="13" t="b">
        <v>0</v>
      </c>
      <c r="P495" s="4"/>
      <c r="Q495" s="14" t="s">
        <v>752</v>
      </c>
      <c r="R495" s="4" t="s">
        <v>753</v>
      </c>
      <c r="S495" s="10">
        <v>769000</v>
      </c>
      <c r="T495" s="4" t="e">
        <f>INDEX(Employee!#REF!,MATCH(U495,Employee!#REF!,0))</f>
        <v>#REF!</v>
      </c>
      <c r="U495" s="4" t="s">
        <v>292</v>
      </c>
      <c r="V495" s="4" t="e">
        <f>INDEX(Employee!#REF!,MATCH(U495,Employee!#REF!,0))</f>
        <v>#REF!</v>
      </c>
      <c r="W495" s="4" t="e">
        <f>INDEX(Employee!#REF!,MATCH(U495,Employee!#REF!,0))</f>
        <v>#REF!</v>
      </c>
      <c r="X495" s="4" t="e">
        <f>INDEX(Employee!#REF!,MATCH(U495,Employee!#REF!,0))</f>
        <v>#REF!</v>
      </c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 t="str">
        <f>INDEX(Employee!C:C,MATCH(AK495,Employee!B:B,0))</f>
        <v>Đào Đức Dũng</v>
      </c>
      <c r="AK495" s="4" t="s">
        <v>387</v>
      </c>
      <c r="AL495" s="4" t="str">
        <f>INDEX(Employee!D:D,MATCH(AK495,Employee!B:B,0))</f>
        <v>Senior Data Engineer</v>
      </c>
      <c r="AM495" s="4" t="str">
        <f>INDEX(Employee!F:F,MATCH(AK495,Employee!B:B,0))</f>
        <v>Data</v>
      </c>
      <c r="AN495" s="4" t="str">
        <f>INDEX(Employee!H:H,MATCH(AK495,Employee!B:B,0))</f>
        <v>Dương Huỳnh Nghĩa (nghiadh)</v>
      </c>
      <c r="AO495" s="4"/>
      <c r="AP495" s="4"/>
      <c r="AQ495" s="4"/>
      <c r="AR495" s="4"/>
      <c r="AS495" s="4"/>
      <c r="CH495" s="6"/>
      <c r="CX495" s="6"/>
    </row>
    <row r="496" spans="1:102" hidden="1">
      <c r="A496" s="3">
        <f t="shared" si="32"/>
        <v>495</v>
      </c>
      <c r="B496" s="4" t="s">
        <v>22</v>
      </c>
      <c r="C496" s="4" t="s">
        <v>3</v>
      </c>
      <c r="D496" s="4">
        <f>INDEX(Employee!E:E,MATCH(AK496,Employee!B:B,0))</f>
        <v>0</v>
      </c>
      <c r="E496" s="4" t="str">
        <f>INDEX(Employee!F:F,MATCH(AK496,Employee!B:B,0))</f>
        <v>Tech</v>
      </c>
      <c r="F496" s="4">
        <f>INDEX(Employee!G:G,MATCH(AK496,Employee!B:B,0))</f>
        <v>0</v>
      </c>
      <c r="G496" s="4" t="s">
        <v>119</v>
      </c>
      <c r="H496" s="4"/>
      <c r="I496" s="4" t="str">
        <f t="shared" si="31"/>
        <v>CAB0068</v>
      </c>
      <c r="J496" s="4" t="s">
        <v>678</v>
      </c>
      <c r="K496" s="4" t="s">
        <v>679</v>
      </c>
      <c r="L496" s="4"/>
      <c r="M496" s="4"/>
      <c r="N496" s="13" t="b">
        <v>0</v>
      </c>
      <c r="O496" s="13" t="b">
        <v>0</v>
      </c>
      <c r="P496" s="4"/>
      <c r="Q496" s="14" t="s">
        <v>752</v>
      </c>
      <c r="R496" s="4" t="s">
        <v>753</v>
      </c>
      <c r="S496" s="10">
        <v>769000</v>
      </c>
      <c r="T496" s="4" t="e">
        <f>INDEX(Employee!#REF!,MATCH(U496,Employee!#REF!,0))</f>
        <v>#REF!</v>
      </c>
      <c r="U496" s="4" t="s">
        <v>292</v>
      </c>
      <c r="V496" s="4" t="e">
        <f>INDEX(Employee!#REF!,MATCH(U496,Employee!#REF!,0))</f>
        <v>#REF!</v>
      </c>
      <c r="W496" s="4" t="e">
        <f>INDEX(Employee!#REF!,MATCH(U496,Employee!#REF!,0))</f>
        <v>#REF!</v>
      </c>
      <c r="X496" s="4" t="e">
        <f>INDEX(Employee!#REF!,MATCH(U496,Employee!#REF!,0))</f>
        <v>#REF!</v>
      </c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 t="str">
        <f>INDEX(Employee!C:C,MATCH(AK496,Employee!B:B,0))</f>
        <v>Hoàng Anh Dũng</v>
      </c>
      <c r="AK496" s="4" t="s">
        <v>411</v>
      </c>
      <c r="AL496" s="4" t="str">
        <f>INDEX(Employee!D:D,MATCH(AK496,Employee!B:B,0))</f>
        <v>Associate Software Engineer</v>
      </c>
      <c r="AM496" s="4" t="str">
        <f>INDEX(Employee!F:F,MATCH(AK496,Employee!B:B,0))</f>
        <v>Tech</v>
      </c>
      <c r="AN496" s="4" t="str">
        <f>INDEX(Employee!H:H,MATCH(AK496,Employee!B:B,0))</f>
        <v>Trương Thanh Nhân (nhantt7)</v>
      </c>
      <c r="AO496" s="4"/>
      <c r="AP496" s="4"/>
      <c r="AQ496" s="4"/>
      <c r="AR496" s="4"/>
      <c r="AS496" s="4"/>
      <c r="CH496" s="6"/>
      <c r="CX496" s="6"/>
    </row>
    <row r="497" spans="1:102" hidden="1">
      <c r="A497" s="3">
        <f t="shared" si="32"/>
        <v>496</v>
      </c>
      <c r="B497" s="4" t="s">
        <v>22</v>
      </c>
      <c r="C497" s="4" t="s">
        <v>4</v>
      </c>
      <c r="D497" s="4" t="e">
        <f>INDEX(Employee!E:E,MATCH(AK497,Employee!B:B,0))</f>
        <v>#N/A</v>
      </c>
      <c r="E497" s="4" t="e">
        <f>INDEX(Employee!F:F,MATCH(AK497,Employee!B:B,0))</f>
        <v>#N/A</v>
      </c>
      <c r="F497" s="4" t="e">
        <f>INDEX(Employee!G:G,MATCH(AK497,Employee!B:B,0))</f>
        <v>#N/A</v>
      </c>
      <c r="G497" s="4" t="s">
        <v>15</v>
      </c>
      <c r="H497" s="4"/>
      <c r="I497" s="4" t="str">
        <f t="shared" si="31"/>
        <v>CAB0069</v>
      </c>
      <c r="J497" s="4" t="s">
        <v>678</v>
      </c>
      <c r="K497" s="4" t="s">
        <v>679</v>
      </c>
      <c r="L497" s="4"/>
      <c r="M497" s="4"/>
      <c r="N497" s="13" t="b">
        <v>0</v>
      </c>
      <c r="O497" s="13" t="b">
        <v>0</v>
      </c>
      <c r="P497" s="4"/>
      <c r="Q497" s="14" t="s">
        <v>752</v>
      </c>
      <c r="R497" s="4" t="s">
        <v>753</v>
      </c>
      <c r="S497" s="10">
        <v>769000</v>
      </c>
      <c r="T497" s="4" t="e">
        <f>INDEX(Employee!#REF!,MATCH(U497,Employee!#REF!,0))</f>
        <v>#REF!</v>
      </c>
      <c r="U497" s="4" t="s">
        <v>292</v>
      </c>
      <c r="V497" s="4" t="e">
        <f>INDEX(Employee!#REF!,MATCH(U497,Employee!#REF!,0))</f>
        <v>#REF!</v>
      </c>
      <c r="W497" s="4" t="e">
        <f>INDEX(Employee!#REF!,MATCH(U497,Employee!#REF!,0))</f>
        <v>#REF!</v>
      </c>
      <c r="X497" s="4" t="e">
        <f>INDEX(Employee!#REF!,MATCH(U497,Employee!#REF!,0))</f>
        <v>#REF!</v>
      </c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 t="e">
        <f>INDEX(Employee!C:C,MATCH(AK497,Employee!B:B,0))</f>
        <v>#N/A</v>
      </c>
      <c r="AK497" s="4"/>
      <c r="AL497" s="4" t="e">
        <f>INDEX(Employee!D:D,MATCH(AK497,Employee!B:B,0))</f>
        <v>#N/A</v>
      </c>
      <c r="AM497" s="4" t="e">
        <f>INDEX(Employee!F:F,MATCH(AK497,Employee!B:B,0))</f>
        <v>#N/A</v>
      </c>
      <c r="AN497" s="4" t="e">
        <f>INDEX(Employee!H:H,MATCH(AK497,Employee!B:B,0))</f>
        <v>#N/A</v>
      </c>
      <c r="AO497" s="4"/>
      <c r="AP497" s="4"/>
      <c r="AQ497" s="4"/>
      <c r="AR497" s="4"/>
      <c r="AS497" s="4"/>
      <c r="CH497" s="6"/>
      <c r="CX497" s="6"/>
    </row>
    <row r="498" spans="1:102" hidden="1">
      <c r="A498" s="3">
        <f t="shared" si="32"/>
        <v>497</v>
      </c>
      <c r="B498" s="4" t="s">
        <v>22</v>
      </c>
      <c r="C498" s="4" t="s">
        <v>3</v>
      </c>
      <c r="D498" s="4" t="str">
        <f>INDEX(Employee!E:E,MATCH(AK498,Employee!B:B,0))</f>
        <v>Project</v>
      </c>
      <c r="E498" s="4" t="str">
        <f>INDEX(Employee!F:F,MATCH(AK498,Employee!B:B,0))</f>
        <v>Data</v>
      </c>
      <c r="F498" s="4" t="str">
        <f>INDEX(Employee!G:G,MATCH(AK498,Employee!B:B,0))</f>
        <v>Resource Pool</v>
      </c>
      <c r="G498" s="4" t="s">
        <v>15</v>
      </c>
      <c r="H498" s="4"/>
      <c r="I498" s="4" t="str">
        <f t="shared" si="31"/>
        <v>CAB0070</v>
      </c>
      <c r="J498" s="4" t="s">
        <v>678</v>
      </c>
      <c r="K498" s="4" t="s">
        <v>679</v>
      </c>
      <c r="L498" s="4"/>
      <c r="M498" s="4"/>
      <c r="N498" s="13" t="b">
        <v>0</v>
      </c>
      <c r="O498" s="13" t="b">
        <v>0</v>
      </c>
      <c r="P498" s="4"/>
      <c r="Q498" s="14" t="s">
        <v>752</v>
      </c>
      <c r="R498" s="4" t="s">
        <v>753</v>
      </c>
      <c r="S498" s="10">
        <v>769000</v>
      </c>
      <c r="T498" s="4" t="e">
        <f>INDEX(Employee!#REF!,MATCH(U498,Employee!#REF!,0))</f>
        <v>#REF!</v>
      </c>
      <c r="U498" s="4" t="s">
        <v>292</v>
      </c>
      <c r="V498" s="4" t="e">
        <f>INDEX(Employee!#REF!,MATCH(U498,Employee!#REF!,0))</f>
        <v>#REF!</v>
      </c>
      <c r="W498" s="4" t="e">
        <f>INDEX(Employee!#REF!,MATCH(U498,Employee!#REF!,0))</f>
        <v>#REF!</v>
      </c>
      <c r="X498" s="4" t="e">
        <f>INDEX(Employee!#REF!,MATCH(U498,Employee!#REF!,0))</f>
        <v>#REF!</v>
      </c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 t="str">
        <f>INDEX(Employee!C:C,MATCH(AK498,Employee!B:B,0))</f>
        <v>Phạm Bằng</v>
      </c>
      <c r="AK498" s="4" t="s">
        <v>147</v>
      </c>
      <c r="AL498" s="4" t="str">
        <f>INDEX(Employee!D:D,MATCH(AK498,Employee!B:B,0))</f>
        <v>Fresher Data Engineer</v>
      </c>
      <c r="AM498" s="4" t="str">
        <f>INDEX(Employee!F:F,MATCH(AK498,Employee!B:B,0))</f>
        <v>Data</v>
      </c>
      <c r="AN498" s="4" t="str">
        <f>INDEX(Employee!H:H,MATCH(AK498,Employee!B:B,0))</f>
        <v>Đoàn Hải Nam</v>
      </c>
      <c r="AO498" s="4"/>
      <c r="AP498" s="4"/>
      <c r="AQ498" s="4"/>
      <c r="AR498" s="4"/>
      <c r="AS498" s="4" t="s">
        <v>503</v>
      </c>
      <c r="CH498" s="6"/>
      <c r="CX498" s="6"/>
    </row>
    <row r="499" spans="1:102" hidden="1">
      <c r="A499" s="3">
        <f t="shared" si="32"/>
        <v>498</v>
      </c>
      <c r="B499" s="4" t="s">
        <v>22</v>
      </c>
      <c r="C499" s="4" t="s">
        <v>3</v>
      </c>
      <c r="D499" s="4" t="str">
        <f>INDEX(Employee!E:E,MATCH(AK499,Employee!B:B,0))</f>
        <v>Project</v>
      </c>
      <c r="E499" s="4" t="str">
        <f>INDEX(Employee!F:F,MATCH(AK499,Employee!B:B,0))</f>
        <v>Tech</v>
      </c>
      <c r="F499" s="4" t="str">
        <f>INDEX(Employee!G:G,MATCH(AK499,Employee!B:B,0))</f>
        <v>Venture</v>
      </c>
      <c r="G499" s="4" t="s">
        <v>15</v>
      </c>
      <c r="H499" s="4"/>
      <c r="I499" s="4" t="str">
        <f t="shared" si="31"/>
        <v>CAB0071</v>
      </c>
      <c r="J499" s="4" t="s">
        <v>678</v>
      </c>
      <c r="K499" s="4" t="s">
        <v>679</v>
      </c>
      <c r="L499" s="4"/>
      <c r="M499" s="4"/>
      <c r="N499" s="13" t="b">
        <v>0</v>
      </c>
      <c r="O499" s="13" t="b">
        <v>0</v>
      </c>
      <c r="P499" s="4"/>
      <c r="Q499" s="14" t="s">
        <v>752</v>
      </c>
      <c r="R499" s="4" t="s">
        <v>753</v>
      </c>
      <c r="S499" s="10">
        <v>769000</v>
      </c>
      <c r="T499" s="4" t="e">
        <f>INDEX(Employee!#REF!,MATCH(U499,Employee!#REF!,0))</f>
        <v>#REF!</v>
      </c>
      <c r="U499" s="4" t="s">
        <v>292</v>
      </c>
      <c r="V499" s="4" t="e">
        <f>INDEX(Employee!#REF!,MATCH(U499,Employee!#REF!,0))</f>
        <v>#REF!</v>
      </c>
      <c r="W499" s="4" t="e">
        <f>INDEX(Employee!#REF!,MATCH(U499,Employee!#REF!,0))</f>
        <v>#REF!</v>
      </c>
      <c r="X499" s="4" t="e">
        <f>INDEX(Employee!#REF!,MATCH(U499,Employee!#REF!,0))</f>
        <v>#REF!</v>
      </c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 t="str">
        <f>INDEX(Employee!C:C,MATCH(AK499,Employee!B:B,0))</f>
        <v>Lại Thế Cường</v>
      </c>
      <c r="AK499" s="4" t="s">
        <v>539</v>
      </c>
      <c r="AL499" s="4" t="str">
        <f>INDEX(Employee!D:D,MATCH(AK499,Employee!B:B,0))</f>
        <v>Senior Software Engineer</v>
      </c>
      <c r="AM499" s="4" t="str">
        <f>INDEX(Employee!F:F,MATCH(AK499,Employee!B:B,0))</f>
        <v>Tech</v>
      </c>
      <c r="AN499" s="4" t="str">
        <f>INDEX(Employee!H:H,MATCH(AK499,Employee!B:B,0))</f>
        <v>Nguyễn Văn Bình (binhnv5)</v>
      </c>
      <c r="AO499" s="4"/>
      <c r="AP499" s="4"/>
      <c r="AQ499" s="4"/>
      <c r="AR499" s="4"/>
      <c r="AS499" s="4"/>
      <c r="CH499" s="6"/>
      <c r="CX499" s="6"/>
    </row>
    <row r="500" spans="1:102" hidden="1">
      <c r="A500" s="3">
        <f t="shared" si="32"/>
        <v>499</v>
      </c>
      <c r="B500" s="4" t="s">
        <v>22</v>
      </c>
      <c r="C500" s="4" t="s">
        <v>3</v>
      </c>
      <c r="D500" s="4" t="str">
        <f>INDEX(Employee!E:E,MATCH(AK500,Employee!B:B,0))</f>
        <v>Project</v>
      </c>
      <c r="E500" s="4" t="str">
        <f>INDEX(Employee!F:F,MATCH(AK500,Employee!B:B,0))</f>
        <v>Tech</v>
      </c>
      <c r="F500" s="4" t="str">
        <f>INDEX(Employee!G:G,MATCH(AK500,Employee!B:B,0))</f>
        <v>Venture</v>
      </c>
      <c r="G500" s="4" t="s">
        <v>15</v>
      </c>
      <c r="H500" s="4"/>
      <c r="I500" s="4" t="str">
        <f t="shared" si="31"/>
        <v>CAB0072</v>
      </c>
      <c r="J500" s="4" t="s">
        <v>678</v>
      </c>
      <c r="K500" s="4" t="s">
        <v>679</v>
      </c>
      <c r="L500" s="4"/>
      <c r="M500" s="4"/>
      <c r="N500" s="13" t="b">
        <v>0</v>
      </c>
      <c r="O500" s="13" t="b">
        <v>0</v>
      </c>
      <c r="P500" s="4"/>
      <c r="Q500" s="14" t="s">
        <v>752</v>
      </c>
      <c r="R500" s="4" t="s">
        <v>753</v>
      </c>
      <c r="S500" s="10">
        <v>769000</v>
      </c>
      <c r="T500" s="4" t="e">
        <f>INDEX(Employee!#REF!,MATCH(U500,Employee!#REF!,0))</f>
        <v>#REF!</v>
      </c>
      <c r="U500" s="4" t="s">
        <v>292</v>
      </c>
      <c r="V500" s="4" t="e">
        <f>INDEX(Employee!#REF!,MATCH(U500,Employee!#REF!,0))</f>
        <v>#REF!</v>
      </c>
      <c r="W500" s="4" t="e">
        <f>INDEX(Employee!#REF!,MATCH(U500,Employee!#REF!,0))</f>
        <v>#REF!</v>
      </c>
      <c r="X500" s="4" t="e">
        <f>INDEX(Employee!#REF!,MATCH(U500,Employee!#REF!,0))</f>
        <v>#REF!</v>
      </c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 t="str">
        <f>INDEX(Employee!C:C,MATCH(AK500,Employee!B:B,0))</f>
        <v>Nguyễn Hoàng Tâm</v>
      </c>
      <c r="AK500" s="4" t="s">
        <v>523</v>
      </c>
      <c r="AL500" s="4" t="str">
        <f>INDEX(Employee!D:D,MATCH(AK500,Employee!B:B,0))</f>
        <v>Senior Software Engineer</v>
      </c>
      <c r="AM500" s="4" t="str">
        <f>INDEX(Employee!F:F,MATCH(AK500,Employee!B:B,0))</f>
        <v>Tech</v>
      </c>
      <c r="AN500" s="4" t="str">
        <f>INDEX(Employee!H:H,MATCH(AK500,Employee!B:B,0))</f>
        <v>Phùng Thanh Huy (huypt3)</v>
      </c>
      <c r="AO500" s="4"/>
      <c r="AP500" s="4"/>
      <c r="AQ500" s="4"/>
      <c r="AR500" s="4"/>
      <c r="AS500" s="4"/>
      <c r="CH500" s="6"/>
      <c r="CX500" s="6"/>
    </row>
    <row r="501" spans="1:102" hidden="1">
      <c r="A501" s="3">
        <f t="shared" si="32"/>
        <v>500</v>
      </c>
      <c r="B501" s="4" t="s">
        <v>22</v>
      </c>
      <c r="C501" s="4" t="s">
        <v>3</v>
      </c>
      <c r="D501" s="4" t="str">
        <f>INDEX(Employee!E:E,MATCH(AK501,Employee!B:B,0))</f>
        <v>Project</v>
      </c>
      <c r="E501" s="4" t="str">
        <f>INDEX(Employee!F:F,MATCH(AK501,Employee!B:B,0))</f>
        <v>Tech</v>
      </c>
      <c r="F501" s="4" t="str">
        <f>INDEX(Employee!G:G,MATCH(AK501,Employee!B:B,0))</f>
        <v>Venture</v>
      </c>
      <c r="G501" s="4" t="s">
        <v>15</v>
      </c>
      <c r="H501" s="4"/>
      <c r="I501" s="4" t="str">
        <f t="shared" si="31"/>
        <v>CAB0073</v>
      </c>
      <c r="J501" s="4" t="s">
        <v>678</v>
      </c>
      <c r="K501" s="4" t="s">
        <v>679</v>
      </c>
      <c r="L501" s="4"/>
      <c r="M501" s="4"/>
      <c r="N501" s="13" t="b">
        <v>0</v>
      </c>
      <c r="O501" s="13" t="b">
        <v>0</v>
      </c>
      <c r="P501" s="4"/>
      <c r="Q501" s="14" t="s">
        <v>752</v>
      </c>
      <c r="R501" s="4" t="s">
        <v>753</v>
      </c>
      <c r="S501" s="10">
        <v>769000</v>
      </c>
      <c r="T501" s="4" t="e">
        <f>INDEX(Employee!#REF!,MATCH(U501,Employee!#REF!,0))</f>
        <v>#REF!</v>
      </c>
      <c r="U501" s="4" t="s">
        <v>292</v>
      </c>
      <c r="V501" s="4" t="e">
        <f>INDEX(Employee!#REF!,MATCH(U501,Employee!#REF!,0))</f>
        <v>#REF!</v>
      </c>
      <c r="W501" s="4" t="e">
        <f>INDEX(Employee!#REF!,MATCH(U501,Employee!#REF!,0))</f>
        <v>#REF!</v>
      </c>
      <c r="X501" s="4" t="e">
        <f>INDEX(Employee!#REF!,MATCH(U501,Employee!#REF!,0))</f>
        <v>#REF!</v>
      </c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 t="str">
        <f>INDEX(Employee!C:C,MATCH(AK501,Employee!B:B,0))</f>
        <v>Bùi Quốc Thái</v>
      </c>
      <c r="AK501" s="4" t="s">
        <v>104</v>
      </c>
      <c r="AL501" s="4" t="str">
        <f>INDEX(Employee!D:D,MATCH(AK501,Employee!B:B,0))</f>
        <v>Associate QC Engineer</v>
      </c>
      <c r="AM501" s="4" t="str">
        <f>INDEX(Employee!F:F,MATCH(AK501,Employee!B:B,0))</f>
        <v>Tech</v>
      </c>
      <c r="AN501" s="4" t="str">
        <f>INDEX(Employee!H:H,MATCH(AK501,Employee!B:B,0))</f>
        <v>Nguyễn Khánh Vy</v>
      </c>
      <c r="AO501" s="4"/>
      <c r="AP501" s="4"/>
      <c r="AQ501" s="4"/>
      <c r="AR501" s="4"/>
      <c r="AS501" s="4" t="s">
        <v>576</v>
      </c>
      <c r="CH501" s="6"/>
      <c r="CX501" s="6"/>
    </row>
    <row r="502" spans="1:102" hidden="1">
      <c r="A502" s="3">
        <f t="shared" si="32"/>
        <v>501</v>
      </c>
      <c r="B502" s="4" t="s">
        <v>22</v>
      </c>
      <c r="C502" s="4" t="s">
        <v>3</v>
      </c>
      <c r="D502" s="4" t="str">
        <f>INDEX(Employee!E:E,MATCH(AK502,Employee!B:B,0))</f>
        <v>Project</v>
      </c>
      <c r="E502" s="4" t="str">
        <f>INDEX(Employee!F:F,MATCH(AK502,Employee!B:B,0))</f>
        <v>Tech</v>
      </c>
      <c r="F502" s="4" t="str">
        <f>INDEX(Employee!G:G,MATCH(AK502,Employee!B:B,0))</f>
        <v>Resource Pool</v>
      </c>
      <c r="G502" s="4" t="s">
        <v>15</v>
      </c>
      <c r="H502" s="4"/>
      <c r="I502" s="4" t="str">
        <f t="shared" si="31"/>
        <v>CAB0074</v>
      </c>
      <c r="J502" s="4" t="s">
        <v>678</v>
      </c>
      <c r="K502" s="4" t="s">
        <v>679</v>
      </c>
      <c r="L502" s="4"/>
      <c r="M502" s="4"/>
      <c r="N502" s="13" t="b">
        <v>0</v>
      </c>
      <c r="O502" s="13" t="b">
        <v>0</v>
      </c>
      <c r="P502" s="4"/>
      <c r="Q502" s="14" t="s">
        <v>752</v>
      </c>
      <c r="R502" s="4" t="s">
        <v>753</v>
      </c>
      <c r="S502" s="10">
        <v>769000</v>
      </c>
      <c r="T502" s="4" t="e">
        <f>INDEX(Employee!#REF!,MATCH(U502,Employee!#REF!,0))</f>
        <v>#REF!</v>
      </c>
      <c r="U502" s="4" t="s">
        <v>292</v>
      </c>
      <c r="V502" s="4" t="e">
        <f>INDEX(Employee!#REF!,MATCH(U502,Employee!#REF!,0))</f>
        <v>#REF!</v>
      </c>
      <c r="W502" s="4" t="e">
        <f>INDEX(Employee!#REF!,MATCH(U502,Employee!#REF!,0))</f>
        <v>#REF!</v>
      </c>
      <c r="X502" s="4" t="e">
        <f>INDEX(Employee!#REF!,MATCH(U502,Employee!#REF!,0))</f>
        <v>#REF!</v>
      </c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 t="str">
        <f>INDEX(Employee!C:C,MATCH(AK502,Employee!B:B,0))</f>
        <v>Nguyễn Thiện Nhân</v>
      </c>
      <c r="AK502" s="4" t="s">
        <v>431</v>
      </c>
      <c r="AL502" s="4" t="str">
        <f>INDEX(Employee!D:D,MATCH(AK502,Employee!B:B,0))</f>
        <v>Senior Software Engineer</v>
      </c>
      <c r="AM502" s="4" t="str">
        <f>INDEX(Employee!F:F,MATCH(AK502,Employee!B:B,0))</f>
        <v>Tech</v>
      </c>
      <c r="AN502" s="4" t="str">
        <f>INDEX(Employee!H:H,MATCH(AK502,Employee!B:B,0))</f>
        <v>Đoàn Hải Nam</v>
      </c>
      <c r="AO502" s="4"/>
      <c r="AP502" s="4"/>
      <c r="AQ502" s="4"/>
      <c r="AR502" s="4"/>
      <c r="AS502" s="4"/>
      <c r="CH502" s="6"/>
      <c r="CX502" s="6"/>
    </row>
    <row r="503" spans="1:102" hidden="1">
      <c r="A503" s="3">
        <f t="shared" si="32"/>
        <v>502</v>
      </c>
      <c r="B503" s="4" t="s">
        <v>22</v>
      </c>
      <c r="C503" s="4" t="s">
        <v>3</v>
      </c>
      <c r="D503" s="4">
        <f>INDEX(Employee!E:E,MATCH(AK503,Employee!B:B,0))</f>
        <v>0</v>
      </c>
      <c r="E503" s="4" t="str">
        <f>INDEX(Employee!F:F,MATCH(AK503,Employee!B:B,0))</f>
        <v>Tech</v>
      </c>
      <c r="F503" s="4">
        <f>INDEX(Employee!G:G,MATCH(AK503,Employee!B:B,0))</f>
        <v>0</v>
      </c>
      <c r="G503" s="4" t="s">
        <v>119</v>
      </c>
      <c r="H503" s="4"/>
      <c r="I503" s="4" t="str">
        <f t="shared" si="31"/>
        <v>CAB0075</v>
      </c>
      <c r="J503" s="4" t="s">
        <v>678</v>
      </c>
      <c r="K503" s="4" t="s">
        <v>679</v>
      </c>
      <c r="L503" s="4"/>
      <c r="M503" s="4"/>
      <c r="N503" s="13" t="b">
        <v>0</v>
      </c>
      <c r="O503" s="13" t="b">
        <v>0</v>
      </c>
      <c r="P503" s="4"/>
      <c r="Q503" s="14" t="s">
        <v>752</v>
      </c>
      <c r="R503" s="4" t="s">
        <v>753</v>
      </c>
      <c r="S503" s="10">
        <v>769000</v>
      </c>
      <c r="T503" s="4" t="e">
        <f>INDEX(Employee!#REF!,MATCH(U503,Employee!#REF!,0))</f>
        <v>#REF!</v>
      </c>
      <c r="U503" s="4" t="s">
        <v>292</v>
      </c>
      <c r="V503" s="4" t="e">
        <f>INDEX(Employee!#REF!,MATCH(U503,Employee!#REF!,0))</f>
        <v>#REF!</v>
      </c>
      <c r="W503" s="4" t="e">
        <f>INDEX(Employee!#REF!,MATCH(U503,Employee!#REF!,0))</f>
        <v>#REF!</v>
      </c>
      <c r="X503" s="4" t="e">
        <f>INDEX(Employee!#REF!,MATCH(U503,Employee!#REF!,0))</f>
        <v>#REF!</v>
      </c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 t="str">
        <f>INDEX(Employee!C:C,MATCH(AK503,Employee!B:B,0))</f>
        <v>Nguyễn Đình Thái</v>
      </c>
      <c r="AK503" s="4" t="s">
        <v>392</v>
      </c>
      <c r="AL503" s="4" t="str">
        <f>INDEX(Employee!D:D,MATCH(AK503,Employee!B:B,0))</f>
        <v>Senior Software Engineer</v>
      </c>
      <c r="AM503" s="4" t="str">
        <f>INDEX(Employee!F:F,MATCH(AK503,Employee!B:B,0))</f>
        <v>Tech</v>
      </c>
      <c r="AN503" s="4" t="str">
        <f>INDEX(Employee!H:H,MATCH(AK503,Employee!B:B,0))</f>
        <v>Trần Triệu Dương (duongtt5)</v>
      </c>
      <c r="AO503" s="4"/>
      <c r="AP503" s="4"/>
      <c r="AQ503" s="4"/>
      <c r="AR503" s="4"/>
      <c r="AS503" s="4"/>
      <c r="CH503" s="6"/>
      <c r="CX503" s="6"/>
    </row>
    <row r="504" spans="1:102" hidden="1">
      <c r="A504" s="3">
        <f t="shared" si="32"/>
        <v>503</v>
      </c>
      <c r="B504" s="4" t="s">
        <v>22</v>
      </c>
      <c r="C504" s="4" t="s">
        <v>4</v>
      </c>
      <c r="D504" s="4" t="e">
        <f>INDEX(Employee!E:E,MATCH(AK504,Employee!B:B,0))</f>
        <v>#N/A</v>
      </c>
      <c r="E504" s="4" t="e">
        <f>INDEX(Employee!F:F,MATCH(AK504,Employee!B:B,0))</f>
        <v>#N/A</v>
      </c>
      <c r="F504" s="4" t="e">
        <f>INDEX(Employee!G:G,MATCH(AK504,Employee!B:B,0))</f>
        <v>#N/A</v>
      </c>
      <c r="G504" s="4" t="s">
        <v>15</v>
      </c>
      <c r="H504" s="4"/>
      <c r="I504" s="4" t="str">
        <f t="shared" si="31"/>
        <v>CAB0076</v>
      </c>
      <c r="J504" s="4" t="s">
        <v>678</v>
      </c>
      <c r="K504" s="4" t="s">
        <v>679</v>
      </c>
      <c r="L504" s="4"/>
      <c r="M504" s="4"/>
      <c r="N504" s="13" t="b">
        <v>0</v>
      </c>
      <c r="O504" s="13" t="b">
        <v>0</v>
      </c>
      <c r="P504" s="4"/>
      <c r="Q504" s="14" t="s">
        <v>752</v>
      </c>
      <c r="R504" s="4" t="s">
        <v>753</v>
      </c>
      <c r="S504" s="10">
        <v>769000</v>
      </c>
      <c r="T504" s="4" t="e">
        <f>INDEX(Employee!#REF!,MATCH(U504,Employee!#REF!,0))</f>
        <v>#REF!</v>
      </c>
      <c r="U504" s="4" t="s">
        <v>292</v>
      </c>
      <c r="V504" s="4" t="e">
        <f>INDEX(Employee!#REF!,MATCH(U504,Employee!#REF!,0))</f>
        <v>#REF!</v>
      </c>
      <c r="W504" s="4" t="e">
        <f>INDEX(Employee!#REF!,MATCH(U504,Employee!#REF!,0))</f>
        <v>#REF!</v>
      </c>
      <c r="X504" s="4" t="e">
        <f>INDEX(Employee!#REF!,MATCH(U504,Employee!#REF!,0))</f>
        <v>#REF!</v>
      </c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 t="e">
        <f>INDEX(Employee!C:C,MATCH(AK504,Employee!B:B,0))</f>
        <v>#N/A</v>
      </c>
      <c r="AK504" s="4"/>
      <c r="AL504" s="4" t="e">
        <f>INDEX(Employee!D:D,MATCH(AK504,Employee!B:B,0))</f>
        <v>#N/A</v>
      </c>
      <c r="AM504" s="4" t="e">
        <f>INDEX(Employee!F:F,MATCH(AK504,Employee!B:B,0))</f>
        <v>#N/A</v>
      </c>
      <c r="AN504" s="4" t="e">
        <f>INDEX(Employee!H:H,MATCH(AK504,Employee!B:B,0))</f>
        <v>#N/A</v>
      </c>
      <c r="AO504" s="4"/>
      <c r="AP504" s="4"/>
      <c r="AQ504" s="4"/>
      <c r="AR504" s="4"/>
      <c r="AS504" s="4"/>
      <c r="CH504" s="6"/>
      <c r="CX504" s="6"/>
    </row>
    <row r="505" spans="1:102" hidden="1">
      <c r="A505" s="3">
        <f t="shared" si="32"/>
        <v>504</v>
      </c>
      <c r="B505" s="4" t="s">
        <v>20</v>
      </c>
      <c r="C505" s="4" t="s">
        <v>4</v>
      </c>
      <c r="D505" s="4" t="e">
        <f>INDEX(Employee!E:E,MATCH(AK505,Employee!B:B,0))</f>
        <v>#N/A</v>
      </c>
      <c r="E505" s="4" t="e">
        <f>INDEX(Employee!F:F,MATCH(AK505,Employee!B:B,0))</f>
        <v>#N/A</v>
      </c>
      <c r="F505" s="4" t="e">
        <f>INDEX(Employee!G:G,MATCH(AK505,Employee!B:B,0))</f>
        <v>#N/A</v>
      </c>
      <c r="G505" s="4"/>
      <c r="H505" s="4"/>
      <c r="I505" s="4"/>
      <c r="J505" s="4" t="s">
        <v>99</v>
      </c>
      <c r="K505" s="7" t="s">
        <v>745</v>
      </c>
      <c r="L505" s="7"/>
      <c r="M505" s="7"/>
      <c r="N505" s="13" t="b">
        <v>0</v>
      </c>
      <c r="O505" s="13" t="b">
        <v>0</v>
      </c>
      <c r="P505" s="4" t="s">
        <v>964</v>
      </c>
      <c r="Q505" s="14"/>
      <c r="R505" s="4" t="s">
        <v>965</v>
      </c>
      <c r="S505" s="10"/>
      <c r="T505" s="4" t="e">
        <f>INDEX(Employee!#REF!,MATCH(U505,Employee!#REF!,0))</f>
        <v>#REF!</v>
      </c>
      <c r="U505" s="4" t="s">
        <v>631</v>
      </c>
      <c r="V505" s="4" t="e">
        <f>INDEX(Employee!#REF!,MATCH(U505,Employee!#REF!,0))</f>
        <v>#REF!</v>
      </c>
      <c r="W505" s="4" t="e">
        <f>INDEX(Employee!#REF!,MATCH(U505,Employee!#REF!,0))</f>
        <v>#REF!</v>
      </c>
      <c r="X505" s="4" t="e">
        <f>INDEX(Employee!#REF!,MATCH(U505,Employee!#REF!,0))</f>
        <v>#REF!</v>
      </c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 t="e">
        <f>INDEX(Employee!C:C,MATCH(AK505,Employee!B:B,0))</f>
        <v>#N/A</v>
      </c>
      <c r="AK505" s="4"/>
      <c r="AL505" s="4" t="e">
        <f>INDEX(Employee!D:D,MATCH(AK505,Employee!B:B,0))</f>
        <v>#N/A</v>
      </c>
      <c r="AM505" s="4" t="e">
        <f>INDEX(Employee!F:F,MATCH(AK505,Employee!B:B,0))</f>
        <v>#N/A</v>
      </c>
      <c r="AN505" s="4" t="e">
        <f>INDEX(Employee!H:H,MATCH(AK505,Employee!B:B,0))</f>
        <v>#N/A</v>
      </c>
      <c r="AO505" s="4"/>
      <c r="AP505" s="4"/>
      <c r="AQ505" s="4" t="s">
        <v>966</v>
      </c>
      <c r="AR505" s="4"/>
      <c r="AS505" s="4"/>
      <c r="CH505" s="6"/>
    </row>
    <row r="506" spans="1:102" hidden="1">
      <c r="A506" s="3">
        <f t="shared" si="32"/>
        <v>505</v>
      </c>
      <c r="B506" s="4" t="s">
        <v>20</v>
      </c>
      <c r="C506" s="4" t="s">
        <v>4</v>
      </c>
      <c r="D506" s="4" t="e">
        <f>INDEX(Employee!E:E,MATCH(AK506,Employee!B:B,0))</f>
        <v>#N/A</v>
      </c>
      <c r="E506" s="4" t="e">
        <f>INDEX(Employee!F:F,MATCH(AK506,Employee!B:B,0))</f>
        <v>#N/A</v>
      </c>
      <c r="F506" s="4" t="e">
        <f>INDEX(Employee!G:G,MATCH(AK506,Employee!B:B,0))</f>
        <v>#N/A</v>
      </c>
      <c r="G506" s="4"/>
      <c r="H506" s="4"/>
      <c r="I506" s="4"/>
      <c r="J506" s="4" t="s">
        <v>99</v>
      </c>
      <c r="K506" s="7" t="s">
        <v>745</v>
      </c>
      <c r="L506" s="7"/>
      <c r="M506" s="7"/>
      <c r="N506" s="13" t="b">
        <v>0</v>
      </c>
      <c r="O506" s="13" t="b">
        <v>0</v>
      </c>
      <c r="P506" s="4" t="s">
        <v>967</v>
      </c>
      <c r="Q506" s="14"/>
      <c r="R506" s="4" t="s">
        <v>965</v>
      </c>
      <c r="S506" s="10"/>
      <c r="T506" s="4" t="e">
        <f>INDEX(Employee!#REF!,MATCH(U506,Employee!#REF!,0))</f>
        <v>#REF!</v>
      </c>
      <c r="U506" s="4" t="s">
        <v>631</v>
      </c>
      <c r="V506" s="4" t="e">
        <f>INDEX(Employee!#REF!,MATCH(U506,Employee!#REF!,0))</f>
        <v>#REF!</v>
      </c>
      <c r="W506" s="4" t="e">
        <f>INDEX(Employee!#REF!,MATCH(U506,Employee!#REF!,0))</f>
        <v>#REF!</v>
      </c>
      <c r="X506" s="4" t="e">
        <f>INDEX(Employee!#REF!,MATCH(U506,Employee!#REF!,0))</f>
        <v>#REF!</v>
      </c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 t="e">
        <f>INDEX(Employee!C:C,MATCH(AK506,Employee!B:B,0))</f>
        <v>#N/A</v>
      </c>
      <c r="AK506" s="4"/>
      <c r="AL506" s="4" t="e">
        <f>INDEX(Employee!D:D,MATCH(AK506,Employee!B:B,0))</f>
        <v>#N/A</v>
      </c>
      <c r="AM506" s="4" t="e">
        <f>INDEX(Employee!F:F,MATCH(AK506,Employee!B:B,0))</f>
        <v>#N/A</v>
      </c>
      <c r="AN506" s="4" t="e">
        <f>INDEX(Employee!H:H,MATCH(AK506,Employee!B:B,0))</f>
        <v>#N/A</v>
      </c>
      <c r="AO506" s="4"/>
      <c r="AP506" s="4"/>
      <c r="AQ506" s="4" t="s">
        <v>968</v>
      </c>
      <c r="AR506" s="4"/>
      <c r="AS506" s="4"/>
      <c r="CH506" s="6"/>
    </row>
    <row r="507" spans="1:102" hidden="1">
      <c r="A507" s="3">
        <f t="shared" si="32"/>
        <v>506</v>
      </c>
      <c r="B507" s="4" t="s">
        <v>20</v>
      </c>
      <c r="C507" s="4" t="s">
        <v>4</v>
      </c>
      <c r="D507" s="4" t="e">
        <f>INDEX(Employee!E:E,MATCH(AK507,Employee!B:B,0))</f>
        <v>#N/A</v>
      </c>
      <c r="E507" s="4" t="e">
        <f>INDEX(Employee!F:F,MATCH(AK507,Employee!B:B,0))</f>
        <v>#N/A</v>
      </c>
      <c r="F507" s="4" t="e">
        <f>INDEX(Employee!G:G,MATCH(AK507,Employee!B:B,0))</f>
        <v>#N/A</v>
      </c>
      <c r="G507" s="4"/>
      <c r="H507" s="4"/>
      <c r="I507" s="4"/>
      <c r="J507" s="4" t="s">
        <v>99</v>
      </c>
      <c r="K507" s="7" t="s">
        <v>745</v>
      </c>
      <c r="L507" s="7"/>
      <c r="M507" s="7"/>
      <c r="N507" s="13" t="b">
        <v>0</v>
      </c>
      <c r="O507" s="13" t="b">
        <v>0</v>
      </c>
      <c r="P507" s="4" t="s">
        <v>969</v>
      </c>
      <c r="Q507" s="14"/>
      <c r="R507" s="4" t="s">
        <v>965</v>
      </c>
      <c r="S507" s="10"/>
      <c r="T507" s="4" t="e">
        <f>INDEX(Employee!#REF!,MATCH(U507,Employee!#REF!,0))</f>
        <v>#REF!</v>
      </c>
      <c r="U507" s="4" t="s">
        <v>631</v>
      </c>
      <c r="V507" s="4" t="e">
        <f>INDEX(Employee!#REF!,MATCH(U507,Employee!#REF!,0))</f>
        <v>#REF!</v>
      </c>
      <c r="W507" s="4" t="e">
        <f>INDEX(Employee!#REF!,MATCH(U507,Employee!#REF!,0))</f>
        <v>#REF!</v>
      </c>
      <c r="X507" s="4" t="e">
        <f>INDEX(Employee!#REF!,MATCH(U507,Employee!#REF!,0))</f>
        <v>#REF!</v>
      </c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 t="e">
        <f>INDEX(Employee!C:C,MATCH(AK507,Employee!B:B,0))</f>
        <v>#N/A</v>
      </c>
      <c r="AK507" s="4"/>
      <c r="AL507" s="4" t="e">
        <f>INDEX(Employee!D:D,MATCH(AK507,Employee!B:B,0))</f>
        <v>#N/A</v>
      </c>
      <c r="AM507" s="4" t="e">
        <f>INDEX(Employee!F:F,MATCH(AK507,Employee!B:B,0))</f>
        <v>#N/A</v>
      </c>
      <c r="AN507" s="4" t="e">
        <f>INDEX(Employee!H:H,MATCH(AK507,Employee!B:B,0))</f>
        <v>#N/A</v>
      </c>
      <c r="AO507" s="4"/>
      <c r="AP507" s="4"/>
      <c r="AQ507" s="4" t="s">
        <v>970</v>
      </c>
      <c r="AR507" s="4" t="s">
        <v>971</v>
      </c>
      <c r="AS507" s="4"/>
      <c r="CH507" s="6"/>
    </row>
    <row r="508" spans="1:102" hidden="1">
      <c r="A508" s="3">
        <f t="shared" si="32"/>
        <v>507</v>
      </c>
      <c r="B508" s="4" t="s">
        <v>20</v>
      </c>
      <c r="C508" s="4" t="s">
        <v>4</v>
      </c>
      <c r="D508" s="4" t="e">
        <f>INDEX(Employee!E:E,MATCH(AK508,Employee!B:B,0))</f>
        <v>#N/A</v>
      </c>
      <c r="E508" s="4" t="e">
        <f>INDEX(Employee!F:F,MATCH(AK508,Employee!B:B,0))</f>
        <v>#N/A</v>
      </c>
      <c r="F508" s="4" t="e">
        <f>INDEX(Employee!G:G,MATCH(AK508,Employee!B:B,0))</f>
        <v>#N/A</v>
      </c>
      <c r="G508" s="4"/>
      <c r="H508" s="4"/>
      <c r="I508" s="4"/>
      <c r="J508" s="4" t="s">
        <v>99</v>
      </c>
      <c r="K508" s="7" t="s">
        <v>745</v>
      </c>
      <c r="L508" s="7"/>
      <c r="M508" s="7"/>
      <c r="N508" s="13" t="b">
        <v>0</v>
      </c>
      <c r="O508" s="13" t="b">
        <v>0</v>
      </c>
      <c r="P508" s="4" t="s">
        <v>972</v>
      </c>
      <c r="Q508" s="14"/>
      <c r="R508" s="4" t="s">
        <v>965</v>
      </c>
      <c r="S508" s="10"/>
      <c r="T508" s="4" t="e">
        <f>INDEX(Employee!#REF!,MATCH(U508,Employee!#REF!,0))</f>
        <v>#REF!</v>
      </c>
      <c r="U508" s="4" t="s">
        <v>631</v>
      </c>
      <c r="V508" s="4" t="e">
        <f>INDEX(Employee!#REF!,MATCH(U508,Employee!#REF!,0))</f>
        <v>#REF!</v>
      </c>
      <c r="W508" s="4" t="e">
        <f>INDEX(Employee!#REF!,MATCH(U508,Employee!#REF!,0))</f>
        <v>#REF!</v>
      </c>
      <c r="X508" s="4" t="e">
        <f>INDEX(Employee!#REF!,MATCH(U508,Employee!#REF!,0))</f>
        <v>#REF!</v>
      </c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 t="e">
        <f>INDEX(Employee!C:C,MATCH(AK508,Employee!B:B,0))</f>
        <v>#N/A</v>
      </c>
      <c r="AK508" s="4"/>
      <c r="AL508" s="4" t="e">
        <f>INDEX(Employee!D:D,MATCH(AK508,Employee!B:B,0))</f>
        <v>#N/A</v>
      </c>
      <c r="AM508" s="4" t="e">
        <f>INDEX(Employee!F:F,MATCH(AK508,Employee!B:B,0))</f>
        <v>#N/A</v>
      </c>
      <c r="AN508" s="4" t="e">
        <f>INDEX(Employee!H:H,MATCH(AK508,Employee!B:B,0))</f>
        <v>#N/A</v>
      </c>
      <c r="AO508" s="4"/>
      <c r="AP508" s="4"/>
      <c r="AQ508" s="4" t="s">
        <v>970</v>
      </c>
      <c r="AR508" s="4"/>
      <c r="AS508" s="4"/>
      <c r="CH508" s="16"/>
    </row>
    <row r="509" spans="1:102" hidden="1">
      <c r="A509" s="3">
        <f t="shared" si="32"/>
        <v>508</v>
      </c>
      <c r="B509" s="4" t="s">
        <v>14</v>
      </c>
      <c r="C509" s="4" t="s">
        <v>3</v>
      </c>
      <c r="D509" s="4">
        <f>INDEX(Employee!E:E,MATCH(AK509,Employee!B:B,0))</f>
        <v>0</v>
      </c>
      <c r="E509" s="4" t="str">
        <f>INDEX(Employee!F:F,MATCH(AK509,Employee!B:B,0))</f>
        <v>Tech</v>
      </c>
      <c r="F509" s="4">
        <f>INDEX(Employee!G:G,MATCH(AK509,Employee!B:B,0))</f>
        <v>0</v>
      </c>
      <c r="G509" s="4" t="s">
        <v>119</v>
      </c>
      <c r="H509" s="4"/>
      <c r="I509" s="4" t="s">
        <v>973</v>
      </c>
      <c r="J509" s="4" t="s">
        <v>115</v>
      </c>
      <c r="K509" s="7" t="s">
        <v>974</v>
      </c>
      <c r="L509" s="7" t="s">
        <v>53</v>
      </c>
      <c r="M509" s="4" t="str">
        <f t="shared" ref="M509:M528" si="33">RIGHT(K509,5)</f>
        <v>512GB</v>
      </c>
      <c r="N509" s="13" t="b">
        <v>0</v>
      </c>
      <c r="O509" s="13" t="b">
        <v>0</v>
      </c>
      <c r="P509" s="4" t="s">
        <v>975</v>
      </c>
      <c r="Q509" s="14" t="s">
        <v>976</v>
      </c>
      <c r="R509" s="4" t="s">
        <v>753</v>
      </c>
      <c r="S509" s="10">
        <v>38800000</v>
      </c>
      <c r="T509" s="4" t="e">
        <f>INDEX(Employee!#REF!,MATCH(U509,Employee!#REF!,0))</f>
        <v>#REF!</v>
      </c>
      <c r="U509" s="4" t="s">
        <v>345</v>
      </c>
      <c r="V509" s="4" t="e">
        <f>INDEX(Employee!#REF!,MATCH(U509,Employee!#REF!,0))</f>
        <v>#REF!</v>
      </c>
      <c r="W509" s="4" t="e">
        <f>INDEX(Employee!#REF!,MATCH(U509,Employee!#REF!,0))</f>
        <v>#REF!</v>
      </c>
      <c r="X509" s="4" t="e">
        <f>INDEX(Employee!#REF!,MATCH(U509,Employee!#REF!,0))</f>
        <v>#REF!</v>
      </c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 t="str">
        <f>INDEX(Employee!C:C,MATCH(AK509,Employee!B:B,0))</f>
        <v>Tăng Huy</v>
      </c>
      <c r="AK509" s="4" t="s">
        <v>631</v>
      </c>
      <c r="AL509" s="4" t="str">
        <f>INDEX(Employee!D:D,MATCH(AK509,Employee!B:B,0))</f>
        <v>Senior Technical Project Manager</v>
      </c>
      <c r="AM509" s="4" t="str">
        <f>INDEX(Employee!F:F,MATCH(AK509,Employee!B:B,0))</f>
        <v>Tech</v>
      </c>
      <c r="AN509" s="4" t="str">
        <f>INDEX(Employee!H:H,MATCH(AK509,Employee!B:B,0))</f>
        <v>Aleksandar Jelic (jelica)</v>
      </c>
      <c r="AO509" s="4"/>
      <c r="AP509" s="4"/>
      <c r="AQ509" s="4"/>
      <c r="AR509" s="4"/>
      <c r="AS509" s="4"/>
    </row>
    <row r="510" spans="1:102" hidden="1">
      <c r="A510" s="3">
        <f t="shared" si="32"/>
        <v>509</v>
      </c>
      <c r="B510" s="4" t="s">
        <v>14</v>
      </c>
      <c r="C510" s="4" t="s">
        <v>4</v>
      </c>
      <c r="D510" s="4" t="str">
        <f>INDEX(Employee!E:E,MATCH(AK510,Employee!B:B,0))</f>
        <v>BO</v>
      </c>
      <c r="E510" s="4" t="str">
        <f>INDEX(Employee!F:F,MATCH(AK510,Employee!B:B,0))</f>
        <v>Business Support</v>
      </c>
      <c r="F510" s="4" t="str">
        <f>INDEX(Employee!G:G,MATCH(AK510,Employee!B:B,0))</f>
        <v>Operation Team</v>
      </c>
      <c r="G510" s="4" t="s">
        <v>15</v>
      </c>
      <c r="H510" s="4"/>
      <c r="I510" s="4" t="str">
        <f t="shared" ref="I510:I528" si="34">IF(I509="","", "LAP"&amp;TEXT(VALUE(RIGHT(I509,4))+1,"0000"))</f>
        <v>LAP0132</v>
      </c>
      <c r="J510" s="4" t="s">
        <v>115</v>
      </c>
      <c r="K510" s="7" t="s">
        <v>974</v>
      </c>
      <c r="L510" s="7" t="s">
        <v>53</v>
      </c>
      <c r="M510" s="4" t="str">
        <f t="shared" si="33"/>
        <v>512GB</v>
      </c>
      <c r="N510" s="13" t="b">
        <v>1</v>
      </c>
      <c r="O510" s="13" t="b">
        <v>0</v>
      </c>
      <c r="P510" s="4" t="s">
        <v>977</v>
      </c>
      <c r="Q510" s="14" t="s">
        <v>976</v>
      </c>
      <c r="R510" s="4" t="s">
        <v>753</v>
      </c>
      <c r="S510" s="10">
        <v>38800000</v>
      </c>
      <c r="T510" s="4" t="e">
        <f>INDEX(Employee!#REF!,MATCH(U510,Employee!#REF!,0))</f>
        <v>#REF!</v>
      </c>
      <c r="U510" s="4" t="s">
        <v>345</v>
      </c>
      <c r="V510" s="4" t="e">
        <f>INDEX(Employee!#REF!,MATCH(U510,Employee!#REF!,0))</f>
        <v>#REF!</v>
      </c>
      <c r="W510" s="4" t="e">
        <f>INDEX(Employee!#REF!,MATCH(U510,Employee!#REF!,0))</f>
        <v>#REF!</v>
      </c>
      <c r="X510" s="4" t="e">
        <f>INDEX(Employee!#REF!,MATCH(U510,Employee!#REF!,0))</f>
        <v>#REF!</v>
      </c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 t="str">
        <f>INDEX(Employee!C:C,MATCH(AK510,Employee!B:B,0))</f>
        <v>Lê Quý Vân Anh</v>
      </c>
      <c r="AK510" s="4" t="s">
        <v>320</v>
      </c>
      <c r="AL510" s="4" t="str">
        <f>INDEX(Employee!D:D,MATCH(AK510,Employee!B:B,0))</f>
        <v>Senior C&amp;B Specialist</v>
      </c>
      <c r="AM510" s="4" t="str">
        <f>INDEX(Employee!F:F,MATCH(AK510,Employee!B:B,0))</f>
        <v>Business Support</v>
      </c>
      <c r="AN510" s="4" t="str">
        <f>INDEX(Employee!H:H,MATCH(AK510,Employee!B:B,0))</f>
        <v>Nguyễn Thị My Sa</v>
      </c>
      <c r="AO510" s="4"/>
      <c r="AP510" s="4"/>
      <c r="AQ510" s="4"/>
      <c r="AR510" s="4"/>
      <c r="AS510" s="4"/>
      <c r="CH510" s="11"/>
    </row>
    <row r="511" spans="1:102" hidden="1">
      <c r="A511" s="3">
        <f t="shared" si="32"/>
        <v>510</v>
      </c>
      <c r="B511" s="4" t="s">
        <v>14</v>
      </c>
      <c r="C511" s="4" t="s">
        <v>4</v>
      </c>
      <c r="D511" s="4" t="str">
        <f>INDEX(Employee!E:E,MATCH(AK511,Employee!B:B,0))</f>
        <v>BO</v>
      </c>
      <c r="E511" s="4" t="str">
        <f>INDEX(Employee!F:F,MATCH(AK511,Employee!B:B,0))</f>
        <v>Business Support</v>
      </c>
      <c r="F511" s="4" t="str">
        <f>INDEX(Employee!G:G,MATCH(AK511,Employee!B:B,0))</f>
        <v>Operation Team</v>
      </c>
      <c r="G511" s="4" t="s">
        <v>15</v>
      </c>
      <c r="H511" s="4"/>
      <c r="I511" s="4" t="str">
        <f t="shared" si="34"/>
        <v>LAP0133</v>
      </c>
      <c r="J511" s="4" t="s">
        <v>115</v>
      </c>
      <c r="K511" s="7" t="s">
        <v>974</v>
      </c>
      <c r="L511" s="7" t="s">
        <v>53</v>
      </c>
      <c r="M511" s="4" t="str">
        <f t="shared" si="33"/>
        <v>512GB</v>
      </c>
      <c r="N511" s="13" t="b">
        <v>1</v>
      </c>
      <c r="O511" s="13" t="b">
        <v>0</v>
      </c>
      <c r="P511" s="4" t="s">
        <v>978</v>
      </c>
      <c r="Q511" s="14" t="s">
        <v>976</v>
      </c>
      <c r="R511" s="4" t="s">
        <v>753</v>
      </c>
      <c r="S511" s="10">
        <v>38800000</v>
      </c>
      <c r="T511" s="4" t="e">
        <f>INDEX(Employee!#REF!,MATCH(U511,Employee!#REF!,0))</f>
        <v>#REF!</v>
      </c>
      <c r="U511" s="4" t="s">
        <v>345</v>
      </c>
      <c r="V511" s="4" t="e">
        <f>INDEX(Employee!#REF!,MATCH(U511,Employee!#REF!,0))</f>
        <v>#REF!</v>
      </c>
      <c r="W511" s="4" t="e">
        <f>INDEX(Employee!#REF!,MATCH(U511,Employee!#REF!,0))</f>
        <v>#REF!</v>
      </c>
      <c r="X511" s="4" t="e">
        <f>INDEX(Employee!#REF!,MATCH(U511,Employee!#REF!,0))</f>
        <v>#REF!</v>
      </c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 t="str">
        <f>INDEX(Employee!C:C,MATCH(AK511,Employee!B:B,0))</f>
        <v>Lê Thị Kim Anh</v>
      </c>
      <c r="AK511" s="4" t="s">
        <v>979</v>
      </c>
      <c r="AL511" s="4" t="str">
        <f>INDEX(Employee!D:D,MATCH(AK511,Employee!B:B,0))</f>
        <v>Senior Legal Counsel</v>
      </c>
      <c r="AM511" s="4" t="str">
        <f>INDEX(Employee!F:F,MATCH(AK511,Employee!B:B,0))</f>
        <v>Business Support</v>
      </c>
      <c r="AN511" s="4" t="str">
        <f>INDEX(Employee!H:H,MATCH(AK511,Employee!B:B,0))</f>
        <v>Nguyễn Thị My Sa</v>
      </c>
      <c r="AO511" s="4"/>
      <c r="AP511" s="4"/>
      <c r="AQ511" s="4"/>
      <c r="AR511" s="4"/>
      <c r="AS511" s="4"/>
      <c r="CH511" s="6"/>
    </row>
    <row r="512" spans="1:102" hidden="1">
      <c r="A512" s="3">
        <f t="shared" si="32"/>
        <v>511</v>
      </c>
      <c r="B512" s="4" t="s">
        <v>14</v>
      </c>
      <c r="C512" s="4" t="s">
        <v>3</v>
      </c>
      <c r="D512" s="4" t="str">
        <f>INDEX(Employee!E:E,MATCH(AK512,Employee!B:B,0))</f>
        <v>CTD</v>
      </c>
      <c r="E512" s="4" t="str">
        <f>INDEX(Employee!F:F,MATCH(AK512,Employee!B:B,0))</f>
        <v>CTD</v>
      </c>
      <c r="F512" s="4" t="str">
        <f>INDEX(Employee!G:G,MATCH(AK512,Employee!B:B,0))</f>
        <v>CTD</v>
      </c>
      <c r="G512" s="4" t="s">
        <v>15</v>
      </c>
      <c r="H512" s="4"/>
      <c r="I512" s="4" t="str">
        <f t="shared" si="34"/>
        <v>LAP0134</v>
      </c>
      <c r="J512" s="4" t="s">
        <v>115</v>
      </c>
      <c r="K512" s="7" t="s">
        <v>974</v>
      </c>
      <c r="L512" s="7" t="s">
        <v>53</v>
      </c>
      <c r="M512" s="4" t="str">
        <f t="shared" si="33"/>
        <v>512GB</v>
      </c>
      <c r="N512" s="13" t="b">
        <v>1</v>
      </c>
      <c r="O512" s="13" t="b">
        <v>0</v>
      </c>
      <c r="P512" s="4" t="s">
        <v>980</v>
      </c>
      <c r="Q512" s="14" t="s">
        <v>976</v>
      </c>
      <c r="R512" s="4" t="s">
        <v>753</v>
      </c>
      <c r="S512" s="10">
        <v>38800000</v>
      </c>
      <c r="T512" s="4" t="e">
        <f>INDEX(Employee!#REF!,MATCH(U512,Employee!#REF!,0))</f>
        <v>#REF!</v>
      </c>
      <c r="U512" s="4" t="s">
        <v>345</v>
      </c>
      <c r="V512" s="4" t="e">
        <f>INDEX(Employee!#REF!,MATCH(U512,Employee!#REF!,0))</f>
        <v>#REF!</v>
      </c>
      <c r="W512" s="4" t="e">
        <f>INDEX(Employee!#REF!,MATCH(U512,Employee!#REF!,0))</f>
        <v>#REF!</v>
      </c>
      <c r="X512" s="4" t="e">
        <f>INDEX(Employee!#REF!,MATCH(U512,Employee!#REF!,0))</f>
        <v>#REF!</v>
      </c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 t="str">
        <f>INDEX(Employee!C:C,MATCH(AK512,Employee!B:B,0))</f>
        <v>IT Dept CTD</v>
      </c>
      <c r="AK512" s="4" t="s">
        <v>374</v>
      </c>
      <c r="AL512" s="4" t="str">
        <f>INDEX(Employee!D:D,MATCH(AK512,Employee!B:B,0))</f>
        <v>CTD</v>
      </c>
      <c r="AM512" s="4" t="str">
        <f>INDEX(Employee!F:F,MATCH(AK512,Employee!B:B,0))</f>
        <v>CTD</v>
      </c>
      <c r="AN512" s="4" t="str">
        <f>INDEX(Employee!H:H,MATCH(AK512,Employee!B:B,0))</f>
        <v>CTD</v>
      </c>
      <c r="AO512" s="4"/>
      <c r="AP512" s="4"/>
      <c r="AQ512" s="4"/>
      <c r="AR512" s="4"/>
      <c r="AS512" s="4"/>
      <c r="CH512" s="6"/>
    </row>
    <row r="513" spans="1:86" hidden="1">
      <c r="A513" s="3">
        <f t="shared" si="32"/>
        <v>512</v>
      </c>
      <c r="B513" s="4" t="s">
        <v>14</v>
      </c>
      <c r="C513" s="4" t="s">
        <v>3</v>
      </c>
      <c r="D513" s="4" t="str">
        <f>INDEX(Employee!E:E,MATCH(AK513,Employee!B:B,0))</f>
        <v>BO</v>
      </c>
      <c r="E513" s="4" t="str">
        <f>INDEX(Employee!F:F,MATCH(AK513,Employee!B:B,0))</f>
        <v>Business Support</v>
      </c>
      <c r="F513" s="4" t="str">
        <f>INDEX(Employee!G:G,MATCH(AK513,Employee!B:B,0))</f>
        <v>Operation Team</v>
      </c>
      <c r="G513" s="4" t="s">
        <v>15</v>
      </c>
      <c r="H513" s="4"/>
      <c r="I513" s="4" t="str">
        <f t="shared" si="34"/>
        <v>LAP0135</v>
      </c>
      <c r="J513" s="4" t="s">
        <v>115</v>
      </c>
      <c r="K513" s="7" t="s">
        <v>974</v>
      </c>
      <c r="L513" s="7" t="s">
        <v>53</v>
      </c>
      <c r="M513" s="4" t="str">
        <f t="shared" si="33"/>
        <v>512GB</v>
      </c>
      <c r="N513" s="13" t="b">
        <v>1</v>
      </c>
      <c r="O513" s="13" t="b">
        <v>0</v>
      </c>
      <c r="P513" s="4" t="s">
        <v>981</v>
      </c>
      <c r="Q513" s="14" t="s">
        <v>976</v>
      </c>
      <c r="R513" s="4" t="s">
        <v>753</v>
      </c>
      <c r="S513" s="10">
        <v>38800000</v>
      </c>
      <c r="T513" s="4" t="e">
        <f>INDEX(Employee!#REF!,MATCH(U513,Employee!#REF!,0))</f>
        <v>#REF!</v>
      </c>
      <c r="U513" s="4" t="s">
        <v>345</v>
      </c>
      <c r="V513" s="4" t="e">
        <f>INDEX(Employee!#REF!,MATCH(U513,Employee!#REF!,0))</f>
        <v>#REF!</v>
      </c>
      <c r="W513" s="4" t="e">
        <f>INDEX(Employee!#REF!,MATCH(U513,Employee!#REF!,0))</f>
        <v>#REF!</v>
      </c>
      <c r="X513" s="4" t="e">
        <f>INDEX(Employee!#REF!,MATCH(U513,Employee!#REF!,0))</f>
        <v>#REF!</v>
      </c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 t="str">
        <f>INDEX(Employee!C:C,MATCH(AK513,Employee!B:B,0))</f>
        <v>Đoàn Hà Mi</v>
      </c>
      <c r="AK513" s="4" t="s">
        <v>345</v>
      </c>
      <c r="AL513" s="4" t="str">
        <f>INDEX(Employee!D:D,MATCH(AK513,Employee!B:B,0))</f>
        <v>Admin &amp; Office Manager</v>
      </c>
      <c r="AM513" s="4" t="str">
        <f>INDEX(Employee!F:F,MATCH(AK513,Employee!B:B,0))</f>
        <v>Business Support</v>
      </c>
      <c r="AN513" s="4" t="str">
        <f>INDEX(Employee!H:H,MATCH(AK513,Employee!B:B,0))</f>
        <v>Trần Huyền Thanh (thanhth5)</v>
      </c>
      <c r="AO513" s="4"/>
      <c r="AP513" s="4"/>
      <c r="AQ513" s="4"/>
      <c r="AR513" s="4"/>
      <c r="AS513" s="4"/>
      <c r="CH513" s="6"/>
    </row>
    <row r="514" spans="1:86" hidden="1">
      <c r="A514" s="3">
        <f t="shared" si="32"/>
        <v>513</v>
      </c>
      <c r="B514" s="4" t="s">
        <v>14</v>
      </c>
      <c r="C514" s="4" t="s">
        <v>4</v>
      </c>
      <c r="D514" s="4" t="e">
        <f>INDEX(Employee!E:E,MATCH(AK514,Employee!B:B,0))</f>
        <v>#N/A</v>
      </c>
      <c r="E514" s="4" t="e">
        <f>INDEX(Employee!F:F,MATCH(AK514,Employee!B:B,0))</f>
        <v>#N/A</v>
      </c>
      <c r="F514" s="4" t="e">
        <f>INDEX(Employee!G:G,MATCH(AK514,Employee!B:B,0))</f>
        <v>#N/A</v>
      </c>
      <c r="G514" s="4" t="s">
        <v>15</v>
      </c>
      <c r="H514" s="4"/>
      <c r="I514" s="4" t="str">
        <f t="shared" si="34"/>
        <v>LAP0136</v>
      </c>
      <c r="J514" s="4" t="s">
        <v>115</v>
      </c>
      <c r="K514" s="7" t="s">
        <v>974</v>
      </c>
      <c r="L514" s="7" t="s">
        <v>53</v>
      </c>
      <c r="M514" s="4" t="str">
        <f t="shared" si="33"/>
        <v>512GB</v>
      </c>
      <c r="N514" s="13" t="b">
        <v>1</v>
      </c>
      <c r="O514" s="13" t="b">
        <v>0</v>
      </c>
      <c r="P514" s="4" t="s">
        <v>982</v>
      </c>
      <c r="Q514" s="14" t="s">
        <v>976</v>
      </c>
      <c r="R514" s="4" t="s">
        <v>753</v>
      </c>
      <c r="S514" s="10">
        <v>38800000</v>
      </c>
      <c r="T514" s="4" t="e">
        <f>INDEX(Employee!#REF!,MATCH(U514,Employee!#REF!,0))</f>
        <v>#REF!</v>
      </c>
      <c r="U514" s="4" t="s">
        <v>345</v>
      </c>
      <c r="V514" s="4" t="e">
        <f>INDEX(Employee!#REF!,MATCH(U514,Employee!#REF!,0))</f>
        <v>#REF!</v>
      </c>
      <c r="W514" s="4" t="e">
        <f>INDEX(Employee!#REF!,MATCH(U514,Employee!#REF!,0))</f>
        <v>#REF!</v>
      </c>
      <c r="X514" s="4" t="e">
        <f>INDEX(Employee!#REF!,MATCH(U514,Employee!#REF!,0))</f>
        <v>#REF!</v>
      </c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 t="e">
        <f>INDEX(Employee!C:C,MATCH(AK514,Employee!B:B,0))</f>
        <v>#N/A</v>
      </c>
      <c r="AK514" s="4"/>
      <c r="AL514" s="4" t="e">
        <f>INDEX(Employee!D:D,MATCH(AK514,Employee!B:B,0))</f>
        <v>#N/A</v>
      </c>
      <c r="AM514" s="4" t="e">
        <f>INDEX(Employee!F:F,MATCH(AK514,Employee!B:B,0))</f>
        <v>#N/A</v>
      </c>
      <c r="AN514" s="4" t="e">
        <f>INDEX(Employee!H:H,MATCH(AK514,Employee!B:B,0))</f>
        <v>#N/A</v>
      </c>
      <c r="AO514" s="4"/>
      <c r="AP514" s="4"/>
      <c r="AQ514" s="4"/>
      <c r="AR514" s="4"/>
      <c r="AS514" s="4"/>
      <c r="CH514" s="6"/>
    </row>
    <row r="515" spans="1:86" hidden="1">
      <c r="A515" s="3">
        <f t="shared" si="32"/>
        <v>514</v>
      </c>
      <c r="B515" s="4" t="s">
        <v>14</v>
      </c>
      <c r="C515" s="4" t="s">
        <v>3</v>
      </c>
      <c r="D515" s="4" t="str">
        <f>INDEX(Employee!E:E,MATCH(AK515,Employee!B:B,0))</f>
        <v>BO</v>
      </c>
      <c r="E515" s="4" t="str">
        <f>INDEX(Employee!F:F,MATCH(AK515,Employee!B:B,0))</f>
        <v>Business Support</v>
      </c>
      <c r="F515" s="4" t="str">
        <f>INDEX(Employee!G:G,MATCH(AK515,Employee!B:B,0))</f>
        <v>Operation Team</v>
      </c>
      <c r="G515" s="4" t="s">
        <v>15</v>
      </c>
      <c r="H515" s="4"/>
      <c r="I515" s="4" t="str">
        <f t="shared" si="34"/>
        <v>LAP0137</v>
      </c>
      <c r="J515" s="4" t="s">
        <v>115</v>
      </c>
      <c r="K515" s="7" t="s">
        <v>974</v>
      </c>
      <c r="L515" s="7" t="s">
        <v>53</v>
      </c>
      <c r="M515" s="4" t="str">
        <f t="shared" si="33"/>
        <v>512GB</v>
      </c>
      <c r="N515" s="13" t="b">
        <v>1</v>
      </c>
      <c r="O515" s="13" t="b">
        <v>0</v>
      </c>
      <c r="P515" s="4" t="s">
        <v>983</v>
      </c>
      <c r="Q515" s="14" t="s">
        <v>976</v>
      </c>
      <c r="R515" s="4" t="s">
        <v>753</v>
      </c>
      <c r="S515" s="10">
        <v>38800000</v>
      </c>
      <c r="T515" s="4" t="e">
        <f>INDEX(Employee!#REF!,MATCH(U515,Employee!#REF!,0))</f>
        <v>#REF!</v>
      </c>
      <c r="U515" s="4" t="s">
        <v>345</v>
      </c>
      <c r="V515" s="4" t="e">
        <f>INDEX(Employee!#REF!,MATCH(U515,Employee!#REF!,0))</f>
        <v>#REF!</v>
      </c>
      <c r="W515" s="4" t="e">
        <f>INDEX(Employee!#REF!,MATCH(U515,Employee!#REF!,0))</f>
        <v>#REF!</v>
      </c>
      <c r="X515" s="4" t="e">
        <f>INDEX(Employee!#REF!,MATCH(U515,Employee!#REF!,0))</f>
        <v>#REF!</v>
      </c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 t="str">
        <f>INDEX(Employee!C:C,MATCH(AK515,Employee!B:B,0))</f>
        <v>Hoàng Thị Trang</v>
      </c>
      <c r="AK515" s="4" t="s">
        <v>348</v>
      </c>
      <c r="AL515" s="4" t="str">
        <f>INDEX(Employee!D:D,MATCH(AK515,Employee!B:B,0))</f>
        <v>Accounting Manager</v>
      </c>
      <c r="AM515" s="4" t="str">
        <f>INDEX(Employee!F:F,MATCH(AK515,Employee!B:B,0))</f>
        <v>Business Support</v>
      </c>
      <c r="AN515" s="4" t="str">
        <f>INDEX(Employee!H:H,MATCH(AK515,Employee!B:B,0))</f>
        <v>Nguyễn Thị Thủy</v>
      </c>
      <c r="AO515" s="4"/>
      <c r="AP515" s="4"/>
      <c r="AQ515" s="4"/>
      <c r="AR515" s="4"/>
      <c r="AS515" s="4"/>
      <c r="CH515" s="6"/>
    </row>
    <row r="516" spans="1:86" hidden="1">
      <c r="A516" s="3">
        <f t="shared" si="32"/>
        <v>515</v>
      </c>
      <c r="B516" s="4" t="s">
        <v>14</v>
      </c>
      <c r="C516" s="4" t="s">
        <v>4</v>
      </c>
      <c r="D516" s="4" t="e">
        <f>INDEX(Employee!E:E,MATCH(AK516,Employee!B:B,0))</f>
        <v>#N/A</v>
      </c>
      <c r="E516" s="4" t="e">
        <f>INDEX(Employee!F:F,MATCH(AK516,Employee!B:B,0))</f>
        <v>#N/A</v>
      </c>
      <c r="F516" s="4" t="e">
        <f>INDEX(Employee!G:G,MATCH(AK516,Employee!B:B,0))</f>
        <v>#N/A</v>
      </c>
      <c r="G516" s="4" t="s">
        <v>15</v>
      </c>
      <c r="H516" s="4"/>
      <c r="I516" s="4" t="str">
        <f t="shared" si="34"/>
        <v>LAP0138</v>
      </c>
      <c r="J516" s="4" t="s">
        <v>115</v>
      </c>
      <c r="K516" s="7" t="s">
        <v>974</v>
      </c>
      <c r="L516" s="7" t="s">
        <v>53</v>
      </c>
      <c r="M516" s="4" t="str">
        <f t="shared" si="33"/>
        <v>512GB</v>
      </c>
      <c r="N516" s="13" t="b">
        <v>1</v>
      </c>
      <c r="O516" s="13" t="b">
        <v>0</v>
      </c>
      <c r="P516" s="4" t="s">
        <v>984</v>
      </c>
      <c r="Q516" s="14" t="s">
        <v>976</v>
      </c>
      <c r="R516" s="4" t="s">
        <v>753</v>
      </c>
      <c r="S516" s="10">
        <v>38800000</v>
      </c>
      <c r="T516" s="4" t="e">
        <f>INDEX(Employee!#REF!,MATCH(U516,Employee!#REF!,0))</f>
        <v>#REF!</v>
      </c>
      <c r="U516" s="4" t="s">
        <v>345</v>
      </c>
      <c r="V516" s="4" t="e">
        <f>INDEX(Employee!#REF!,MATCH(U516,Employee!#REF!,0))</f>
        <v>#REF!</v>
      </c>
      <c r="W516" s="4" t="e">
        <f>INDEX(Employee!#REF!,MATCH(U516,Employee!#REF!,0))</f>
        <v>#REF!</v>
      </c>
      <c r="X516" s="4" t="e">
        <f>INDEX(Employee!#REF!,MATCH(U516,Employee!#REF!,0))</f>
        <v>#REF!</v>
      </c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 t="e">
        <f>INDEX(Employee!C:C,MATCH(AK516,Employee!B:B,0))</f>
        <v>#N/A</v>
      </c>
      <c r="AK516" s="4"/>
      <c r="AL516" s="4" t="e">
        <f>INDEX(Employee!D:D,MATCH(AK516,Employee!B:B,0))</f>
        <v>#N/A</v>
      </c>
      <c r="AM516" s="4" t="e">
        <f>INDEX(Employee!F:F,MATCH(AK516,Employee!B:B,0))</f>
        <v>#N/A</v>
      </c>
      <c r="AN516" s="4" t="e">
        <f>INDEX(Employee!H:H,MATCH(AK516,Employee!B:B,0))</f>
        <v>#N/A</v>
      </c>
      <c r="AO516" s="4"/>
      <c r="AP516" s="4"/>
      <c r="AQ516" s="4"/>
      <c r="AR516" s="4"/>
      <c r="AS516" s="4"/>
      <c r="CH516" s="6"/>
    </row>
    <row r="517" spans="1:86" hidden="1">
      <c r="A517" s="3">
        <f t="shared" si="32"/>
        <v>516</v>
      </c>
      <c r="B517" s="4" t="s">
        <v>14</v>
      </c>
      <c r="C517" s="4" t="s">
        <v>4</v>
      </c>
      <c r="D517" s="4" t="e">
        <f>INDEX(Employee!E:E,MATCH(AK517,Employee!B:B,0))</f>
        <v>#N/A</v>
      </c>
      <c r="E517" s="4" t="e">
        <f>INDEX(Employee!F:F,MATCH(AK517,Employee!B:B,0))</f>
        <v>#N/A</v>
      </c>
      <c r="F517" s="4" t="e">
        <f>INDEX(Employee!G:G,MATCH(AK517,Employee!B:B,0))</f>
        <v>#N/A</v>
      </c>
      <c r="G517" s="4" t="s">
        <v>15</v>
      </c>
      <c r="H517" s="4"/>
      <c r="I517" s="4" t="str">
        <f t="shared" si="34"/>
        <v>LAP0139</v>
      </c>
      <c r="J517" s="4" t="s">
        <v>115</v>
      </c>
      <c r="K517" s="7" t="s">
        <v>974</v>
      </c>
      <c r="L517" s="7" t="s">
        <v>53</v>
      </c>
      <c r="M517" s="4" t="str">
        <f t="shared" si="33"/>
        <v>512GB</v>
      </c>
      <c r="N517" s="13" t="b">
        <v>1</v>
      </c>
      <c r="O517" s="13" t="b">
        <v>0</v>
      </c>
      <c r="P517" s="4" t="s">
        <v>985</v>
      </c>
      <c r="Q517" s="14" t="s">
        <v>976</v>
      </c>
      <c r="R517" s="4" t="s">
        <v>753</v>
      </c>
      <c r="S517" s="10">
        <v>38800000</v>
      </c>
      <c r="T517" s="4" t="e">
        <f>INDEX(Employee!#REF!,MATCH(U517,Employee!#REF!,0))</f>
        <v>#REF!</v>
      </c>
      <c r="U517" s="4" t="s">
        <v>345</v>
      </c>
      <c r="V517" s="4" t="e">
        <f>INDEX(Employee!#REF!,MATCH(U517,Employee!#REF!,0))</f>
        <v>#REF!</v>
      </c>
      <c r="W517" s="4" t="e">
        <f>INDEX(Employee!#REF!,MATCH(U517,Employee!#REF!,0))</f>
        <v>#REF!</v>
      </c>
      <c r="X517" s="4" t="e">
        <f>INDEX(Employee!#REF!,MATCH(U517,Employee!#REF!,0))</f>
        <v>#REF!</v>
      </c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 t="e">
        <f>INDEX(Employee!C:C,MATCH(AK517,Employee!B:B,0))</f>
        <v>#N/A</v>
      </c>
      <c r="AK517" s="4"/>
      <c r="AL517" s="4" t="e">
        <f>INDEX(Employee!D:D,MATCH(AK517,Employee!B:B,0))</f>
        <v>#N/A</v>
      </c>
      <c r="AM517" s="4" t="e">
        <f>INDEX(Employee!F:F,MATCH(AK517,Employee!B:B,0))</f>
        <v>#N/A</v>
      </c>
      <c r="AN517" s="4" t="e">
        <f>INDEX(Employee!H:H,MATCH(AK517,Employee!B:B,0))</f>
        <v>#N/A</v>
      </c>
      <c r="AO517" s="4"/>
      <c r="AP517" s="4"/>
      <c r="AQ517" s="4"/>
      <c r="AR517" s="4"/>
      <c r="AS517" s="4"/>
      <c r="CH517" s="6"/>
    </row>
    <row r="518" spans="1:86" hidden="1">
      <c r="A518" s="3">
        <f t="shared" si="32"/>
        <v>517</v>
      </c>
      <c r="B518" s="4" t="s">
        <v>14</v>
      </c>
      <c r="C518" s="4" t="s">
        <v>4</v>
      </c>
      <c r="D518" s="4" t="e">
        <f>INDEX(Employee!E:E,MATCH(AK518,Employee!B:B,0))</f>
        <v>#N/A</v>
      </c>
      <c r="E518" s="4" t="e">
        <f>INDEX(Employee!F:F,MATCH(AK518,Employee!B:B,0))</f>
        <v>#N/A</v>
      </c>
      <c r="F518" s="4" t="e">
        <f>INDEX(Employee!G:G,MATCH(AK518,Employee!B:B,0))</f>
        <v>#N/A</v>
      </c>
      <c r="G518" s="4" t="s">
        <v>15</v>
      </c>
      <c r="H518" s="4"/>
      <c r="I518" s="4" t="str">
        <f t="shared" si="34"/>
        <v>LAP0140</v>
      </c>
      <c r="J518" s="4" t="s">
        <v>115</v>
      </c>
      <c r="K518" s="7" t="s">
        <v>974</v>
      </c>
      <c r="L518" s="7" t="s">
        <v>53</v>
      </c>
      <c r="M518" s="4" t="str">
        <f t="shared" si="33"/>
        <v>512GB</v>
      </c>
      <c r="N518" s="13" t="b">
        <v>1</v>
      </c>
      <c r="O518" s="13" t="b">
        <v>0</v>
      </c>
      <c r="P518" s="4" t="s">
        <v>986</v>
      </c>
      <c r="Q518" s="14" t="s">
        <v>976</v>
      </c>
      <c r="R518" s="4" t="s">
        <v>753</v>
      </c>
      <c r="S518" s="10">
        <v>38800000</v>
      </c>
      <c r="T518" s="4" t="e">
        <f>INDEX(Employee!#REF!,MATCH(U518,Employee!#REF!,0))</f>
        <v>#REF!</v>
      </c>
      <c r="U518" s="4" t="s">
        <v>345</v>
      </c>
      <c r="V518" s="4" t="e">
        <f>INDEX(Employee!#REF!,MATCH(U518,Employee!#REF!,0))</f>
        <v>#REF!</v>
      </c>
      <c r="W518" s="4" t="e">
        <f>INDEX(Employee!#REF!,MATCH(U518,Employee!#REF!,0))</f>
        <v>#REF!</v>
      </c>
      <c r="X518" s="4" t="e">
        <f>INDEX(Employee!#REF!,MATCH(U518,Employee!#REF!,0))</f>
        <v>#REF!</v>
      </c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 t="e">
        <f>INDEX(Employee!C:C,MATCH(AK518,Employee!B:B,0))</f>
        <v>#N/A</v>
      </c>
      <c r="AK518" s="4"/>
      <c r="AL518" s="4" t="e">
        <f>INDEX(Employee!D:D,MATCH(AK518,Employee!B:B,0))</f>
        <v>#N/A</v>
      </c>
      <c r="AM518" s="4" t="e">
        <f>INDEX(Employee!F:F,MATCH(AK518,Employee!B:B,0))</f>
        <v>#N/A</v>
      </c>
      <c r="AN518" s="4" t="e">
        <f>INDEX(Employee!H:H,MATCH(AK518,Employee!B:B,0))</f>
        <v>#N/A</v>
      </c>
      <c r="AO518" s="4"/>
      <c r="AP518" s="4"/>
      <c r="AQ518" s="4"/>
      <c r="AR518" s="4"/>
      <c r="AS518" s="4"/>
      <c r="CH518" s="6"/>
    </row>
    <row r="519" spans="1:86" hidden="1">
      <c r="A519" s="3">
        <f t="shared" si="32"/>
        <v>518</v>
      </c>
      <c r="B519" s="4" t="s">
        <v>14</v>
      </c>
      <c r="C519" s="4" t="s">
        <v>3</v>
      </c>
      <c r="D519" s="4">
        <f>INDEX(Employee!E:E,MATCH(AK519,Employee!B:B,0))</f>
        <v>0</v>
      </c>
      <c r="E519" s="4" t="str">
        <f>INDEX(Employee!F:F,MATCH(AK519,Employee!B:B,0))</f>
        <v>Tech</v>
      </c>
      <c r="F519" s="4">
        <f>INDEX(Employee!G:G,MATCH(AK519,Employee!B:B,0))</f>
        <v>0</v>
      </c>
      <c r="G519" s="4" t="s">
        <v>119</v>
      </c>
      <c r="H519" s="4"/>
      <c r="I519" s="4" t="str">
        <f t="shared" si="34"/>
        <v>LAP0141</v>
      </c>
      <c r="J519" s="4" t="s">
        <v>115</v>
      </c>
      <c r="K519" s="7" t="s">
        <v>987</v>
      </c>
      <c r="L519" s="7" t="s">
        <v>53</v>
      </c>
      <c r="M519" s="4" t="str">
        <f t="shared" si="33"/>
        <v>512GB</v>
      </c>
      <c r="N519" s="13" t="b">
        <v>0</v>
      </c>
      <c r="O519" s="13" t="b">
        <v>0</v>
      </c>
      <c r="P519" s="4" t="s">
        <v>988</v>
      </c>
      <c r="Q519" s="14" t="s">
        <v>976</v>
      </c>
      <c r="R519" s="4" t="s">
        <v>753</v>
      </c>
      <c r="S519" s="10">
        <v>40250000</v>
      </c>
      <c r="T519" s="4" t="e">
        <f>INDEX(Employee!#REF!,MATCH(U519,Employee!#REF!,0))</f>
        <v>#REF!</v>
      </c>
      <c r="U519" s="4" t="s">
        <v>345</v>
      </c>
      <c r="V519" s="4" t="e">
        <f>INDEX(Employee!#REF!,MATCH(U519,Employee!#REF!,0))</f>
        <v>#REF!</v>
      </c>
      <c r="W519" s="4" t="e">
        <f>INDEX(Employee!#REF!,MATCH(U519,Employee!#REF!,0))</f>
        <v>#REF!</v>
      </c>
      <c r="X519" s="4" t="e">
        <f>INDEX(Employee!#REF!,MATCH(U519,Employee!#REF!,0))</f>
        <v>#REF!</v>
      </c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 t="str">
        <f>INDEX(Employee!C:C,MATCH(AK519,Employee!B:B,0))</f>
        <v>Nguyễn Vân Anh</v>
      </c>
      <c r="AK519" s="4" t="s">
        <v>195</v>
      </c>
      <c r="AL519" s="4" t="str">
        <f>INDEX(Employee!D:D,MATCH(AK519,Employee!B:B,0))</f>
        <v>Senior Business Analyst</v>
      </c>
      <c r="AM519" s="4" t="str">
        <f>INDEX(Employee!F:F,MATCH(AK519,Employee!B:B,0))</f>
        <v>Tech</v>
      </c>
      <c r="AN519" s="4" t="str">
        <f>INDEX(Employee!H:H,MATCH(AK519,Employee!B:B,0))</f>
        <v>Trần Triệu Dương (duongtt5)</v>
      </c>
      <c r="AO519" s="4"/>
      <c r="AP519" s="4"/>
      <c r="AQ519" s="4"/>
      <c r="AR519" s="4"/>
      <c r="AS519" s="4"/>
      <c r="CH519" s="6"/>
    </row>
    <row r="520" spans="1:86" hidden="1">
      <c r="A520" s="3">
        <f t="shared" si="32"/>
        <v>519</v>
      </c>
      <c r="B520" s="4" t="s">
        <v>14</v>
      </c>
      <c r="C520" s="4" t="s">
        <v>4</v>
      </c>
      <c r="D520" s="4" t="e">
        <f>INDEX(Employee!E:E,MATCH(AK520,Employee!B:B,0))</f>
        <v>#N/A</v>
      </c>
      <c r="E520" s="4" t="e">
        <f>INDEX(Employee!F:F,MATCH(AK520,Employee!B:B,0))</f>
        <v>#N/A</v>
      </c>
      <c r="F520" s="4" t="e">
        <f>INDEX(Employee!G:G,MATCH(AK520,Employee!B:B,0))</f>
        <v>#N/A</v>
      </c>
      <c r="G520" s="4" t="s">
        <v>15</v>
      </c>
      <c r="H520" s="4"/>
      <c r="I520" s="4" t="str">
        <f t="shared" si="34"/>
        <v>LAP0142</v>
      </c>
      <c r="J520" s="4" t="s">
        <v>115</v>
      </c>
      <c r="K520" s="7" t="s">
        <v>987</v>
      </c>
      <c r="L520" s="7" t="s">
        <v>53</v>
      </c>
      <c r="M520" s="4" t="str">
        <f t="shared" si="33"/>
        <v>512GB</v>
      </c>
      <c r="N520" s="13" t="b">
        <v>1</v>
      </c>
      <c r="O520" s="13" t="b">
        <v>0</v>
      </c>
      <c r="P520" s="4" t="s">
        <v>989</v>
      </c>
      <c r="Q520" s="14" t="s">
        <v>976</v>
      </c>
      <c r="R520" s="4" t="s">
        <v>753</v>
      </c>
      <c r="S520" s="10">
        <v>40250000</v>
      </c>
      <c r="T520" s="4" t="e">
        <f>INDEX(Employee!#REF!,MATCH(U520,Employee!#REF!,0))</f>
        <v>#REF!</v>
      </c>
      <c r="U520" s="4" t="s">
        <v>345</v>
      </c>
      <c r="V520" s="4" t="e">
        <f>INDEX(Employee!#REF!,MATCH(U520,Employee!#REF!,0))</f>
        <v>#REF!</v>
      </c>
      <c r="W520" s="4" t="e">
        <f>INDEX(Employee!#REF!,MATCH(U520,Employee!#REF!,0))</f>
        <v>#REF!</v>
      </c>
      <c r="X520" s="4" t="e">
        <f>INDEX(Employee!#REF!,MATCH(U520,Employee!#REF!,0))</f>
        <v>#REF!</v>
      </c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 t="e">
        <f>INDEX(Employee!C:C,MATCH(AK520,Employee!B:B,0))</f>
        <v>#N/A</v>
      </c>
      <c r="AK520" s="4"/>
      <c r="AL520" s="4" t="e">
        <f>INDEX(Employee!D:D,MATCH(AK520,Employee!B:B,0))</f>
        <v>#N/A</v>
      </c>
      <c r="AM520" s="4" t="e">
        <f>INDEX(Employee!F:F,MATCH(AK520,Employee!B:B,0))</f>
        <v>#N/A</v>
      </c>
      <c r="AN520" s="4" t="e">
        <f>INDEX(Employee!H:H,MATCH(AK520,Employee!B:B,0))</f>
        <v>#N/A</v>
      </c>
      <c r="AO520" s="4"/>
      <c r="AP520" s="4"/>
      <c r="AQ520" s="4"/>
      <c r="AR520" s="4"/>
      <c r="AS520" s="4"/>
      <c r="CH520" s="6"/>
    </row>
    <row r="521" spans="1:86" hidden="1">
      <c r="A521" s="3">
        <f t="shared" si="32"/>
        <v>520</v>
      </c>
      <c r="B521" s="4" t="s">
        <v>14</v>
      </c>
      <c r="C521" s="4" t="s">
        <v>3</v>
      </c>
      <c r="D521" s="4">
        <f>INDEX(Employee!E:E,MATCH(AK521,Employee!B:B,0))</f>
        <v>0</v>
      </c>
      <c r="E521" s="4" t="str">
        <f>INDEX(Employee!F:F,MATCH(AK521,Employee!B:B,0))</f>
        <v>Sales</v>
      </c>
      <c r="F521" s="4">
        <f>INDEX(Employee!G:G,MATCH(AK521,Employee!B:B,0))</f>
        <v>0</v>
      </c>
      <c r="G521" s="4" t="s">
        <v>119</v>
      </c>
      <c r="H521" s="4"/>
      <c r="I521" s="4" t="str">
        <f t="shared" si="34"/>
        <v>LAP0143</v>
      </c>
      <c r="J521" s="4" t="s">
        <v>115</v>
      </c>
      <c r="K521" s="7" t="s">
        <v>987</v>
      </c>
      <c r="L521" s="7" t="s">
        <v>53</v>
      </c>
      <c r="M521" s="4" t="str">
        <f t="shared" si="33"/>
        <v>512GB</v>
      </c>
      <c r="N521" s="13" t="b">
        <v>0</v>
      </c>
      <c r="O521" s="13" t="b">
        <v>0</v>
      </c>
      <c r="P521" s="4" t="s">
        <v>990</v>
      </c>
      <c r="Q521" s="14" t="s">
        <v>976</v>
      </c>
      <c r="R521" s="4" t="s">
        <v>753</v>
      </c>
      <c r="S521" s="10">
        <v>40250000</v>
      </c>
      <c r="T521" s="4" t="e">
        <f>INDEX(Employee!#REF!,MATCH(U521,Employee!#REF!,0))</f>
        <v>#REF!</v>
      </c>
      <c r="U521" s="4" t="s">
        <v>345</v>
      </c>
      <c r="V521" s="4" t="e">
        <f>INDEX(Employee!#REF!,MATCH(U521,Employee!#REF!,0))</f>
        <v>#REF!</v>
      </c>
      <c r="W521" s="4" t="e">
        <f>INDEX(Employee!#REF!,MATCH(U521,Employee!#REF!,0))</f>
        <v>#REF!</v>
      </c>
      <c r="X521" s="4" t="e">
        <f>INDEX(Employee!#REF!,MATCH(U521,Employee!#REF!,0))</f>
        <v>#REF!</v>
      </c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 t="str">
        <f>INDEX(Employee!C:C,MATCH(AK521,Employee!B:B,0))</f>
        <v>Nguyễn Thị Thuý Hằng</v>
      </c>
      <c r="AK521" s="4" t="s">
        <v>417</v>
      </c>
      <c r="AL521" s="4" t="str">
        <f>INDEX(Employee!D:D,MATCH(AK521,Employee!B:B,0))</f>
        <v>Presales Editor</v>
      </c>
      <c r="AM521" s="4" t="str">
        <f>INDEX(Employee!F:F,MATCH(AK521,Employee!B:B,0))</f>
        <v>Sales</v>
      </c>
      <c r="AN521" s="4" t="str">
        <f>INDEX(Employee!H:H,MATCH(AK521,Employee!B:B,0))</f>
        <v>Antonuccio Antonio (antonioa)</v>
      </c>
      <c r="AO521" s="4"/>
      <c r="AP521" s="4"/>
      <c r="AQ521" s="4"/>
      <c r="AR521" s="4"/>
      <c r="AS521" s="4"/>
      <c r="CH521" s="6"/>
    </row>
    <row r="522" spans="1:86" hidden="1">
      <c r="A522" s="3">
        <f t="shared" si="32"/>
        <v>521</v>
      </c>
      <c r="B522" s="4" t="s">
        <v>14</v>
      </c>
      <c r="C522" s="4" t="s">
        <v>4</v>
      </c>
      <c r="D522" s="4" t="e">
        <f>INDEX(Employee!E:E,MATCH(AK522,Employee!B:B,0))</f>
        <v>#N/A</v>
      </c>
      <c r="E522" s="4" t="e">
        <f>INDEX(Employee!F:F,MATCH(AK522,Employee!B:B,0))</f>
        <v>#N/A</v>
      </c>
      <c r="F522" s="4" t="e">
        <f>INDEX(Employee!G:G,MATCH(AK522,Employee!B:B,0))</f>
        <v>#N/A</v>
      </c>
      <c r="G522" s="4" t="s">
        <v>15</v>
      </c>
      <c r="H522" s="4"/>
      <c r="I522" s="4" t="str">
        <f t="shared" si="34"/>
        <v>LAP0144</v>
      </c>
      <c r="J522" s="4" t="s">
        <v>115</v>
      </c>
      <c r="K522" s="7" t="s">
        <v>987</v>
      </c>
      <c r="L522" s="7" t="s">
        <v>53</v>
      </c>
      <c r="M522" s="4" t="str">
        <f t="shared" si="33"/>
        <v>512GB</v>
      </c>
      <c r="N522" s="13" t="b">
        <v>1</v>
      </c>
      <c r="O522" s="13" t="b">
        <v>0</v>
      </c>
      <c r="P522" s="4" t="s">
        <v>991</v>
      </c>
      <c r="Q522" s="14" t="s">
        <v>976</v>
      </c>
      <c r="R522" s="4" t="s">
        <v>753</v>
      </c>
      <c r="S522" s="10">
        <v>40250000</v>
      </c>
      <c r="T522" s="4" t="e">
        <f>INDEX(Employee!#REF!,MATCH(U522,Employee!#REF!,0))</f>
        <v>#REF!</v>
      </c>
      <c r="U522" s="4" t="s">
        <v>345</v>
      </c>
      <c r="V522" s="4" t="e">
        <f>INDEX(Employee!#REF!,MATCH(U522,Employee!#REF!,0))</f>
        <v>#REF!</v>
      </c>
      <c r="W522" s="4" t="e">
        <f>INDEX(Employee!#REF!,MATCH(U522,Employee!#REF!,0))</f>
        <v>#REF!</v>
      </c>
      <c r="X522" s="4" t="e">
        <f>INDEX(Employee!#REF!,MATCH(U522,Employee!#REF!,0))</f>
        <v>#REF!</v>
      </c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 t="e">
        <f>INDEX(Employee!C:C,MATCH(AK522,Employee!B:B,0))</f>
        <v>#N/A</v>
      </c>
      <c r="AK522" s="4"/>
      <c r="AL522" s="4" t="e">
        <f>INDEX(Employee!D:D,MATCH(AK522,Employee!B:B,0))</f>
        <v>#N/A</v>
      </c>
      <c r="AM522" s="4" t="e">
        <f>INDEX(Employee!F:F,MATCH(AK522,Employee!B:B,0))</f>
        <v>#N/A</v>
      </c>
      <c r="AN522" s="4" t="e">
        <f>INDEX(Employee!H:H,MATCH(AK522,Employee!B:B,0))</f>
        <v>#N/A</v>
      </c>
      <c r="AO522" s="4"/>
      <c r="AP522" s="4"/>
      <c r="AQ522" s="4"/>
      <c r="AR522" s="4"/>
      <c r="AS522" s="4"/>
      <c r="CH522" s="6"/>
    </row>
    <row r="523" spans="1:86" hidden="1">
      <c r="A523" s="3">
        <f t="shared" si="32"/>
        <v>522</v>
      </c>
      <c r="B523" s="4" t="s">
        <v>14</v>
      </c>
      <c r="C523" s="4" t="s">
        <v>4</v>
      </c>
      <c r="D523" s="4" t="e">
        <f>INDEX(Employee!E:E,MATCH(AK523,Employee!B:B,0))</f>
        <v>#N/A</v>
      </c>
      <c r="E523" s="4" t="e">
        <f>INDEX(Employee!F:F,MATCH(AK523,Employee!B:B,0))</f>
        <v>#N/A</v>
      </c>
      <c r="F523" s="4" t="e">
        <f>INDEX(Employee!G:G,MATCH(AK523,Employee!B:B,0))</f>
        <v>#N/A</v>
      </c>
      <c r="G523" s="4" t="s">
        <v>15</v>
      </c>
      <c r="H523" s="4"/>
      <c r="I523" s="4" t="str">
        <f t="shared" si="34"/>
        <v>LAP0145</v>
      </c>
      <c r="J523" s="4" t="s">
        <v>115</v>
      </c>
      <c r="K523" s="7" t="s">
        <v>987</v>
      </c>
      <c r="L523" s="7" t="s">
        <v>53</v>
      </c>
      <c r="M523" s="4" t="str">
        <f t="shared" si="33"/>
        <v>512GB</v>
      </c>
      <c r="N523" s="13" t="b">
        <v>1</v>
      </c>
      <c r="O523" s="13" t="b">
        <v>0</v>
      </c>
      <c r="P523" s="4" t="s">
        <v>992</v>
      </c>
      <c r="Q523" s="14" t="s">
        <v>976</v>
      </c>
      <c r="R523" s="4" t="s">
        <v>753</v>
      </c>
      <c r="S523" s="10">
        <v>40250000</v>
      </c>
      <c r="T523" s="4" t="e">
        <f>INDEX(Employee!#REF!,MATCH(U523,Employee!#REF!,0))</f>
        <v>#REF!</v>
      </c>
      <c r="U523" s="4" t="s">
        <v>345</v>
      </c>
      <c r="V523" s="4" t="e">
        <f>INDEX(Employee!#REF!,MATCH(U523,Employee!#REF!,0))</f>
        <v>#REF!</v>
      </c>
      <c r="W523" s="4" t="e">
        <f>INDEX(Employee!#REF!,MATCH(U523,Employee!#REF!,0))</f>
        <v>#REF!</v>
      </c>
      <c r="X523" s="4" t="e">
        <f>INDEX(Employee!#REF!,MATCH(U523,Employee!#REF!,0))</f>
        <v>#REF!</v>
      </c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 t="e">
        <f>INDEX(Employee!C:C,MATCH(AK523,Employee!B:B,0))</f>
        <v>#N/A</v>
      </c>
      <c r="AK523" s="4"/>
      <c r="AL523" s="4" t="e">
        <f>INDEX(Employee!D:D,MATCH(AK523,Employee!B:B,0))</f>
        <v>#N/A</v>
      </c>
      <c r="AM523" s="4" t="e">
        <f>INDEX(Employee!F:F,MATCH(AK523,Employee!B:B,0))</f>
        <v>#N/A</v>
      </c>
      <c r="AN523" s="4" t="e">
        <f>INDEX(Employee!H:H,MATCH(AK523,Employee!B:B,0))</f>
        <v>#N/A</v>
      </c>
      <c r="AO523" s="4"/>
      <c r="AP523" s="4"/>
      <c r="AQ523" s="4"/>
      <c r="AR523" s="4"/>
      <c r="AS523" s="4"/>
      <c r="CH523" s="6"/>
    </row>
    <row r="524" spans="1:86" hidden="1">
      <c r="A524" s="3">
        <f t="shared" si="32"/>
        <v>523</v>
      </c>
      <c r="B524" s="4" t="s">
        <v>14</v>
      </c>
      <c r="C524" s="4" t="s">
        <v>3</v>
      </c>
      <c r="D524" s="4" t="str">
        <f>INDEX(Employee!E:E,MATCH(AK524,Employee!B:B,0))</f>
        <v>Project</v>
      </c>
      <c r="E524" s="4" t="str">
        <f>INDEX(Employee!F:F,MATCH(AK524,Employee!B:B,0))</f>
        <v>Tech</v>
      </c>
      <c r="F524" s="4" t="str">
        <f>INDEX(Employee!G:G,MATCH(AK524,Employee!B:B,0))</f>
        <v>Venture</v>
      </c>
      <c r="G524" s="4" t="s">
        <v>15</v>
      </c>
      <c r="H524" s="4"/>
      <c r="I524" s="4" t="str">
        <f t="shared" si="34"/>
        <v>LAP0146</v>
      </c>
      <c r="J524" s="4" t="s">
        <v>115</v>
      </c>
      <c r="K524" s="7" t="s">
        <v>987</v>
      </c>
      <c r="L524" s="7" t="s">
        <v>53</v>
      </c>
      <c r="M524" s="4" t="str">
        <f t="shared" si="33"/>
        <v>512GB</v>
      </c>
      <c r="N524" s="13" t="b">
        <v>1</v>
      </c>
      <c r="O524" s="13" t="b">
        <v>0</v>
      </c>
      <c r="P524" s="4" t="s">
        <v>993</v>
      </c>
      <c r="Q524" s="14" t="s">
        <v>976</v>
      </c>
      <c r="R524" s="4" t="s">
        <v>753</v>
      </c>
      <c r="S524" s="10">
        <v>40250000</v>
      </c>
      <c r="T524" s="4" t="e">
        <f>INDEX(Employee!#REF!,MATCH(U524,Employee!#REF!,0))</f>
        <v>#REF!</v>
      </c>
      <c r="U524" s="4" t="s">
        <v>345</v>
      </c>
      <c r="V524" s="4" t="e">
        <f>INDEX(Employee!#REF!,MATCH(U524,Employee!#REF!,0))</f>
        <v>#REF!</v>
      </c>
      <c r="W524" s="4" t="e">
        <f>INDEX(Employee!#REF!,MATCH(U524,Employee!#REF!,0))</f>
        <v>#REF!</v>
      </c>
      <c r="X524" s="4" t="e">
        <f>INDEX(Employee!#REF!,MATCH(U524,Employee!#REF!,0))</f>
        <v>#REF!</v>
      </c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 t="str">
        <f>INDEX(Employee!C:C,MATCH(AK524,Employee!B:B,0))</f>
        <v>Hồ Ngọc Danh</v>
      </c>
      <c r="AK524" s="4" t="s">
        <v>647</v>
      </c>
      <c r="AL524" s="4" t="str">
        <f>INDEX(Employee!D:D,MATCH(AK524,Employee!B:B,0))</f>
        <v>Senior Software Engineer</v>
      </c>
      <c r="AM524" s="4" t="str">
        <f>INDEX(Employee!F:F,MATCH(AK524,Employee!B:B,0))</f>
        <v>Tech</v>
      </c>
      <c r="AN524" s="4" t="str">
        <f>INDEX(Employee!H:H,MATCH(AK524,Employee!B:B,0))</f>
        <v>Đoàn Nhật Duẩn (duandn)</v>
      </c>
      <c r="AO524" s="4"/>
      <c r="AP524" s="4"/>
      <c r="AQ524" s="4"/>
      <c r="AR524" s="4"/>
      <c r="AS524" s="4"/>
      <c r="CH524" s="6"/>
    </row>
    <row r="525" spans="1:86" hidden="1">
      <c r="A525" s="3">
        <f t="shared" si="32"/>
        <v>524</v>
      </c>
      <c r="B525" s="4" t="s">
        <v>14</v>
      </c>
      <c r="C525" s="4" t="s">
        <v>4</v>
      </c>
      <c r="D525" s="4" t="e">
        <f>INDEX(Employee!E:E,MATCH(AK525,Employee!B:B,0))</f>
        <v>#N/A</v>
      </c>
      <c r="E525" s="4" t="e">
        <f>INDEX(Employee!F:F,MATCH(AK525,Employee!B:B,0))</f>
        <v>#N/A</v>
      </c>
      <c r="F525" s="4" t="e">
        <f>INDEX(Employee!G:G,MATCH(AK525,Employee!B:B,0))</f>
        <v>#N/A</v>
      </c>
      <c r="G525" s="4" t="s">
        <v>15</v>
      </c>
      <c r="H525" s="4"/>
      <c r="I525" s="4" t="str">
        <f t="shared" si="34"/>
        <v>LAP0147</v>
      </c>
      <c r="J525" s="4" t="s">
        <v>115</v>
      </c>
      <c r="K525" s="7" t="s">
        <v>987</v>
      </c>
      <c r="L525" s="7" t="s">
        <v>53</v>
      </c>
      <c r="M525" s="4" t="str">
        <f t="shared" si="33"/>
        <v>512GB</v>
      </c>
      <c r="N525" s="13" t="b">
        <v>1</v>
      </c>
      <c r="O525" s="13" t="b">
        <v>0</v>
      </c>
      <c r="P525" s="4" t="s">
        <v>994</v>
      </c>
      <c r="Q525" s="14" t="s">
        <v>976</v>
      </c>
      <c r="R525" s="4" t="s">
        <v>753</v>
      </c>
      <c r="S525" s="10">
        <v>40250000</v>
      </c>
      <c r="T525" s="4" t="e">
        <f>INDEX(Employee!#REF!,MATCH(U525,Employee!#REF!,0))</f>
        <v>#REF!</v>
      </c>
      <c r="U525" s="4" t="s">
        <v>345</v>
      </c>
      <c r="V525" s="4" t="e">
        <f>INDEX(Employee!#REF!,MATCH(U525,Employee!#REF!,0))</f>
        <v>#REF!</v>
      </c>
      <c r="W525" s="4" t="e">
        <f>INDEX(Employee!#REF!,MATCH(U525,Employee!#REF!,0))</f>
        <v>#REF!</v>
      </c>
      <c r="X525" s="4" t="e">
        <f>INDEX(Employee!#REF!,MATCH(U525,Employee!#REF!,0))</f>
        <v>#REF!</v>
      </c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 t="e">
        <f>INDEX(Employee!C:C,MATCH(AK525,Employee!B:B,0))</f>
        <v>#N/A</v>
      </c>
      <c r="AK525" s="4"/>
      <c r="AL525" s="4" t="e">
        <f>INDEX(Employee!D:D,MATCH(AK525,Employee!B:B,0))</f>
        <v>#N/A</v>
      </c>
      <c r="AM525" s="4" t="e">
        <f>INDEX(Employee!F:F,MATCH(AK525,Employee!B:B,0))</f>
        <v>#N/A</v>
      </c>
      <c r="AN525" s="4" t="e">
        <f>INDEX(Employee!H:H,MATCH(AK525,Employee!B:B,0))</f>
        <v>#N/A</v>
      </c>
      <c r="AO525" s="4"/>
      <c r="AP525" s="4"/>
      <c r="AQ525" s="4"/>
      <c r="AR525" s="4"/>
      <c r="AS525" s="4"/>
      <c r="CH525" s="6"/>
    </row>
    <row r="526" spans="1:86" hidden="1">
      <c r="A526" s="3">
        <f t="shared" si="32"/>
        <v>525</v>
      </c>
      <c r="B526" s="4" t="s">
        <v>14</v>
      </c>
      <c r="C526" s="4" t="s">
        <v>3</v>
      </c>
      <c r="D526" s="4">
        <f>INDEX(Employee!E:E,MATCH(AK526,Employee!B:B,0))</f>
        <v>0</v>
      </c>
      <c r="E526" s="4" t="str">
        <f>INDEX(Employee!F:F,MATCH(AK526,Employee!B:B,0))</f>
        <v>OP</v>
      </c>
      <c r="F526" s="4">
        <f>INDEX(Employee!G:G,MATCH(AK526,Employee!B:B,0))</f>
        <v>0</v>
      </c>
      <c r="G526" s="4" t="s">
        <v>119</v>
      </c>
      <c r="H526" s="4"/>
      <c r="I526" s="4" t="str">
        <f t="shared" si="34"/>
        <v>LAP0148</v>
      </c>
      <c r="J526" s="4" t="s">
        <v>115</v>
      </c>
      <c r="K526" s="7" t="s">
        <v>987</v>
      </c>
      <c r="L526" s="7" t="s">
        <v>53</v>
      </c>
      <c r="M526" s="4" t="str">
        <f t="shared" si="33"/>
        <v>512GB</v>
      </c>
      <c r="N526" s="13" t="b">
        <v>0</v>
      </c>
      <c r="O526" s="13" t="b">
        <v>0</v>
      </c>
      <c r="P526" s="4" t="s">
        <v>995</v>
      </c>
      <c r="Q526" s="14" t="s">
        <v>976</v>
      </c>
      <c r="R526" s="4" t="s">
        <v>753</v>
      </c>
      <c r="S526" s="10">
        <v>40250000</v>
      </c>
      <c r="T526" s="4" t="e">
        <f>INDEX(Employee!#REF!,MATCH(U526,Employee!#REF!,0))</f>
        <v>#REF!</v>
      </c>
      <c r="U526" s="4" t="s">
        <v>345</v>
      </c>
      <c r="V526" s="4" t="e">
        <f>INDEX(Employee!#REF!,MATCH(U526,Employee!#REF!,0))</f>
        <v>#REF!</v>
      </c>
      <c r="W526" s="4" t="e">
        <f>INDEX(Employee!#REF!,MATCH(U526,Employee!#REF!,0))</f>
        <v>#REF!</v>
      </c>
      <c r="X526" s="4" t="e">
        <f>INDEX(Employee!#REF!,MATCH(U526,Employee!#REF!,0))</f>
        <v>#REF!</v>
      </c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 t="str">
        <f>INDEX(Employee!C:C,MATCH(AK526,Employee!B:B,0))</f>
        <v>Nguyễn Thị Hoàng Yến</v>
      </c>
      <c r="AK526" s="4" t="s">
        <v>400</v>
      </c>
      <c r="AL526" s="4" t="str">
        <f>INDEX(Employee!D:D,MATCH(AK526,Employee!B:B,0))</f>
        <v>Senior Database Developer</v>
      </c>
      <c r="AM526" s="4" t="str">
        <f>INDEX(Employee!F:F,MATCH(AK526,Employee!B:B,0))</f>
        <v>OP</v>
      </c>
      <c r="AN526" s="4" t="str">
        <f>INDEX(Employee!H:H,MATCH(AK526,Employee!B:B,0))</f>
        <v>Dương Huỳnh Nghĩa (nghiadh)</v>
      </c>
      <c r="AO526" s="4"/>
      <c r="AP526" s="4"/>
      <c r="AQ526" s="4"/>
      <c r="AR526" s="4"/>
      <c r="AS526" s="4"/>
      <c r="CH526" s="6"/>
    </row>
    <row r="527" spans="1:86" hidden="1">
      <c r="A527" s="3">
        <f t="shared" si="32"/>
        <v>526</v>
      </c>
      <c r="B527" s="4" t="s">
        <v>14</v>
      </c>
      <c r="C527" s="4" t="s">
        <v>3</v>
      </c>
      <c r="D527" s="4" t="str">
        <f>INDEX(Employee!E:E,MATCH(AK527,Employee!B:B,0))</f>
        <v>Undirect IT Staff</v>
      </c>
      <c r="E527" s="4" t="str">
        <f>INDEX(Employee!F:F,MATCH(AK527,Employee!B:B,0))</f>
        <v>Tech</v>
      </c>
      <c r="F527" s="4" t="str">
        <f>INDEX(Employee!G:G,MATCH(AK527,Employee!B:B,0))</f>
        <v>Operation Team</v>
      </c>
      <c r="G527" s="4" t="s">
        <v>15</v>
      </c>
      <c r="H527" s="4"/>
      <c r="I527" s="4" t="str">
        <f t="shared" si="34"/>
        <v>LAP0149</v>
      </c>
      <c r="J527" s="4" t="s">
        <v>115</v>
      </c>
      <c r="K527" s="7" t="s">
        <v>987</v>
      </c>
      <c r="L527" s="7" t="s">
        <v>53</v>
      </c>
      <c r="M527" s="4" t="str">
        <f t="shared" si="33"/>
        <v>512GB</v>
      </c>
      <c r="N527" s="13" t="b">
        <v>1</v>
      </c>
      <c r="O527" s="13" t="b">
        <v>1</v>
      </c>
      <c r="P527" s="4" t="s">
        <v>996</v>
      </c>
      <c r="Q527" s="14" t="s">
        <v>976</v>
      </c>
      <c r="R527" s="4" t="s">
        <v>753</v>
      </c>
      <c r="S527" s="10">
        <v>40250000</v>
      </c>
      <c r="T527" s="4" t="e">
        <f>INDEX(Employee!#REF!,MATCH(U527,Employee!#REF!,0))</f>
        <v>#REF!</v>
      </c>
      <c r="U527" s="4" t="s">
        <v>345</v>
      </c>
      <c r="V527" s="4" t="e">
        <f>INDEX(Employee!#REF!,MATCH(U527,Employee!#REF!,0))</f>
        <v>#REF!</v>
      </c>
      <c r="W527" s="4" t="e">
        <f>INDEX(Employee!#REF!,MATCH(U527,Employee!#REF!,0))</f>
        <v>#REF!</v>
      </c>
      <c r="X527" s="4" t="e">
        <f>INDEX(Employee!#REF!,MATCH(U527,Employee!#REF!,0))</f>
        <v>#REF!</v>
      </c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 t="str">
        <f>INDEX(Employee!C:C,MATCH(AK527,Employee!B:B,0))</f>
        <v>Nguyễn Viết Khải</v>
      </c>
      <c r="AK527" s="4" t="s">
        <v>103</v>
      </c>
      <c r="AL527" s="4" t="str">
        <f>INDEX(Employee!D:D,MATCH(AK527,Employee!B:B,0))</f>
        <v>Lead IT Support Engineer</v>
      </c>
      <c r="AM527" s="4" t="str">
        <f>INDEX(Employee!F:F,MATCH(AK527,Employee!B:B,0))</f>
        <v>Tech</v>
      </c>
      <c r="AN527" s="4" t="str">
        <f>INDEX(Employee!H:H,MATCH(AK527,Employee!B:B,0))</f>
        <v>Đoàn Hải Nam</v>
      </c>
      <c r="AO527" s="4"/>
      <c r="AP527" s="4"/>
      <c r="AQ527" s="4"/>
      <c r="AR527" s="4"/>
      <c r="AS527" s="4"/>
      <c r="CH527" s="6"/>
    </row>
    <row r="528" spans="1:86" hidden="1">
      <c r="A528" s="3">
        <f t="shared" si="32"/>
        <v>527</v>
      </c>
      <c r="B528" s="4" t="s">
        <v>14</v>
      </c>
      <c r="C528" s="4" t="s">
        <v>3</v>
      </c>
      <c r="D528" s="4" t="str">
        <f>INDEX(Employee!E:E,MATCH(AK528,Employee!B:B,0))</f>
        <v>CTD</v>
      </c>
      <c r="E528" s="4" t="str">
        <f>INDEX(Employee!F:F,MATCH(AK528,Employee!B:B,0))</f>
        <v>CTD</v>
      </c>
      <c r="F528" s="4" t="str">
        <f>INDEX(Employee!G:G,MATCH(AK528,Employee!B:B,0))</f>
        <v>CTD</v>
      </c>
      <c r="G528" s="4" t="s">
        <v>15</v>
      </c>
      <c r="H528" s="4"/>
      <c r="I528" s="4" t="str">
        <f t="shared" si="34"/>
        <v>LAP0150</v>
      </c>
      <c r="J528" s="4" t="s">
        <v>115</v>
      </c>
      <c r="K528" s="7" t="s">
        <v>987</v>
      </c>
      <c r="L528" s="7" t="s">
        <v>53</v>
      </c>
      <c r="M528" s="4" t="str">
        <f t="shared" si="33"/>
        <v>512GB</v>
      </c>
      <c r="N528" s="13" t="b">
        <v>1</v>
      </c>
      <c r="O528" s="13" t="b">
        <v>0</v>
      </c>
      <c r="P528" s="4" t="s">
        <v>997</v>
      </c>
      <c r="Q528" s="14" t="s">
        <v>976</v>
      </c>
      <c r="R528" s="4" t="s">
        <v>753</v>
      </c>
      <c r="S528" s="10">
        <v>40250000</v>
      </c>
      <c r="T528" s="4" t="e">
        <f>INDEX(Employee!#REF!,MATCH(U528,Employee!#REF!,0))</f>
        <v>#REF!</v>
      </c>
      <c r="U528" s="4" t="s">
        <v>345</v>
      </c>
      <c r="V528" s="4" t="e">
        <f>INDEX(Employee!#REF!,MATCH(U528,Employee!#REF!,0))</f>
        <v>#REF!</v>
      </c>
      <c r="W528" s="4" t="e">
        <f>INDEX(Employee!#REF!,MATCH(U528,Employee!#REF!,0))</f>
        <v>#REF!</v>
      </c>
      <c r="X528" s="4" t="e">
        <f>INDEX(Employee!#REF!,MATCH(U528,Employee!#REF!,0))</f>
        <v>#REF!</v>
      </c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 t="str">
        <f>INDEX(Employee!C:C,MATCH(AK528,Employee!B:B,0))</f>
        <v>Nguyễn Thị My Sa</v>
      </c>
      <c r="AK528" s="4" t="s">
        <v>475</v>
      </c>
      <c r="AL528" s="4" t="str">
        <f>INDEX(Employee!D:D,MATCH(AK528,Employee!B:B,0))</f>
        <v>HR Business Partner</v>
      </c>
      <c r="AM528" s="4" t="str">
        <f>INDEX(Employee!F:F,MATCH(AK528,Employee!B:B,0))</f>
        <v>CTD</v>
      </c>
      <c r="AN528" s="4" t="str">
        <f>INDEX(Employee!H:H,MATCH(AK528,Employee!B:B,0))</f>
        <v>Nguyễn Trình Thùy Trang</v>
      </c>
      <c r="AO528" s="4"/>
      <c r="AP528" s="4"/>
      <c r="AQ528" s="4"/>
      <c r="AR528" s="4"/>
      <c r="AS528" s="4"/>
      <c r="CH528" s="6"/>
    </row>
    <row r="529" spans="1:102" hidden="1">
      <c r="A529" s="3">
        <f t="shared" si="32"/>
        <v>528</v>
      </c>
      <c r="B529" s="4" t="s">
        <v>22</v>
      </c>
      <c r="C529" s="4" t="s">
        <v>3</v>
      </c>
      <c r="D529" s="4" t="str">
        <f>INDEX(Employee!E:E,MATCH(AK529,Employee!B:B,0))</f>
        <v>AM</v>
      </c>
      <c r="E529" s="4" t="str">
        <f>INDEX(Employee!F:F,MATCH(AK529,Employee!B:B,0))</f>
        <v>Sales</v>
      </c>
      <c r="F529" s="4" t="str">
        <f>INDEX(Employee!G:G,MATCH(AK529,Employee!B:B,0))</f>
        <v>Resource Pool</v>
      </c>
      <c r="G529" s="4" t="s">
        <v>15</v>
      </c>
      <c r="H529" s="4"/>
      <c r="I529" s="4" t="s">
        <v>998</v>
      </c>
      <c r="J529" s="4" t="s">
        <v>678</v>
      </c>
      <c r="K529" s="4" t="s">
        <v>679</v>
      </c>
      <c r="L529" s="4"/>
      <c r="M529" s="4"/>
      <c r="N529" s="13" t="b">
        <v>0</v>
      </c>
      <c r="O529" s="13" t="b">
        <v>0</v>
      </c>
      <c r="P529" s="4"/>
      <c r="Q529" s="14" t="s">
        <v>752</v>
      </c>
      <c r="R529" s="4" t="s">
        <v>753</v>
      </c>
      <c r="S529" s="10">
        <v>769000</v>
      </c>
      <c r="T529" s="4" t="e">
        <f>INDEX(Employee!#REF!,MATCH(U529,Employee!#REF!,0))</f>
        <v>#REF!</v>
      </c>
      <c r="U529" s="4" t="s">
        <v>292</v>
      </c>
      <c r="V529" s="4" t="e">
        <f>INDEX(Employee!#REF!,MATCH(U529,Employee!#REF!,0))</f>
        <v>#REF!</v>
      </c>
      <c r="W529" s="4" t="e">
        <f>INDEX(Employee!#REF!,MATCH(U529,Employee!#REF!,0))</f>
        <v>#REF!</v>
      </c>
      <c r="X529" s="4" t="e">
        <f>INDEX(Employee!#REF!,MATCH(U529,Employee!#REF!,0))</f>
        <v>#REF!</v>
      </c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 t="str">
        <f>INDEX(Employee!C:C,MATCH(AK529,Employee!B:B,0))</f>
        <v>Bùi Tuấn Huy</v>
      </c>
      <c r="AK529" s="4" t="s">
        <v>238</v>
      </c>
      <c r="AL529" s="4" t="str">
        <f>INDEX(Employee!D:D,MATCH(AK529,Employee!B:B,0))</f>
        <v>Regional Business Manager</v>
      </c>
      <c r="AM529" s="4" t="str">
        <f>INDEX(Employee!F:F,MATCH(AK529,Employee!B:B,0))</f>
        <v>Sales</v>
      </c>
      <c r="AN529" s="4" t="str">
        <f>INDEX(Employee!H:H,MATCH(AK529,Employee!B:B,0))</f>
        <v>Đoàn Hải Nam</v>
      </c>
      <c r="AO529" s="4"/>
      <c r="AP529" s="4"/>
      <c r="AQ529" s="4"/>
      <c r="AR529" s="4"/>
      <c r="AS529" s="4" t="s">
        <v>417</v>
      </c>
      <c r="CH529" s="6"/>
      <c r="CX529" s="6"/>
    </row>
    <row r="530" spans="1:102" hidden="1">
      <c r="A530" s="3">
        <f t="shared" si="32"/>
        <v>529</v>
      </c>
      <c r="B530" s="4" t="s">
        <v>34</v>
      </c>
      <c r="C530" s="4" t="s">
        <v>3</v>
      </c>
      <c r="D530" s="4">
        <f>INDEX(Employee!E:E,MATCH(AK530,Employee!B:B,0))</f>
        <v>0</v>
      </c>
      <c r="E530" s="4" t="str">
        <f>INDEX(Employee!F:F,MATCH(AK530,Employee!B:B,0))</f>
        <v>IPL</v>
      </c>
      <c r="F530" s="4">
        <f>INDEX(Employee!G:G,MATCH(AK530,Employee!B:B,0))</f>
        <v>0</v>
      </c>
      <c r="G530" s="4" t="s">
        <v>119</v>
      </c>
      <c r="H530" s="4"/>
      <c r="I530" s="4" t="s">
        <v>999</v>
      </c>
      <c r="J530" s="4" t="s">
        <v>1000</v>
      </c>
      <c r="K530" s="4" t="s">
        <v>1001</v>
      </c>
      <c r="L530" s="4"/>
      <c r="M530" s="4"/>
      <c r="N530" s="13" t="b">
        <v>0</v>
      </c>
      <c r="O530" s="13" t="b">
        <v>0</v>
      </c>
      <c r="P530" s="19" t="s">
        <v>1002</v>
      </c>
      <c r="Q530" s="14" t="s">
        <v>1003</v>
      </c>
      <c r="R530" s="4" t="s">
        <v>1004</v>
      </c>
      <c r="S530" s="10">
        <v>3780000</v>
      </c>
      <c r="T530" s="4" t="e">
        <f>INDEX(Employee!#REF!,MATCH(U530,Employee!#REF!,0))</f>
        <v>#REF!</v>
      </c>
      <c r="U530" s="4" t="s">
        <v>292</v>
      </c>
      <c r="V530" s="4" t="e">
        <f>INDEX(Employee!#REF!,MATCH(U530,Employee!#REF!,0))</f>
        <v>#REF!</v>
      </c>
      <c r="W530" s="4" t="e">
        <f>INDEX(Employee!#REF!,MATCH(U530,Employee!#REF!,0))</f>
        <v>#REF!</v>
      </c>
      <c r="X530" s="4" t="e">
        <f>INDEX(Employee!#REF!,MATCH(U530,Employee!#REF!,0))</f>
        <v>#REF!</v>
      </c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 t="str">
        <f>INDEX(Employee!C:C,MATCH(AK530,Employee!B:B,0))</f>
        <v>IPL Meeting Room</v>
      </c>
      <c r="AK530" s="4" t="s">
        <v>487</v>
      </c>
      <c r="AL530" s="4" t="str">
        <f>INDEX(Employee!D:D,MATCH(AK530,Employee!B:B,0))</f>
        <v>IPL</v>
      </c>
      <c r="AM530" s="4" t="str">
        <f>INDEX(Employee!F:F,MATCH(AK530,Employee!B:B,0))</f>
        <v>IPL</v>
      </c>
      <c r="AN530" s="4" t="str">
        <f>INDEX(Employee!H:H,MATCH(AK530,Employee!B:B,0))</f>
        <v>IPL</v>
      </c>
      <c r="AO530" s="4"/>
      <c r="AP530" s="4"/>
      <c r="AQ530" s="4"/>
      <c r="AR530" s="4"/>
      <c r="AS530" s="4"/>
      <c r="CH530" s="6"/>
      <c r="CX530" s="6"/>
    </row>
    <row r="531" spans="1:102" hidden="1">
      <c r="A531" s="3">
        <f t="shared" si="32"/>
        <v>530</v>
      </c>
      <c r="B531" s="4" t="s">
        <v>21</v>
      </c>
      <c r="C531" s="4" t="s">
        <v>3</v>
      </c>
      <c r="D531" s="4">
        <f>INDEX(Employee!E:E,MATCH(AK531,Employee!B:B,0))</f>
        <v>0</v>
      </c>
      <c r="E531" s="4" t="str">
        <f>INDEX(Employee!F:F,MATCH(AK531,Employee!B:B,0))</f>
        <v>IPL</v>
      </c>
      <c r="F531" s="4">
        <f>INDEX(Employee!G:G,MATCH(AK531,Employee!B:B,0))</f>
        <v>0</v>
      </c>
      <c r="G531" s="4" t="s">
        <v>119</v>
      </c>
      <c r="H531" s="4"/>
      <c r="I531" s="4" t="s">
        <v>1005</v>
      </c>
      <c r="J531" s="4" t="s">
        <v>1006</v>
      </c>
      <c r="K531" s="7" t="s">
        <v>1007</v>
      </c>
      <c r="L531" s="7"/>
      <c r="M531" s="7"/>
      <c r="N531" s="13" t="b">
        <v>0</v>
      </c>
      <c r="O531" s="13" t="b">
        <v>0</v>
      </c>
      <c r="P531" s="4" t="s">
        <v>1008</v>
      </c>
      <c r="Q531" s="14" t="s">
        <v>1009</v>
      </c>
      <c r="R531" s="4" t="s">
        <v>1010</v>
      </c>
      <c r="S531" s="10">
        <v>1500000</v>
      </c>
      <c r="T531" s="4" t="e">
        <f>INDEX(Employee!#REF!,MATCH(U531,Employee!#REF!,0))</f>
        <v>#REF!</v>
      </c>
      <c r="U531" s="4" t="s">
        <v>248</v>
      </c>
      <c r="V531" s="4" t="e">
        <f>INDEX(Employee!#REF!,MATCH(U531,Employee!#REF!,0))</f>
        <v>#REF!</v>
      </c>
      <c r="W531" s="4" t="e">
        <f>INDEX(Employee!#REF!,MATCH(U531,Employee!#REF!,0))</f>
        <v>#REF!</v>
      </c>
      <c r="X531" s="4" t="e">
        <f>INDEX(Employee!#REF!,MATCH(U531,Employee!#REF!,0))</f>
        <v>#REF!</v>
      </c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 t="str">
        <f>INDEX(Employee!C:C,MATCH(AK531,Employee!B:B,0))</f>
        <v>Reception</v>
      </c>
      <c r="AK531" s="4" t="s">
        <v>501</v>
      </c>
      <c r="AL531" s="4" t="str">
        <f>INDEX(Employee!D:D,MATCH(AK531,Employee!B:B,0))</f>
        <v>IPL</v>
      </c>
      <c r="AM531" s="4" t="str">
        <f>INDEX(Employee!F:F,MATCH(AK531,Employee!B:B,0))</f>
        <v>IPL</v>
      </c>
      <c r="AN531" s="4" t="str">
        <f>INDEX(Employee!H:H,MATCH(AK531,Employee!B:B,0))</f>
        <v>IPL</v>
      </c>
      <c r="AO531" s="4"/>
      <c r="AP531" s="4"/>
      <c r="AQ531" s="4"/>
      <c r="AR531" s="4"/>
      <c r="AS531" s="4"/>
      <c r="BR531" s="6"/>
    </row>
    <row r="532" spans="1:102" hidden="1">
      <c r="A532" s="3"/>
      <c r="B532" s="4"/>
      <c r="C532" s="4"/>
      <c r="D532" s="4"/>
      <c r="E532" s="4"/>
      <c r="F532" s="4"/>
      <c r="G532" s="4"/>
      <c r="H532" s="4"/>
      <c r="I532" s="4"/>
      <c r="J532" s="4"/>
      <c r="K532" s="7"/>
      <c r="L532" s="7"/>
      <c r="M532" s="7"/>
      <c r="N532" s="13" t="b">
        <v>0</v>
      </c>
      <c r="O532" s="13" t="b">
        <v>0</v>
      </c>
      <c r="P532" s="4"/>
      <c r="Q532" s="14"/>
      <c r="R532" s="4"/>
      <c r="S532" s="10"/>
      <c r="T532" s="4" t="e">
        <f>INDEX(Employee!#REF!,MATCH(U532,Employee!#REF!,0))</f>
        <v>#REF!</v>
      </c>
      <c r="U532" s="4" t="s">
        <v>256</v>
      </c>
      <c r="V532" s="4" t="e">
        <f>INDEX(Employee!#REF!,MATCH(U532,Employee!#REF!,0))</f>
        <v>#REF!</v>
      </c>
      <c r="W532" s="4" t="e">
        <f>INDEX(Employee!#REF!,MATCH(U532,Employee!#REF!,0))</f>
        <v>#REF!</v>
      </c>
      <c r="X532" s="4" t="e">
        <f>INDEX(Employee!#REF!,MATCH(U532,Employee!#REF!,0))</f>
        <v>#REF!</v>
      </c>
      <c r="Y532" s="4"/>
      <c r="Z532" s="4"/>
      <c r="AA532" s="4"/>
      <c r="AB532" s="4"/>
      <c r="AC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BR532" s="6"/>
    </row>
    <row r="537" spans="1:102">
      <c r="S537" s="107"/>
    </row>
  </sheetData>
  <autoFilter ref="A1:AS532" xr:uid="{03620B48-E951-4155-9518-473C3E20D000}">
    <filterColumn colId="6">
      <filters>
        <filter val="HCM"/>
        <filter val="HN"/>
      </filters>
    </filterColumn>
    <filterColumn colId="36">
      <filters>
        <filter val="linhptt"/>
      </filters>
    </filterColumn>
    <sortState xmlns:xlrd2="http://schemas.microsoft.com/office/spreadsheetml/2017/richdata2" ref="A2:AS531">
      <sortCondition ref="AK1:AK531"/>
    </sortState>
  </autoFilter>
  <conditionalFormatting sqref="N316:AC351 I318:I355 A316:C351 E316:E351 G316:L351 M316:O355">
    <cfRule type="expression" dxfId="375" priority="340">
      <formula>$C316="In Use"</formula>
    </cfRule>
  </conditionalFormatting>
  <conditionalFormatting sqref="N352:AC355 A352:C355 E352:E355 G352:L355">
    <cfRule type="expression" dxfId="374" priority="317">
      <formula>$C352="In Use"</formula>
    </cfRule>
  </conditionalFormatting>
  <conditionalFormatting sqref="N509:AC528 A509:C528 E509:E528 G509:L528">
    <cfRule type="expression" dxfId="373" priority="206">
      <formula>$C509="In Stock"</formula>
    </cfRule>
  </conditionalFormatting>
  <conditionalFormatting sqref="N520:AC528 A509:C528 E509:E528 G509:L528">
    <cfRule type="expression" dxfId="372" priority="207">
      <formula>$C509="In Use"</formula>
    </cfRule>
  </conditionalFormatting>
  <conditionalFormatting sqref="N293:AC297 A292:C297 E292:E297 G292:M297">
    <cfRule type="expression" dxfId="371" priority="478">
      <formula>$C292="In Use"</formula>
    </cfRule>
  </conditionalFormatting>
  <conditionalFormatting sqref="R356:AS379 A356:C379 E356:E379 G356:P379">
    <cfRule type="expression" dxfId="370" priority="305">
      <formula>$C356="In Use"</formula>
    </cfRule>
  </conditionalFormatting>
  <conditionalFormatting sqref="R356:AS379 A356:C441 E356:E441 G356:P441">
    <cfRule type="expression" dxfId="369" priority="304">
      <formula>$C356="In Stock"</formula>
    </cfRule>
  </conditionalFormatting>
  <conditionalFormatting sqref="S440:AS504 A444:C504 E444:E504 G444:P504">
    <cfRule type="expression" dxfId="368" priority="267">
      <formula>$C440="In Stock"</formula>
    </cfRule>
  </conditionalFormatting>
  <conditionalFormatting sqref="I492:I504 A490:C503 E490:E503 G490:P503">
    <cfRule type="expression" dxfId="367" priority="282">
      <formula>$C490="In Use"</formula>
    </cfRule>
  </conditionalFormatting>
  <conditionalFormatting sqref="T529:AS529 A529:C529 E529 G529:P529">
    <cfRule type="expression" dxfId="366" priority="177">
      <formula>$C529="In Stock"</formula>
    </cfRule>
    <cfRule type="expression" dxfId="365" priority="178">
      <formula>$C529="In Use"</formula>
    </cfRule>
  </conditionalFormatting>
  <conditionalFormatting sqref="A530:C530 E530 G530:P530">
    <cfRule type="expression" dxfId="364" priority="142">
      <formula>$C530="In Stock"</formula>
    </cfRule>
    <cfRule type="expression" dxfId="363" priority="143">
      <formula>$C530="In Use"</formula>
    </cfRule>
  </conditionalFormatting>
  <conditionalFormatting sqref="A531:C531 E531 G531:S531">
    <cfRule type="expression" dxfId="362" priority="125">
      <formula>$C531="In Stock"</formula>
    </cfRule>
    <cfRule type="expression" dxfId="361" priority="126">
      <formula>$C531="In Use"</formula>
    </cfRule>
  </conditionalFormatting>
  <conditionalFormatting sqref="A532:C532 E532 G532:N532 P532:S532">
    <cfRule type="expression" dxfId="360" priority="67">
      <formula>$C532="In Stock"</formula>
    </cfRule>
    <cfRule type="expression" dxfId="359" priority="68">
      <formula>$C532="In Use"</formula>
    </cfRule>
  </conditionalFormatting>
  <conditionalFormatting sqref="AJ150:AJ190 N193:AS198 H2:H532 I257:I291 Q281:Q291 S281:S291 S356:S379 S380:AC439 AJ380:AJ439 P149:P155 N191:AC193 P441:P444 I111:I190 Q2:Q254 S2:S254 AK149:AS155 R380:R504 A442:C443 E442:E443 D3:D532 G442:O443 G150:AC155 G191:M198 G204:AC247 G253:AS254 G262:AS281 G252:AC281 G151:AS172 G173:AC190 E3:E281 G199:AS203 G205:AS251 F3:F532 A3:C281 O2:O532 G3:AS149 N2:O508 M509:O519 A2:AS2">
    <cfRule type="expression" dxfId="358" priority="581">
      <formula>$C2="In Stock"</formula>
    </cfRule>
  </conditionalFormatting>
  <conditionalFormatting sqref="P315:P355 A298:C315 E298:E315 G298:AC315">
    <cfRule type="expression" dxfId="357" priority="346">
      <formula>$C298="In Use"</formula>
    </cfRule>
  </conditionalFormatting>
  <conditionalFormatting sqref="C505:C508 A505:C505 E505 G505:AC505">
    <cfRule type="expression" dxfId="356" priority="260">
      <formula>$C505="In Use"</formula>
    </cfRule>
  </conditionalFormatting>
  <conditionalFormatting sqref="A505:C508 E505:E508 G505:AC508">
    <cfRule type="expression" dxfId="355" priority="247">
      <formula>$C505="In Stock"</formula>
    </cfRule>
  </conditionalFormatting>
  <conditionalFormatting sqref="A506:C508 E506:E508 G506:AC508">
    <cfRule type="expression" dxfId="354" priority="248">
      <formula>$C506="In Use"</formula>
    </cfRule>
  </conditionalFormatting>
  <conditionalFormatting sqref="A531:C531 E531 G531:AC531">
    <cfRule type="expression" dxfId="353" priority="123">
      <formula>$C531="Low Perf"</formula>
    </cfRule>
    <cfRule type="expression" dxfId="352" priority="124">
      <formula>$C531="Damaged"</formula>
    </cfRule>
  </conditionalFormatting>
  <conditionalFormatting sqref="A532:C532 E532 G532:N532 P532:AC532">
    <cfRule type="expression" dxfId="351" priority="65">
      <formula>$C532="Low Perf"</formula>
    </cfRule>
    <cfRule type="expression" dxfId="350" priority="66">
      <formula>$C532="Damaged"</formula>
    </cfRule>
  </conditionalFormatting>
  <conditionalFormatting sqref="Q2:Q254 S2:S254 H2:H532 I111:I190 P149:P155 AK149:AS155 AJ150:AJ190 N191:AC193 AJ197:AS294 I257:I291 Q281:Q291 S281:S291 S356:S379 S380:AC439 AJ380:AJ439 R380:R504 P441:P444 AJ316:AJ349 AL316:AS349 AJ350:AS379 N193:AS198 E380:E489 A380:C489 D3:D532 G150:AC155 G191:M198 G204:AC247 G442:O443 G444:P489 G253:AS254 G262:AS281 G252:AC281 G151:AS172 G173:AC190 G380:P441 E3:E281 G199:AS203 G205:AS251 F3:F532 A3:C281 O2:O532 G3:AS149 N2:O508 M509:O519 A2:AS2">
    <cfRule type="expression" dxfId="349" priority="582">
      <formula>$C2="In Use"</formula>
    </cfRule>
  </conditionalFormatting>
  <conditionalFormatting sqref="H156:H531 E3:E528 D3:D532 F3:F532 A3:C528 O2:O532 G3:AS528 A2:AS2">
    <cfRule type="expression" dxfId="348" priority="199">
      <formula>$C2="Damaged"</formula>
    </cfRule>
  </conditionalFormatting>
  <conditionalFormatting sqref="E3:E529 D3:D532 F3:F532 A3:C529 O2:O532 G3:AS529 A2:AS2">
    <cfRule type="expression" dxfId="347" priority="175">
      <formula>$C2="Low Perf"</formula>
    </cfRule>
  </conditionalFormatting>
  <conditionalFormatting sqref="Q288:Q291 S288:S291 A282:C288 E282:E288 G282:AS288">
    <cfRule type="expression" dxfId="346" priority="506">
      <formula>$C282="In Use"</formula>
    </cfRule>
  </conditionalFormatting>
  <conditionalFormatting sqref="A282:C291 E282:E291 G282:AS291">
    <cfRule type="expression" dxfId="345" priority="503">
      <formula>$C282="In Stock"</formula>
    </cfRule>
  </conditionalFormatting>
  <conditionalFormatting sqref="A289:C291 E289:E291 G289:AS291">
    <cfRule type="expression" dxfId="344" priority="504">
      <formula>$C289="In Use"</formula>
    </cfRule>
  </conditionalFormatting>
  <conditionalFormatting sqref="A529:C529 E529 G529:AS529">
    <cfRule type="expression" dxfId="343" priority="176">
      <formula>$C529="Damaged"</formula>
    </cfRule>
  </conditionalFormatting>
  <conditionalFormatting sqref="A530:C530 E530 G530:AS530">
    <cfRule type="expression" dxfId="342" priority="133">
      <formula>$C530="Low Perf"</formula>
    </cfRule>
    <cfRule type="expression" dxfId="341" priority="134">
      <formula>$C530="Damaged"</formula>
    </cfRule>
  </conditionalFormatting>
  <conditionalFormatting sqref="C2:C532">
    <cfRule type="expression" dxfId="340" priority="20">
      <formula>$C2="In Use"</formula>
    </cfRule>
  </conditionalFormatting>
  <conditionalFormatting sqref="C92 C171 C291">
    <cfRule type="expression" dxfId="339" priority="202">
      <formula>$C92="In Stock"</formula>
    </cfRule>
    <cfRule type="expression" dxfId="338" priority="203">
      <formula>$C92="In Use"</formula>
    </cfRule>
  </conditionalFormatting>
  <conditionalFormatting sqref="C282">
    <cfRule type="expression" dxfId="337" priority="230">
      <formula>$C282="In Stock"</formula>
    </cfRule>
    <cfRule type="expression" dxfId="336" priority="231">
      <formula>$C282="In Use"</formula>
    </cfRule>
    <cfRule type="expression" dxfId="335" priority="467">
      <formula>$C282="In Stock"</formula>
    </cfRule>
    <cfRule type="expression" dxfId="334" priority="468">
      <formula>$C282="In Use"</formula>
    </cfRule>
  </conditionalFormatting>
  <conditionalFormatting sqref="C282:C288">
    <cfRule type="expression" dxfId="333" priority="462">
      <formula>$C282="In Stock"</formula>
    </cfRule>
    <cfRule type="expression" dxfId="332" priority="463">
      <formula>$C282="In Use"</formula>
    </cfRule>
  </conditionalFormatting>
  <conditionalFormatting sqref="C285">
    <cfRule type="expression" dxfId="331" priority="73">
      <formula>$C285="In Stock"</formula>
    </cfRule>
    <cfRule type="expression" dxfId="330" priority="74">
      <formula>$C285="In Use"</formula>
    </cfRule>
  </conditionalFormatting>
  <conditionalFormatting sqref="C294">
    <cfRule type="expression" dxfId="329" priority="232">
      <formula>$C294="In Stock"</formula>
    </cfRule>
    <cfRule type="expression" dxfId="328" priority="233">
      <formula>$C294="In Use"</formula>
    </cfRule>
  </conditionalFormatting>
  <conditionalFormatting sqref="C326">
    <cfRule type="expression" dxfId="327" priority="45">
      <formula>$C326="In Stock"</formula>
    </cfRule>
    <cfRule type="expression" dxfId="326" priority="46">
      <formula>$C326="In Use"</formula>
    </cfRule>
    <cfRule type="expression" dxfId="325" priority="50">
      <formula>$C326="In Stock"</formula>
    </cfRule>
    <cfRule type="expression" dxfId="324" priority="51">
      <formula>$C326="In Use"</formula>
    </cfRule>
  </conditionalFormatting>
  <conditionalFormatting sqref="C343">
    <cfRule type="expression" dxfId="323" priority="166">
      <formula>$C343="In Stock"</formula>
    </cfRule>
    <cfRule type="expression" dxfId="322" priority="167">
      <formula>$C343="In Use"</formula>
    </cfRule>
  </conditionalFormatting>
  <conditionalFormatting sqref="C349">
    <cfRule type="expression" dxfId="321" priority="131">
      <formula>$C349="In Stock"</formula>
    </cfRule>
    <cfRule type="expression" dxfId="320" priority="132">
      <formula>$C349="In Use"</formula>
    </cfRule>
  </conditionalFormatting>
  <conditionalFormatting sqref="C355">
    <cfRule type="expression" dxfId="319" priority="312">
      <formula>$C355="In Stock"</formula>
    </cfRule>
    <cfRule type="expression" dxfId="318" priority="313">
      <formula>$C355="In Use"</formula>
    </cfRule>
  </conditionalFormatting>
  <conditionalFormatting sqref="C362">
    <cfRule type="expression" dxfId="317" priority="48">
      <formula>$C362="In Stock"</formula>
    </cfRule>
    <cfRule type="expression" dxfId="316" priority="49">
      <formula>$C362="In Use"</formula>
    </cfRule>
  </conditionalFormatting>
  <conditionalFormatting sqref="C445">
    <cfRule type="expression" dxfId="315" priority="47">
      <formula>$C445="In Stock"</formula>
    </cfRule>
  </conditionalFormatting>
  <conditionalFormatting sqref="C456">
    <cfRule type="expression" dxfId="314" priority="43">
      <formula>$C456="In Stock"</formula>
    </cfRule>
  </conditionalFormatting>
  <conditionalFormatting sqref="C485">
    <cfRule type="expression" dxfId="313" priority="42">
      <formula>$C485="In Stock"</formula>
    </cfRule>
  </conditionalFormatting>
  <conditionalFormatting sqref="C493">
    <cfRule type="expression" dxfId="312" priority="40">
      <formula>$C493="In Stock"</formula>
    </cfRule>
    <cfRule type="expression" dxfId="311" priority="41">
      <formula>$C493="In Use"</formula>
    </cfRule>
  </conditionalFormatting>
  <conditionalFormatting sqref="C498">
    <cfRule type="expression" dxfId="310" priority="70">
      <formula>$C498="In Stock"</formula>
    </cfRule>
    <cfRule type="expression" dxfId="309" priority="71">
      <formula>$C498="In Use"</formula>
    </cfRule>
  </conditionalFormatting>
  <conditionalFormatting sqref="C501">
    <cfRule type="expression" dxfId="308" priority="164">
      <formula>$C501="In Stock"</formula>
    </cfRule>
    <cfRule type="expression" dxfId="307" priority="165">
      <formula>$C501="In Use"</formula>
    </cfRule>
  </conditionalFormatting>
  <conditionalFormatting sqref="C505:C508">
    <cfRule type="expression" dxfId="306" priority="259">
      <formula>$C505="In Stock"</formula>
    </cfRule>
  </conditionalFormatting>
  <conditionalFormatting sqref="C526">
    <cfRule type="expression" dxfId="305" priority="102">
      <formula>$C526="In Stock"</formula>
    </cfRule>
    <cfRule type="expression" dxfId="304" priority="103">
      <formula>$C526="In Use"</formula>
    </cfRule>
  </conditionalFormatting>
  <conditionalFormatting sqref="C529">
    <cfRule type="expression" dxfId="303" priority="98">
      <formula>$C529="Low Perf"</formula>
    </cfRule>
    <cfRule type="expression" dxfId="302" priority="99">
      <formula>$C529="Damaged"</formula>
    </cfRule>
    <cfRule type="expression" dxfId="301" priority="100">
      <formula>$C529="In Stock"</formula>
    </cfRule>
    <cfRule type="expression" dxfId="300" priority="101">
      <formula>$C529="In Use"</formula>
    </cfRule>
  </conditionalFormatting>
  <conditionalFormatting sqref="G303:H303">
    <cfRule type="expression" dxfId="299" priority="168">
      <formula>$C303="In Stock"</formula>
    </cfRule>
    <cfRule type="expression" dxfId="298" priority="169">
      <formula>$C303="In Use"</formula>
    </cfRule>
  </conditionalFormatting>
  <conditionalFormatting sqref="G532:H532">
    <cfRule type="expression" dxfId="297" priority="62">
      <formula>$C532="In Stock"</formula>
    </cfRule>
    <cfRule type="expression" dxfId="296" priority="63">
      <formula>$C532="In Use"</formula>
    </cfRule>
  </conditionalFormatting>
  <conditionalFormatting sqref="H2:H532">
    <cfRule type="duplicateValues" dxfId="295" priority="941"/>
  </conditionalFormatting>
  <conditionalFormatting sqref="H2:I531">
    <cfRule type="expression" dxfId="294" priority="923">
      <formula>COUNTIF($I$2:$I$279,H2)&gt;1</formula>
    </cfRule>
  </conditionalFormatting>
  <conditionalFormatting sqref="H532:I532">
    <cfRule type="expression" dxfId="293" priority="69">
      <formula>COUNTIF($I$2:$I$279,H532)&gt;1</formula>
    </cfRule>
  </conditionalFormatting>
  <conditionalFormatting sqref="I1">
    <cfRule type="expression" dxfId="292" priority="593">
      <formula>COUNTIF(K:K,K1)&gt;1</formula>
    </cfRule>
  </conditionalFormatting>
  <conditionalFormatting sqref="I1:I1048576">
    <cfRule type="duplicateValues" dxfId="291" priority="234"/>
  </conditionalFormatting>
  <conditionalFormatting sqref="I356">
    <cfRule type="expression" dxfId="290" priority="235">
      <formula>$C356="In Stock"</formula>
    </cfRule>
    <cfRule type="expression" dxfId="289" priority="236">
      <formula>$C356="In Use"</formula>
    </cfRule>
    <cfRule type="expression" dxfId="288" priority="237">
      <formula>$C356="In Stock"</formula>
    </cfRule>
    <cfRule type="expression" dxfId="287" priority="238">
      <formula>$C356="In Use"</formula>
    </cfRule>
    <cfRule type="expression" dxfId="286" priority="239">
      <formula>$C356="In Stock"</formula>
    </cfRule>
    <cfRule type="expression" dxfId="285" priority="240">
      <formula>$C356="In Use"</formula>
    </cfRule>
    <cfRule type="expression" dxfId="284" priority="241">
      <formula>$C356="In Stock"</formula>
    </cfRule>
    <cfRule type="expression" dxfId="283" priority="242">
      <formula>$C356="In Use"</formula>
    </cfRule>
    <cfRule type="expression" dxfId="282" priority="243">
      <formula>$C356="In Stock"</formula>
    </cfRule>
    <cfRule type="expression" dxfId="281" priority="244">
      <formula>$C356="In Use"</formula>
    </cfRule>
    <cfRule type="expression" dxfId="280" priority="245">
      <formula>$C356="In Stock"</formula>
    </cfRule>
    <cfRule type="expression" dxfId="279" priority="246">
      <formula>$C356="In Use"</formula>
    </cfRule>
  </conditionalFormatting>
  <conditionalFormatting sqref="I492:I504">
    <cfRule type="expression" dxfId="278" priority="281">
      <formula>$C492="In Stock"</formula>
    </cfRule>
  </conditionalFormatting>
  <conditionalFormatting sqref="I529:I530">
    <cfRule type="expression" dxfId="277" priority="190">
      <formula>$C529="In Stock"</formula>
    </cfRule>
    <cfRule type="expression" dxfId="276" priority="191">
      <formula>$C529="In Use"</formula>
    </cfRule>
  </conditionalFormatting>
  <conditionalFormatting sqref="L182:O182">
    <cfRule type="expression" dxfId="275" priority="833">
      <formula>COUNTIF($P$2:$P$279,L182)&gt;1</formula>
    </cfRule>
  </conditionalFormatting>
  <conditionalFormatting sqref="I318:I355 M316:O355">
    <cfRule type="expression" dxfId="274" priority="339">
      <formula>$C316="In Stock"</formula>
    </cfRule>
  </conditionalFormatting>
  <conditionalFormatting sqref="M520:O528">
    <cfRule type="expression" dxfId="273" priority="210">
      <formula>$C520="In Stock"</formula>
    </cfRule>
    <cfRule type="expression" dxfId="272" priority="211">
      <formula>$C520="In Use"</formula>
    </cfRule>
  </conditionalFormatting>
  <conditionalFormatting sqref="N490:O504 AJ490:AS504">
    <cfRule type="expression" dxfId="271" priority="289">
      <formula>$C490="In Use"</formula>
    </cfRule>
  </conditionalFormatting>
  <conditionalFormatting sqref="N490:O504">
    <cfRule type="expression" dxfId="270" priority="288">
      <formula>$C490="In Stock"</formula>
    </cfRule>
  </conditionalFormatting>
  <conditionalFormatting sqref="N529:O530 AJ529:AS529 AJ530 AL530:AS530">
    <cfRule type="expression" dxfId="269" priority="193">
      <formula>$C529="In Use"</formula>
    </cfRule>
  </conditionalFormatting>
  <conditionalFormatting sqref="N529:O530">
    <cfRule type="expression" dxfId="268" priority="192">
      <formula>$C529="In Stock"</formula>
    </cfRule>
    <cfRule type="expression" dxfId="267" priority="196">
      <formula>$C529="In Stock"</formula>
    </cfRule>
    <cfRule type="expression" dxfId="266" priority="197">
      <formula>$C529="In Use"</formula>
    </cfRule>
  </conditionalFormatting>
  <conditionalFormatting sqref="N531:O531 N532">
    <cfRule type="expression" dxfId="265" priority="127">
      <formula>$C531="In Stock"</formula>
    </cfRule>
    <cfRule type="expression" dxfId="264" priority="128">
      <formula>$C531="In Use"</formula>
    </cfRule>
  </conditionalFormatting>
  <conditionalFormatting sqref="N292:AC292 Q356:Q504">
    <cfRule type="expression" dxfId="263" priority="501">
      <formula>$C292="In Stock"</formula>
    </cfRule>
    <cfRule type="expression" dxfId="262" priority="502">
      <formula>$C292="In Use"</formula>
    </cfRule>
  </conditionalFormatting>
  <conditionalFormatting sqref="N293:AC297 A292:C297 E292:E297 G292:M297">
    <cfRule type="expression" dxfId="261" priority="477">
      <formula>$C292="In Stock"</formula>
    </cfRule>
  </conditionalFormatting>
  <conditionalFormatting sqref="A316:C355 E316:E355 G316:L355 N316:AC355">
    <cfRule type="expression" dxfId="260" priority="316">
      <formula>$C316="In Stock"</formula>
    </cfRule>
  </conditionalFormatting>
  <conditionalFormatting sqref="N509:AC519 Q509:Q528 S519:S528">
    <cfRule type="expression" dxfId="259" priority="226">
      <formula>$C509="In Use"</formula>
    </cfRule>
  </conditionalFormatting>
  <conditionalFormatting sqref="H156:H531 O2:O532">
    <cfRule type="expression" dxfId="258" priority="198">
      <formula>$C2="Low Perf"</formula>
    </cfRule>
  </conditionalFormatting>
  <conditionalFormatting sqref="P1:P1048576">
    <cfRule type="duplicateValues" dxfId="257" priority="265"/>
  </conditionalFormatting>
  <conditionalFormatting sqref="P315:P355 A298:C315 E298:E315 G298:AC315">
    <cfRule type="expression" dxfId="256" priority="345">
      <formula>$C298="In Stock"</formula>
    </cfRule>
  </conditionalFormatting>
  <conditionalFormatting sqref="Q288:Q291 S288:S291">
    <cfRule type="expression" dxfId="255" priority="505">
      <formula>$C288="In Stock"</formula>
    </cfRule>
  </conditionalFormatting>
  <conditionalFormatting sqref="Q509:Q528 S519:S528">
    <cfRule type="expression" dxfId="254" priority="225">
      <formula>$C509="In Stock"</formula>
    </cfRule>
  </conditionalFormatting>
  <conditionalFormatting sqref="Q529:S530">
    <cfRule type="expression" dxfId="253" priority="188">
      <formula>$C529="In Stock"</formula>
    </cfRule>
    <cfRule type="expression" dxfId="252" priority="189">
      <formula>$C529="In Use"</formula>
    </cfRule>
  </conditionalFormatting>
  <conditionalFormatting sqref="S317:S355 S357:S379 S382:S388">
    <cfRule type="expression" dxfId="251" priority="473">
      <formula>$C317="In Stock"</formula>
    </cfRule>
    <cfRule type="expression" dxfId="250" priority="474">
      <formula>$C317="In Use"</formula>
    </cfRule>
  </conditionalFormatting>
  <conditionalFormatting sqref="S356:S379">
    <cfRule type="expression" dxfId="249" priority="306">
      <formula>$C356="In Stock"</formula>
    </cfRule>
    <cfRule type="expression" dxfId="248" priority="307">
      <formula>$C356="In Use"</formula>
    </cfRule>
  </conditionalFormatting>
  <conditionalFormatting sqref="S490:S504">
    <cfRule type="expression" dxfId="247" priority="274">
      <formula>$C490="In Stock"</formula>
    </cfRule>
    <cfRule type="expression" dxfId="246" priority="275">
      <formula>$C490="In Use"</formula>
    </cfRule>
    <cfRule type="expression" dxfId="245" priority="276">
      <formula>$C490="In Stock"</formula>
    </cfRule>
    <cfRule type="expression" dxfId="244" priority="277">
      <formula>$C490="In Use"</formula>
    </cfRule>
    <cfRule type="expression" dxfId="243" priority="278">
      <formula>$C490="In Stock"</formula>
    </cfRule>
    <cfRule type="expression" dxfId="242" priority="279">
      <formula>$C490="In Use"</formula>
    </cfRule>
  </conditionalFormatting>
  <conditionalFormatting sqref="S529:S530">
    <cfRule type="expression" dxfId="241" priority="182">
      <formula>$C529="In Stock"</formula>
    </cfRule>
    <cfRule type="expression" dxfId="240" priority="183">
      <formula>$C529="In Use"</formula>
    </cfRule>
    <cfRule type="expression" dxfId="239" priority="184">
      <formula>$C529="In Stock"</formula>
    </cfRule>
    <cfRule type="expression" dxfId="238" priority="185">
      <formula>$C529="In Use"</formula>
    </cfRule>
    <cfRule type="expression" dxfId="237" priority="186">
      <formula>$C529="In Stock"</formula>
    </cfRule>
    <cfRule type="expression" dxfId="236" priority="187">
      <formula>$C529="In Use"</formula>
    </cfRule>
  </conditionalFormatting>
  <conditionalFormatting sqref="S440:AS504 A504:C504 E504 G504:P504">
    <cfRule type="expression" dxfId="235" priority="268">
      <formula>$C440="In Use"</formula>
    </cfRule>
  </conditionalFormatting>
  <conditionalFormatting sqref="T173:T190">
    <cfRule type="expression" dxfId="234" priority="533">
      <formula>$C173="In Stock"</formula>
    </cfRule>
    <cfRule type="expression" dxfId="233" priority="534">
      <formula>$C173="In Use"</formula>
    </cfRule>
  </conditionalFormatting>
  <conditionalFormatting sqref="T380:T439">
    <cfRule type="expression" dxfId="232" priority="300">
      <formula>$C380="In Stock"</formula>
    </cfRule>
    <cfRule type="expression" dxfId="231" priority="301">
      <formula>$C380="In Use"</formula>
    </cfRule>
  </conditionalFormatting>
  <conditionalFormatting sqref="T252:AC254">
    <cfRule type="expression" dxfId="230" priority="509">
      <formula>$C252="In Stock"</formula>
    </cfRule>
    <cfRule type="expression" dxfId="229" priority="510">
      <formula>$C252="In Use"</formula>
    </cfRule>
  </conditionalFormatting>
  <conditionalFormatting sqref="T292:AC292">
    <cfRule type="expression" dxfId="228" priority="499">
      <formula>$C292="In Stock"</formula>
    </cfRule>
    <cfRule type="expression" dxfId="227" priority="500">
      <formula>$C292="In Use"</formula>
    </cfRule>
  </conditionalFormatting>
  <conditionalFormatting sqref="T316:AC355">
    <cfRule type="expression" dxfId="226" priority="314">
      <formula>$C316="In Stock"</formula>
    </cfRule>
    <cfRule type="expression" dxfId="225" priority="315">
      <formula>$C316="In Use"</formula>
    </cfRule>
  </conditionalFormatting>
  <conditionalFormatting sqref="T531:AC531">
    <cfRule type="expression" dxfId="224" priority="120">
      <formula>$C531="In Stock"</formula>
    </cfRule>
    <cfRule type="expression" dxfId="223" priority="121">
      <formula>$C531="In Use"</formula>
    </cfRule>
  </conditionalFormatting>
  <conditionalFormatting sqref="T531:AC532">
    <cfRule type="expression" dxfId="222" priority="60">
      <formula>$C531="In Stock"</formula>
    </cfRule>
    <cfRule type="expression" dxfId="221" priority="61">
      <formula>$C531="In Use"</formula>
    </cfRule>
  </conditionalFormatting>
  <conditionalFormatting sqref="T532:AC532">
    <cfRule type="expression" dxfId="220" priority="58">
      <formula>$C532="In Stock"</formula>
    </cfRule>
    <cfRule type="expression" dxfId="219" priority="59">
      <formula>$C532="In Use"</formula>
    </cfRule>
  </conditionalFormatting>
  <conditionalFormatting sqref="T530:AS530">
    <cfRule type="expression" dxfId="218" priority="137">
      <formula>$C530="In Stock"</formula>
    </cfRule>
    <cfRule type="expression" dxfId="217" priority="138">
      <formula>$C530="In Use"</formula>
    </cfRule>
  </conditionalFormatting>
  <conditionalFormatting sqref="AJ316:AJ349 AL316:AS349 AJ350:AS351">
    <cfRule type="expression" dxfId="216" priority="342">
      <formula>$C316="In Use"</formula>
    </cfRule>
    <cfRule type="expression" dxfId="215" priority="343">
      <formula>$C316="In Stock"</formula>
    </cfRule>
  </conditionalFormatting>
  <conditionalFormatting sqref="AJ316:AJ349 AL316:AS349">
    <cfRule type="expression" dxfId="214" priority="341">
      <formula>$C316="In Stock"</formula>
    </cfRule>
  </conditionalFormatting>
  <conditionalFormatting sqref="AJ530 AL530:AS530">
    <cfRule type="expression" dxfId="213" priority="144">
      <formula>$C530="In Stock"</formula>
    </cfRule>
    <cfRule type="expression" dxfId="212" priority="145">
      <formula>$C530="In Use"</formula>
    </cfRule>
    <cfRule type="expression" dxfId="211" priority="146">
      <formula>$C530="In Stock"</formula>
    </cfRule>
  </conditionalFormatting>
  <conditionalFormatting sqref="AJ173:AS196">
    <cfRule type="expression" dxfId="210" priority="520">
      <formula>$C173="In Use"</formula>
    </cfRule>
  </conditionalFormatting>
  <conditionalFormatting sqref="AJ173:AS294">
    <cfRule type="expression" dxfId="209" priority="519">
      <formula>$C173="In Stock"</formula>
    </cfRule>
  </conditionalFormatting>
  <conditionalFormatting sqref="AJ197:AS294">
    <cfRule type="expression" dxfId="208" priority="517">
      <formula>$C197="In Stock"</formula>
    </cfRule>
    <cfRule type="expression" dxfId="207" priority="518">
      <formula>$C197="In Use"</formula>
    </cfRule>
  </conditionalFormatting>
  <conditionalFormatting sqref="AJ198:AS198">
    <cfRule type="expression" dxfId="206" priority="515">
      <formula>$C198="In Stock"</formula>
    </cfRule>
    <cfRule type="expression" dxfId="205" priority="516">
      <formula>$C198="In Use"</formula>
    </cfRule>
  </conditionalFormatting>
  <conditionalFormatting sqref="AJ204:AS254">
    <cfRule type="expression" dxfId="204" priority="511">
      <formula>$C204="In Stock"</formula>
    </cfRule>
    <cfRule type="expression" dxfId="203" priority="512">
      <formula>$C204="In Use"</formula>
    </cfRule>
  </conditionalFormatting>
  <conditionalFormatting sqref="AJ295:AS295">
    <cfRule type="expression" dxfId="202" priority="493">
      <formula>$C295="In Stock"</formula>
    </cfRule>
    <cfRule type="expression" dxfId="201" priority="494">
      <formula>$C295="In Use"</formula>
    </cfRule>
  </conditionalFormatting>
  <conditionalFormatting sqref="AJ295:AS297">
    <cfRule type="expression" dxfId="200" priority="483">
      <formula>$C295="In Stock"</formula>
    </cfRule>
    <cfRule type="expression" dxfId="199" priority="484">
      <formula>$C295="In Use"</formula>
    </cfRule>
  </conditionalFormatting>
  <conditionalFormatting sqref="AJ296:AS298">
    <cfRule type="expression" dxfId="198" priority="459">
      <formula>$C296="In Stock"</formula>
    </cfRule>
    <cfRule type="expression" dxfId="197" priority="460">
      <formula>$C296="In Use"</formula>
    </cfRule>
  </conditionalFormatting>
  <conditionalFormatting sqref="AJ298:AS299">
    <cfRule type="expression" dxfId="196" priority="453">
      <formula>$C298="In Stock"</formula>
    </cfRule>
    <cfRule type="expression" dxfId="195" priority="454">
      <formula>$C298="In Use"</formula>
    </cfRule>
  </conditionalFormatting>
  <conditionalFormatting sqref="AJ299:AS300">
    <cfRule type="expression" dxfId="194" priority="445">
      <formula>$C299="In Stock"</formula>
    </cfRule>
    <cfRule type="expression" dxfId="193" priority="446">
      <formula>$C299="In Use"</formula>
    </cfRule>
  </conditionalFormatting>
  <conditionalFormatting sqref="AJ300:AS301">
    <cfRule type="expression" dxfId="192" priority="439">
      <formula>$C300="In Stock"</formula>
    </cfRule>
    <cfRule type="expression" dxfId="191" priority="440">
      <formula>$C300="In Use"</formula>
    </cfRule>
  </conditionalFormatting>
  <conditionalFormatting sqref="AJ301:AS302">
    <cfRule type="expression" dxfId="190" priority="433">
      <formula>$C301="In Stock"</formula>
    </cfRule>
    <cfRule type="expression" dxfId="189" priority="434">
      <formula>$C301="In Use"</formula>
    </cfRule>
  </conditionalFormatting>
  <conditionalFormatting sqref="AJ302:AS303">
    <cfRule type="expression" dxfId="188" priority="421">
      <formula>$C302="In Stock"</formula>
    </cfRule>
    <cfRule type="expression" dxfId="187" priority="422">
      <formula>$C302="In Use"</formula>
    </cfRule>
  </conditionalFormatting>
  <conditionalFormatting sqref="AJ303:AS304">
    <cfRule type="expression" dxfId="186" priority="415">
      <formula>$C303="In Stock"</formula>
    </cfRule>
    <cfRule type="expression" dxfId="185" priority="416">
      <formula>$C303="In Use"</formula>
    </cfRule>
  </conditionalFormatting>
  <conditionalFormatting sqref="AJ304:AS305">
    <cfRule type="expression" dxfId="184" priority="409">
      <formula>$C304="In Stock"</formula>
    </cfRule>
    <cfRule type="expression" dxfId="183" priority="410">
      <formula>$C304="In Use"</formula>
    </cfRule>
  </conditionalFormatting>
  <conditionalFormatting sqref="AJ305:AS306">
    <cfRule type="expression" dxfId="182" priority="403">
      <formula>$C305="In Stock"</formula>
    </cfRule>
    <cfRule type="expression" dxfId="181" priority="404">
      <formula>$C305="In Use"</formula>
    </cfRule>
  </conditionalFormatting>
  <conditionalFormatting sqref="AJ306:AS307">
    <cfRule type="expression" dxfId="180" priority="397">
      <formula>$C306="In Stock"</formula>
    </cfRule>
    <cfRule type="expression" dxfId="179" priority="398">
      <formula>$C306="In Use"</formula>
    </cfRule>
  </conditionalFormatting>
  <conditionalFormatting sqref="AJ307:AS308">
    <cfRule type="expression" dxfId="178" priority="391">
      <formula>$C307="In Stock"</formula>
    </cfRule>
    <cfRule type="expression" dxfId="177" priority="392">
      <formula>$C307="In Use"</formula>
    </cfRule>
  </conditionalFormatting>
  <conditionalFormatting sqref="AJ308:AS309">
    <cfRule type="expression" dxfId="176" priority="385">
      <formula>$C308="In Stock"</formula>
    </cfRule>
    <cfRule type="expression" dxfId="175" priority="386">
      <formula>$C308="In Use"</formula>
    </cfRule>
  </conditionalFormatting>
  <conditionalFormatting sqref="AJ309:AS310">
    <cfRule type="expression" dxfId="174" priority="379">
      <formula>$C309="In Stock"</formula>
    </cfRule>
    <cfRule type="expression" dxfId="173" priority="380">
      <formula>$C309="In Use"</formula>
    </cfRule>
  </conditionalFormatting>
  <conditionalFormatting sqref="AJ310:AS311">
    <cfRule type="expression" dxfId="172" priority="373">
      <formula>$C310="In Stock"</formula>
    </cfRule>
    <cfRule type="expression" dxfId="171" priority="374">
      <formula>$C310="In Use"</formula>
    </cfRule>
  </conditionalFormatting>
  <conditionalFormatting sqref="AJ311:AS312">
    <cfRule type="expression" dxfId="170" priority="367">
      <formula>$C311="In Stock"</formula>
    </cfRule>
    <cfRule type="expression" dxfId="169" priority="368">
      <formula>$C311="In Use"</formula>
    </cfRule>
  </conditionalFormatting>
  <conditionalFormatting sqref="AJ312:AS313">
    <cfRule type="expression" dxfId="168" priority="361">
      <formula>$C312="In Stock"</formula>
    </cfRule>
    <cfRule type="expression" dxfId="167" priority="362">
      <formula>$C312="In Use"</formula>
    </cfRule>
  </conditionalFormatting>
  <conditionalFormatting sqref="AJ313:AS314">
    <cfRule type="expression" dxfId="166" priority="355">
      <formula>$C313="In Stock"</formula>
    </cfRule>
    <cfRule type="expression" dxfId="165" priority="356">
      <formula>$C313="In Use"</formula>
    </cfRule>
  </conditionalFormatting>
  <conditionalFormatting sqref="AJ314:AS315 AK315:AK349">
    <cfRule type="expression" dxfId="164" priority="349">
      <formula>$C314="In Stock"</formula>
    </cfRule>
    <cfRule type="expression" dxfId="163" priority="350">
      <formula>$C314="In Use"</formula>
    </cfRule>
  </conditionalFormatting>
  <conditionalFormatting sqref="AJ315:AS315 AK315:AK349">
    <cfRule type="expression" dxfId="162" priority="347">
      <formula>$C315="In Stock"</formula>
    </cfRule>
    <cfRule type="expression" dxfId="161" priority="348">
      <formula>$C315="In Use"</formula>
    </cfRule>
  </conditionalFormatting>
  <conditionalFormatting sqref="AJ350:AS352">
    <cfRule type="expression" dxfId="160" priority="334">
      <formula>$C350="In Stock"</formula>
    </cfRule>
  </conditionalFormatting>
  <conditionalFormatting sqref="AJ352:AS352">
    <cfRule type="expression" dxfId="159" priority="333">
      <formula>$C352="In Use"</formula>
    </cfRule>
  </conditionalFormatting>
  <conditionalFormatting sqref="AJ352:AS354">
    <cfRule type="expression" dxfId="158" priority="327">
      <formula>$C352="In Stock"</formula>
    </cfRule>
  </conditionalFormatting>
  <conditionalFormatting sqref="AJ353:AS354">
    <cfRule type="expression" dxfId="157" priority="326">
      <formula>$C353="In Use"</formula>
    </cfRule>
  </conditionalFormatting>
  <conditionalFormatting sqref="AJ353:AS355">
    <cfRule type="expression" dxfId="156" priority="320">
      <formula>$C353="In Stock"</formula>
    </cfRule>
  </conditionalFormatting>
  <conditionalFormatting sqref="AJ355:AS355">
    <cfRule type="expression" dxfId="155" priority="319">
      <formula>$C355="In Use"</formula>
    </cfRule>
  </conditionalFormatting>
  <conditionalFormatting sqref="AJ355:AS379">
    <cfRule type="expression" dxfId="154" priority="310">
      <formula>$C355="In Stock"</formula>
    </cfRule>
  </conditionalFormatting>
  <conditionalFormatting sqref="AJ356:AS379">
    <cfRule type="expression" dxfId="153" priority="308">
      <formula>$C356="In Stock"</formula>
    </cfRule>
    <cfRule type="expression" dxfId="152" priority="309">
      <formula>$C356="In Use"</formula>
    </cfRule>
  </conditionalFormatting>
  <conditionalFormatting sqref="AJ380:AS438">
    <cfRule type="expression" dxfId="151" priority="298">
      <formula>$C380="In Stock"</formula>
    </cfRule>
    <cfRule type="expression" dxfId="150" priority="299">
      <formula>$C380="In Use"</formula>
    </cfRule>
  </conditionalFormatting>
  <conditionalFormatting sqref="AJ381:AS381">
    <cfRule type="expression" dxfId="149" priority="294">
      <formula>$C381="In Stock"</formula>
    </cfRule>
    <cfRule type="expression" dxfId="148" priority="295">
      <formula>$C381="In Use"</formula>
    </cfRule>
  </conditionalFormatting>
  <conditionalFormatting sqref="AJ439:AS439">
    <cfRule type="expression" dxfId="147" priority="292">
      <formula>$C439="In Stock"</formula>
    </cfRule>
    <cfRule type="expression" dxfId="146" priority="293">
      <formula>$C439="In Use"</formula>
    </cfRule>
  </conditionalFormatting>
  <conditionalFormatting sqref="AJ490:AS503">
    <cfRule type="expression" dxfId="145" priority="286">
      <formula>$C490="In Use"</formula>
    </cfRule>
    <cfRule type="expression" dxfId="144" priority="287">
      <formula>$C490="In Stock"</formula>
    </cfRule>
  </conditionalFormatting>
  <conditionalFormatting sqref="AJ490:AS504">
    <cfRule type="expression" dxfId="143" priority="271">
      <formula>$C490="In Stock"</formula>
    </cfRule>
  </conditionalFormatting>
  <conditionalFormatting sqref="AJ504:AS504">
    <cfRule type="expression" dxfId="142" priority="269">
      <formula>$C504="In Stock"</formula>
    </cfRule>
    <cfRule type="expression" dxfId="141" priority="270">
      <formula>$C504="In Use"</formula>
    </cfRule>
  </conditionalFormatting>
  <conditionalFormatting sqref="AJ505:AS505">
    <cfRule type="expression" dxfId="140" priority="263">
      <formula>$C505="In Stock"</formula>
    </cfRule>
    <cfRule type="expression" dxfId="139" priority="264">
      <formula>$C505="In Use"</formula>
    </cfRule>
  </conditionalFormatting>
  <conditionalFormatting sqref="AJ505:AS508">
    <cfRule type="expression" dxfId="138" priority="251">
      <formula>$C505="In Stock"</formula>
    </cfRule>
    <cfRule type="expression" dxfId="137" priority="252">
      <formula>$C505="In Use"</formula>
    </cfRule>
  </conditionalFormatting>
  <conditionalFormatting sqref="AJ506:AS519">
    <cfRule type="expression" dxfId="136" priority="227">
      <formula>$C506="In Stock"</formula>
    </cfRule>
    <cfRule type="expression" dxfId="135" priority="228">
      <formula>$C506="In Use"</formula>
    </cfRule>
  </conditionalFormatting>
  <conditionalFormatting sqref="AJ509:AS520">
    <cfRule type="expression" dxfId="134" priority="216">
      <formula>$C509="In Stock"</formula>
    </cfRule>
    <cfRule type="expression" dxfId="133" priority="217">
      <formula>$C509="In Use"</formula>
    </cfRule>
  </conditionalFormatting>
  <conditionalFormatting sqref="AJ520:AS528">
    <cfRule type="expression" dxfId="132" priority="208">
      <formula>$C520="In Stock"</formula>
    </cfRule>
    <cfRule type="expression" dxfId="131" priority="209">
      <formula>$C520="In Use"</formula>
    </cfRule>
  </conditionalFormatting>
  <conditionalFormatting sqref="AJ521:AS528">
    <cfRule type="expression" dxfId="130" priority="204">
      <formula>$C521="In Stock"</formula>
    </cfRule>
    <cfRule type="expression" dxfId="129" priority="205">
      <formula>$C521="In Use"</formula>
    </cfRule>
  </conditionalFormatting>
  <conditionalFormatting sqref="AJ529:AS529">
    <cfRule type="expression" dxfId="128" priority="179">
      <formula>$C529="In Stock"</formula>
    </cfRule>
    <cfRule type="expression" dxfId="127" priority="180">
      <formula>$C529="In Use"</formula>
    </cfRule>
    <cfRule type="expression" dxfId="126" priority="181">
      <formula>$C529="In Stock"</formula>
    </cfRule>
  </conditionalFormatting>
  <conditionalFormatting sqref="AJ531 AL531:AS531">
    <cfRule type="expression" dxfId="125" priority="116">
      <formula>$C531="In Stock"</formula>
    </cfRule>
    <cfRule type="expression" dxfId="124" priority="117">
      <formula>$C531="In Use"</formula>
    </cfRule>
  </conditionalFormatting>
  <conditionalFormatting sqref="AJ532:AS532 AJ531 AL531:AS531">
    <cfRule type="expression" dxfId="123" priority="52">
      <formula>$C531="Low Perf"</formula>
    </cfRule>
    <cfRule type="expression" dxfId="122" priority="53">
      <formula>$C531="Damaged"</formula>
    </cfRule>
    <cfRule type="expression" dxfId="121" priority="56">
      <formula>$C531="In Stock"</formula>
    </cfRule>
    <cfRule type="expression" dxfId="120" priority="57">
      <formula>$C531="In Use"</formula>
    </cfRule>
  </conditionalFormatting>
  <conditionalFormatting sqref="AJ532:AS532">
    <cfRule type="expression" dxfId="119" priority="54">
      <formula>$C532="In Stock"</formula>
    </cfRule>
    <cfRule type="expression" dxfId="118" priority="55">
      <formula>$C532="In Use"</formula>
    </cfRule>
  </conditionalFormatting>
  <conditionalFormatting sqref="AK66">
    <cfRule type="expression" dxfId="117" priority="94">
      <formula>$C66="In Stock"</formula>
    </cfRule>
    <cfRule type="expression" dxfId="116" priority="95">
      <formula>$C66="In Use"</formula>
    </cfRule>
    <cfRule type="expression" dxfId="115" priority="96">
      <formula>$C66="In Stock"</formula>
    </cfRule>
  </conditionalFormatting>
  <conditionalFormatting sqref="AK105">
    <cfRule type="expression" dxfId="114" priority="104">
      <formula>$C105="In Stock"</formula>
    </cfRule>
    <cfRule type="expression" dxfId="113" priority="105">
      <formula>$C105="In Use"</formula>
    </cfRule>
    <cfRule type="expression" dxfId="112" priority="106">
      <formula>$C105="In Stock"</formula>
    </cfRule>
    <cfRule type="expression" dxfId="111" priority="107">
      <formula>$C105="In Use"</formula>
    </cfRule>
    <cfRule type="expression" dxfId="110" priority="108">
      <formula>$C105="In Stock"</formula>
    </cfRule>
  </conditionalFormatting>
  <conditionalFormatting sqref="AK201">
    <cfRule type="expression" dxfId="109" priority="91">
      <formula>$C201="In Stock"</formula>
    </cfRule>
    <cfRule type="expression" dxfId="108" priority="92">
      <formula>$C201="In Use"</formula>
    </cfRule>
    <cfRule type="expression" dxfId="107" priority="93">
      <formula>$C201="In Stock"</formula>
    </cfRule>
  </conditionalFormatting>
  <conditionalFormatting sqref="AK251">
    <cfRule type="expression" dxfId="106" priority="88">
      <formula>$C251="In Stock"</formula>
    </cfRule>
    <cfRule type="expression" dxfId="105" priority="89">
      <formula>$C251="In Use"</formula>
    </cfRule>
    <cfRule type="expression" dxfId="104" priority="90">
      <formula>$C251="In Stock"</formula>
    </cfRule>
  </conditionalFormatting>
  <conditionalFormatting sqref="AK269">
    <cfRule type="expression" dxfId="103" priority="85">
      <formula>$C269="In Stock"</formula>
    </cfRule>
    <cfRule type="expression" dxfId="102" priority="86">
      <formula>$C269="In Use"</formula>
    </cfRule>
    <cfRule type="expression" dxfId="101" priority="87">
      <formula>$C269="In Stock"</formula>
    </cfRule>
  </conditionalFormatting>
  <conditionalFormatting sqref="AK301">
    <cfRule type="expression" dxfId="100" priority="79">
      <formula>$C301="In Stock"</formula>
    </cfRule>
    <cfRule type="expression" dxfId="99" priority="80">
      <formula>$C301="In Use"</formula>
    </cfRule>
  </conditionalFormatting>
  <conditionalFormatting sqref="AK530">
    <cfRule type="expression" dxfId="98" priority="135">
      <formula>$C530="In Stock"</formula>
    </cfRule>
    <cfRule type="expression" dxfId="97" priority="136">
      <formula>$C530="In Use"</formula>
    </cfRule>
  </conditionalFormatting>
  <conditionalFormatting sqref="AQ301">
    <cfRule type="expression" dxfId="96" priority="81">
      <formula>$C301="In Stock"</formula>
    </cfRule>
    <cfRule type="expression" dxfId="95" priority="82">
      <formula>$C301="In Use"</formula>
    </cfRule>
  </conditionalFormatting>
  <conditionalFormatting sqref="AQ311">
    <cfRule type="expression" dxfId="94" priority="75">
      <formula>$C311="In Stock"</formula>
    </cfRule>
    <cfRule type="expression" dxfId="93" priority="76">
      <formula>$C311="In Use"</formula>
    </cfRule>
    <cfRule type="expression" dxfId="92" priority="77">
      <formula>$C311="In Stock"</formula>
    </cfRule>
    <cfRule type="expression" dxfId="91" priority="78">
      <formula>$C311="In Use"</formula>
    </cfRule>
  </conditionalFormatting>
  <conditionalFormatting sqref="AS66">
    <cfRule type="expression" dxfId="90" priority="109">
      <formula>$C66="In Stock"</formula>
    </cfRule>
    <cfRule type="expression" dxfId="89" priority="110">
      <formula>$C66="In Use"</formula>
    </cfRule>
    <cfRule type="expression" dxfId="88" priority="111">
      <formula>$C66="In Stock"</formula>
    </cfRule>
  </conditionalFormatting>
  <conditionalFormatting sqref="AS255">
    <cfRule type="expression" dxfId="87" priority="129">
      <formula>$C255="In Stock"</formula>
    </cfRule>
  </conditionalFormatting>
  <conditionalFormatting sqref="AS318">
    <cfRule type="duplicateValues" dxfId="86" priority="170"/>
    <cfRule type="expression" dxfId="85" priority="171">
      <formula>$C318="In Stock"</formula>
    </cfRule>
    <cfRule type="expression" dxfId="84" priority="172">
      <formula>$C318="In Use"</formula>
    </cfRule>
    <cfRule type="expression" dxfId="83" priority="173">
      <formula>$C318="In Stock"</formula>
    </cfRule>
    <cfRule type="expression" dxfId="82" priority="174">
      <formula>$C318="In Use"</formula>
    </cfRule>
  </conditionalFormatting>
  <conditionalFormatting sqref="AS323">
    <cfRule type="expression" dxfId="81" priority="150">
      <formula>$C323="In Stock"</formula>
    </cfRule>
    <cfRule type="expression" dxfId="80" priority="151">
      <formula>$C323="In Use"</formula>
    </cfRule>
    <cfRule type="expression" dxfId="79" priority="152">
      <formula>$C323="In Stock"</formula>
    </cfRule>
    <cfRule type="expression" dxfId="78" priority="153">
      <formula>$C323="In Use"</formula>
    </cfRule>
  </conditionalFormatting>
  <conditionalFormatting sqref="AS343">
    <cfRule type="expression" dxfId="77" priority="159">
      <formula>$C343="In Stock"</formula>
    </cfRule>
    <cfRule type="expression" dxfId="76" priority="160">
      <formula>$C343="In Use"</formula>
    </cfRule>
    <cfRule type="expression" dxfId="75" priority="161">
      <formula>$C343="In Stock"</formula>
    </cfRule>
  </conditionalFormatting>
  <conditionalFormatting sqref="AS349">
    <cfRule type="expression" dxfId="74" priority="149">
      <formula>$C349="In Stock"</formula>
    </cfRule>
  </conditionalFormatting>
  <conditionalFormatting sqref="AS380">
    <cfRule type="expression" dxfId="73" priority="147">
      <formula>$C380="In Stock"</formula>
    </cfRule>
    <cfRule type="expression" dxfId="72" priority="148">
      <formula>$C380="In Use"</formula>
    </cfRule>
  </conditionalFormatting>
  <conditionalFormatting sqref="AS501">
    <cfRule type="expression" dxfId="71" priority="154">
      <formula>$C501="In Stock"</formula>
    </cfRule>
    <cfRule type="expression" dxfId="70" priority="155">
      <formula>$C501="In Use"</formula>
    </cfRule>
    <cfRule type="expression" dxfId="69" priority="156">
      <formula>$C501="In Stock"</formula>
    </cfRule>
    <cfRule type="expression" dxfId="68" priority="158">
      <formula>$C501="In Use"</formula>
    </cfRule>
  </conditionalFormatting>
  <conditionalFormatting sqref="C362">
    <cfRule type="expression" dxfId="67" priority="38">
      <formula>$C362="In Stock"</formula>
    </cfRule>
  </conditionalFormatting>
  <conditionalFormatting sqref="C362">
    <cfRule type="expression" dxfId="66" priority="39">
      <formula>$C362="In Use"</formula>
    </cfRule>
  </conditionalFormatting>
  <conditionalFormatting sqref="C387">
    <cfRule type="expression" dxfId="65" priority="36">
      <formula>$C387="In Stock"</formula>
    </cfRule>
  </conditionalFormatting>
  <conditionalFormatting sqref="C485">
    <cfRule type="expression" dxfId="64" priority="35">
      <formula>$C485="In Stock"</formula>
    </cfRule>
  </conditionalFormatting>
  <conditionalFormatting sqref="C480">
    <cfRule type="expression" dxfId="63" priority="34">
      <formula>$C480="In Stock"</formula>
    </cfRule>
  </conditionalFormatting>
  <conditionalFormatting sqref="C285">
    <cfRule type="expression" dxfId="62" priority="32">
      <formula>$C285="In Stock"</formula>
    </cfRule>
  </conditionalFormatting>
  <conditionalFormatting sqref="C285">
    <cfRule type="expression" dxfId="61" priority="33">
      <formula>$C285="In Use"</formula>
    </cfRule>
  </conditionalFormatting>
  <conditionalFormatting sqref="C282">
    <cfRule type="expression" dxfId="60" priority="30">
      <formula>$C282="In Stock"</formula>
    </cfRule>
  </conditionalFormatting>
  <conditionalFormatting sqref="C282">
    <cfRule type="expression" dxfId="59" priority="31">
      <formula>$C282="In Use"</formula>
    </cfRule>
  </conditionalFormatting>
  <conditionalFormatting sqref="C460">
    <cfRule type="expression" dxfId="58" priority="29">
      <formula>$C460="In Stock"</formula>
    </cfRule>
  </conditionalFormatting>
  <conditionalFormatting sqref="C389">
    <cfRule type="expression" dxfId="57" priority="28">
      <formula>$C389="In Stock"</formula>
    </cfRule>
  </conditionalFormatting>
  <conditionalFormatting sqref="C474">
    <cfRule type="expression" dxfId="56" priority="27">
      <formula>$C474="In Stock"</formula>
    </cfRule>
  </conditionalFormatting>
  <conditionalFormatting sqref="AK531">
    <cfRule type="expression" dxfId="55" priority="24">
      <formula>$C531="Damaged"</formula>
    </cfRule>
  </conditionalFormatting>
  <conditionalFormatting sqref="AK531">
    <cfRule type="expression" dxfId="54" priority="23">
      <formula>$C531="Low Perf"</formula>
    </cfRule>
  </conditionalFormatting>
  <conditionalFormatting sqref="AK531">
    <cfRule type="expression" dxfId="53" priority="26">
      <formula>$C531="In Use"</formula>
    </cfRule>
  </conditionalFormatting>
  <conditionalFormatting sqref="AK531">
    <cfRule type="expression" dxfId="52" priority="25">
      <formula>$C531="In Stock"</formula>
    </cfRule>
  </conditionalFormatting>
  <conditionalFormatting sqref="C319">
    <cfRule type="expression" dxfId="51" priority="21">
      <formula>$C319="In Stock"</formula>
    </cfRule>
  </conditionalFormatting>
  <conditionalFormatting sqref="C319">
    <cfRule type="expression" dxfId="50" priority="22">
      <formula>$C319="In Use"</formula>
    </cfRule>
  </conditionalFormatting>
  <conditionalFormatting sqref="C423">
    <cfRule type="expression" dxfId="49" priority="19">
      <formula>$C423="In Stock"</formula>
    </cfRule>
  </conditionalFormatting>
  <conditionalFormatting sqref="C504">
    <cfRule type="expression" dxfId="48" priority="17">
      <formula>$C504="In Stock"</formula>
    </cfRule>
  </conditionalFormatting>
  <conditionalFormatting sqref="C504">
    <cfRule type="expression" dxfId="47" priority="18">
      <formula>$C504="In Use"</formula>
    </cfRule>
  </conditionalFormatting>
  <conditionalFormatting sqref="C472">
    <cfRule type="expression" dxfId="46" priority="16">
      <formula>$C472="In Stock"</formula>
    </cfRule>
  </conditionalFormatting>
  <conditionalFormatting sqref="G336">
    <cfRule type="expression" dxfId="45" priority="14">
      <formula>$C336="In Stock"</formula>
    </cfRule>
  </conditionalFormatting>
  <conditionalFormatting sqref="G336">
    <cfRule type="expression" dxfId="44" priority="15">
      <formula>$C336="In Use"</formula>
    </cfRule>
  </conditionalFormatting>
  <conditionalFormatting sqref="G413">
    <cfRule type="expression" dxfId="43" priority="13">
      <formula>$C413="In Stock"</formula>
    </cfRule>
  </conditionalFormatting>
  <conditionalFormatting sqref="G446">
    <cfRule type="expression" dxfId="42" priority="12">
      <formula>$C446="In Stock"</formula>
    </cfRule>
  </conditionalFormatting>
  <conditionalFormatting sqref="K389">
    <cfRule type="expression" dxfId="41" priority="11">
      <formula>$C389="In Stock"</formula>
    </cfRule>
  </conditionalFormatting>
  <conditionalFormatting sqref="C284">
    <cfRule type="expression" dxfId="40" priority="9">
      <formula>$C284="In Stock"</formula>
    </cfRule>
  </conditionalFormatting>
  <conditionalFormatting sqref="C284">
    <cfRule type="expression" dxfId="39" priority="10">
      <formula>$C284="In Use"</formula>
    </cfRule>
  </conditionalFormatting>
  <conditionalFormatting sqref="O532">
    <cfRule type="expression" dxfId="38" priority="8">
      <formula>$C532="Low Perf"</formula>
    </cfRule>
  </conditionalFormatting>
  <conditionalFormatting sqref="N527:N528 N522:N525 N520">
    <cfRule type="expression" dxfId="37" priority="6">
      <formula>$C520="In Stock"</formula>
    </cfRule>
  </conditionalFormatting>
  <conditionalFormatting sqref="N527:N528 N522:N525 N520">
    <cfRule type="expression" dxfId="36" priority="7">
      <formula>$C520="In Use"</formula>
    </cfRule>
  </conditionalFormatting>
  <conditionalFormatting sqref="N527:N528 N522:N525 N520 N510:N518">
    <cfRule type="expression" dxfId="35" priority="5">
      <formula>$C510="In Use"</formula>
    </cfRule>
  </conditionalFormatting>
  <conditionalFormatting sqref="N527:N528 N522:N525 N520 N510:N518">
    <cfRule type="expression" dxfId="34" priority="4">
      <formula>$C510="In Stock"</formula>
    </cfRule>
  </conditionalFormatting>
  <conditionalFormatting sqref="N527:N528 N522:N525 N520 N510:N518">
    <cfRule type="expression" dxfId="33" priority="3">
      <formula>$C510="In Stock"</formula>
    </cfRule>
  </conditionalFormatting>
  <conditionalFormatting sqref="N527:N528 N522:N525 N520">
    <cfRule type="expression" dxfId="32" priority="1">
      <formula>$C520="In Stock"</formula>
    </cfRule>
  </conditionalFormatting>
  <conditionalFormatting sqref="N527:N528 N522:N525 N520">
    <cfRule type="expression" dxfId="31" priority="2">
      <formula>$C520="In Use"</formula>
    </cfRule>
  </conditionalFormatting>
  <conditionalFormatting sqref="A2:AS532">
    <cfRule type="expression" dxfId="30" priority="942" stopIfTrue="1">
      <formula>$C2="Warranty"</formula>
    </cfRule>
  </conditionalFormatting>
  <dataValidations count="2">
    <dataValidation type="list" showInputMessage="1" showErrorMessage="1" sqref="G2:G532" xr:uid="{88B1D297-3042-45E9-ADB7-80630B6ADC87}">
      <formula1>"HCM, HN, UAE, IPL"</formula1>
    </dataValidation>
    <dataValidation type="list" allowBlank="1" showInputMessage="1" showErrorMessage="1" errorTitle="Invalid Condition" error="Please select a condition from the drop-down list." sqref="C2:C532" xr:uid="{298356D7-42E3-4FD8-BB17-8EEEF6E9D130}">
      <formula1>"In Use,In Stock,Lost,Low Perf,Damaged,Warranty"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F1D7B-7C72-43C4-A3D0-6E18B75CC02C}">
  <sheetPr>
    <tabColor rgb="FF92D050"/>
  </sheetPr>
  <dimension ref="A1:N228"/>
  <sheetViews>
    <sheetView workbookViewId="0">
      <pane ySplit="2" topLeftCell="A219" activePane="bottomLeft" state="frozen"/>
      <selection pane="bottomLeft" activeCell="C232" sqref="C232"/>
    </sheetView>
  </sheetViews>
  <sheetFormatPr defaultRowHeight="15"/>
  <cols>
    <col min="1" max="1" width="6.7109375" customWidth="1"/>
    <col min="2" max="2" width="15.28515625" customWidth="1"/>
    <col min="3" max="3" width="34.28515625" customWidth="1"/>
    <col min="4" max="4" width="41.85546875" customWidth="1"/>
    <col min="5" max="7" width="19" customWidth="1"/>
    <col min="8" max="8" width="34.28515625" customWidth="1"/>
    <col min="9" max="9" width="15.28515625" customWidth="1"/>
    <col min="10" max="10" width="16.140625" customWidth="1"/>
    <col min="11" max="11" width="15.28515625" customWidth="1"/>
    <col min="12" max="12" width="13.28515625" customWidth="1"/>
    <col min="13" max="13" width="12.42578125" customWidth="1"/>
    <col min="14" max="14" width="19" customWidth="1"/>
  </cols>
  <sheetData>
    <row r="1" spans="1:14" ht="30" customHeight="1">
      <c r="A1" s="119" t="s">
        <v>1011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</row>
    <row r="2" spans="1:14" s="2" customFormat="1" ht="24.75" customHeight="1">
      <c r="A2" s="50" t="s">
        <v>61</v>
      </c>
      <c r="B2" s="51" t="s">
        <v>1012</v>
      </c>
      <c r="C2" s="51" t="s">
        <v>1013</v>
      </c>
      <c r="D2" s="51" t="s">
        <v>1014</v>
      </c>
      <c r="E2" s="51" t="s">
        <v>1015</v>
      </c>
      <c r="F2" s="51" t="s">
        <v>64</v>
      </c>
      <c r="G2" s="51" t="s">
        <v>27</v>
      </c>
      <c r="H2" s="51" t="s">
        <v>92</v>
      </c>
      <c r="I2" s="51" t="s">
        <v>1016</v>
      </c>
      <c r="J2" s="51" t="s">
        <v>1017</v>
      </c>
      <c r="K2" s="51" t="s">
        <v>1018</v>
      </c>
      <c r="L2" s="51" t="s">
        <v>47</v>
      </c>
      <c r="M2" s="51" t="s">
        <v>13</v>
      </c>
      <c r="N2" s="52" t="s">
        <v>95</v>
      </c>
    </row>
    <row r="3" spans="1:14" s="2" customFormat="1" ht="20.25" customHeight="1">
      <c r="A3" s="53">
        <v>1</v>
      </c>
      <c r="B3" s="54" t="s">
        <v>450</v>
      </c>
      <c r="C3" s="55" t="s">
        <v>1019</v>
      </c>
      <c r="D3" s="56" t="s">
        <v>1020</v>
      </c>
      <c r="E3" s="57" t="s">
        <v>31</v>
      </c>
      <c r="F3" s="57" t="s">
        <v>31</v>
      </c>
      <c r="G3" s="69" t="s">
        <v>31</v>
      </c>
      <c r="H3" s="54" t="s">
        <v>31</v>
      </c>
      <c r="I3" s="57"/>
      <c r="J3" s="58"/>
      <c r="K3" s="58"/>
      <c r="L3" s="57"/>
      <c r="M3" s="57"/>
      <c r="N3" s="59"/>
    </row>
    <row r="4" spans="1:14" s="2" customFormat="1" ht="20.25" customHeight="1">
      <c r="A4" s="60">
        <v>2</v>
      </c>
      <c r="B4" s="77" t="s">
        <v>219</v>
      </c>
      <c r="C4" s="77" t="s">
        <v>1021</v>
      </c>
      <c r="D4" s="61" t="s">
        <v>1022</v>
      </c>
      <c r="E4" s="63" t="s">
        <v>29</v>
      </c>
      <c r="F4" s="63" t="s">
        <v>1023</v>
      </c>
      <c r="G4" s="63" t="s">
        <v>1024</v>
      </c>
      <c r="H4" s="61" t="s">
        <v>1025</v>
      </c>
      <c r="I4" s="78"/>
      <c r="J4" s="79"/>
      <c r="K4" s="79"/>
      <c r="L4" s="78" t="s">
        <v>1026</v>
      </c>
      <c r="M4" s="78" t="s">
        <v>15</v>
      </c>
      <c r="N4" s="80"/>
    </row>
    <row r="5" spans="1:14" s="2" customFormat="1" ht="20.25" customHeight="1">
      <c r="A5" s="53">
        <v>3</v>
      </c>
      <c r="B5" s="66" t="s">
        <v>298</v>
      </c>
      <c r="C5" s="67" t="s">
        <v>1027</v>
      </c>
      <c r="D5" s="68" t="s">
        <v>1028</v>
      </c>
      <c r="E5" s="69" t="s">
        <v>31</v>
      </c>
      <c r="F5" s="69" t="s">
        <v>31</v>
      </c>
      <c r="G5" s="69" t="s">
        <v>31</v>
      </c>
      <c r="H5" s="66" t="s">
        <v>31</v>
      </c>
      <c r="I5" s="69"/>
      <c r="J5" s="70"/>
      <c r="K5" s="70"/>
      <c r="L5" s="69"/>
      <c r="M5" s="69"/>
      <c r="N5" s="71"/>
    </row>
    <row r="6" spans="1:14" s="2" customFormat="1" ht="20.25" customHeight="1">
      <c r="A6" s="60">
        <v>4</v>
      </c>
      <c r="B6" s="61" t="s">
        <v>792</v>
      </c>
      <c r="C6" s="62" t="s">
        <v>1029</v>
      </c>
      <c r="D6" s="72" t="s">
        <v>1030</v>
      </c>
      <c r="E6" s="63" t="s">
        <v>31</v>
      </c>
      <c r="F6" s="63" t="s">
        <v>31</v>
      </c>
      <c r="G6" s="69" t="s">
        <v>31</v>
      </c>
      <c r="H6" s="61" t="s">
        <v>31</v>
      </c>
      <c r="I6" s="63"/>
      <c r="J6" s="64"/>
      <c r="K6" s="64"/>
      <c r="L6" s="63"/>
      <c r="M6" s="63"/>
      <c r="N6" s="65"/>
    </row>
    <row r="7" spans="1:14" s="2" customFormat="1" ht="20.25" customHeight="1">
      <c r="A7" s="53">
        <v>5</v>
      </c>
      <c r="B7" s="66" t="s">
        <v>374</v>
      </c>
      <c r="C7" s="67" t="s">
        <v>1031</v>
      </c>
      <c r="D7" s="68" t="s">
        <v>31</v>
      </c>
      <c r="E7" s="69" t="s">
        <v>31</v>
      </c>
      <c r="F7" s="69" t="s">
        <v>31</v>
      </c>
      <c r="G7" s="69" t="s">
        <v>31</v>
      </c>
      <c r="H7" s="66" t="s">
        <v>31</v>
      </c>
      <c r="I7" s="69"/>
      <c r="J7" s="70"/>
      <c r="K7" s="70"/>
      <c r="L7" s="69"/>
      <c r="M7" s="69"/>
      <c r="N7" s="71"/>
    </row>
    <row r="8" spans="1:14" s="2" customFormat="1" ht="20.25" customHeight="1">
      <c r="A8" s="60">
        <v>6</v>
      </c>
      <c r="B8" s="61" t="s">
        <v>442</v>
      </c>
      <c r="C8" s="62" t="s">
        <v>1032</v>
      </c>
      <c r="D8" s="72" t="s">
        <v>31</v>
      </c>
      <c r="E8" s="63" t="s">
        <v>31</v>
      </c>
      <c r="F8" s="63" t="s">
        <v>31</v>
      </c>
      <c r="G8" s="69" t="s">
        <v>31</v>
      </c>
      <c r="H8" s="61" t="s">
        <v>31</v>
      </c>
      <c r="I8" s="63"/>
      <c r="J8" s="64"/>
      <c r="K8" s="64"/>
      <c r="L8" s="63"/>
      <c r="M8" s="63"/>
      <c r="N8" s="65"/>
    </row>
    <row r="9" spans="1:14" s="2" customFormat="1" ht="20.25" customHeight="1">
      <c r="A9" s="53">
        <v>7</v>
      </c>
      <c r="B9" s="66" t="s">
        <v>501</v>
      </c>
      <c r="C9" s="67" t="s">
        <v>1033</v>
      </c>
      <c r="D9" s="68" t="s">
        <v>119</v>
      </c>
      <c r="E9" s="73"/>
      <c r="F9" s="69" t="s">
        <v>119</v>
      </c>
      <c r="G9" s="69"/>
      <c r="H9" s="66" t="s">
        <v>119</v>
      </c>
      <c r="I9" s="69"/>
      <c r="J9" s="70"/>
      <c r="K9" s="70"/>
      <c r="L9" s="69"/>
      <c r="M9" s="69"/>
      <c r="N9" s="71"/>
    </row>
    <row r="10" spans="1:14" s="2" customFormat="1" ht="20.25" customHeight="1">
      <c r="A10" s="60">
        <v>8</v>
      </c>
      <c r="B10" s="61" t="s">
        <v>1034</v>
      </c>
      <c r="C10" s="62" t="s">
        <v>1035</v>
      </c>
      <c r="D10" s="72" t="s">
        <v>1036</v>
      </c>
      <c r="E10" s="74"/>
      <c r="F10" s="63" t="s">
        <v>1036</v>
      </c>
      <c r="G10" s="63"/>
      <c r="H10" s="61" t="s">
        <v>1036</v>
      </c>
      <c r="I10" s="63"/>
      <c r="J10" s="64"/>
      <c r="K10" s="64"/>
      <c r="L10" s="63"/>
      <c r="M10" s="63"/>
      <c r="N10" s="65"/>
    </row>
    <row r="11" spans="1:14" s="2" customFormat="1" ht="20.25" customHeight="1">
      <c r="A11" s="53">
        <v>9</v>
      </c>
      <c r="B11" s="66" t="s">
        <v>487</v>
      </c>
      <c r="C11" s="67" t="s">
        <v>1037</v>
      </c>
      <c r="D11" s="68" t="s">
        <v>119</v>
      </c>
      <c r="E11" s="73"/>
      <c r="F11" s="69" t="s">
        <v>119</v>
      </c>
      <c r="G11" s="69"/>
      <c r="H11" s="66" t="s">
        <v>119</v>
      </c>
      <c r="I11" s="69"/>
      <c r="J11" s="70"/>
      <c r="K11" s="70"/>
      <c r="L11" s="69"/>
      <c r="M11" s="69"/>
      <c r="N11" s="71"/>
    </row>
    <row r="12" spans="1:14" s="2" customFormat="1" ht="20.25" customHeight="1">
      <c r="A12" s="60">
        <v>10</v>
      </c>
      <c r="B12" s="61" t="s">
        <v>1038</v>
      </c>
      <c r="C12" s="62" t="s">
        <v>1039</v>
      </c>
      <c r="D12" s="72" t="s">
        <v>1040</v>
      </c>
      <c r="E12" s="74"/>
      <c r="F12" s="63" t="s">
        <v>1041</v>
      </c>
      <c r="G12" s="63"/>
      <c r="H12" s="61" t="s">
        <v>1042</v>
      </c>
      <c r="I12" s="63"/>
      <c r="J12" s="64"/>
      <c r="K12" s="64"/>
      <c r="L12" s="63"/>
      <c r="M12" s="63"/>
      <c r="N12" s="65"/>
    </row>
    <row r="13" spans="1:14" s="2" customFormat="1" ht="20.25" customHeight="1">
      <c r="A13" s="53">
        <v>11</v>
      </c>
      <c r="B13" s="66" t="s">
        <v>683</v>
      </c>
      <c r="C13" s="67" t="s">
        <v>1043</v>
      </c>
      <c r="D13" s="68" t="s">
        <v>1044</v>
      </c>
      <c r="E13" s="69" t="s">
        <v>31</v>
      </c>
      <c r="F13" s="69" t="s">
        <v>31</v>
      </c>
      <c r="G13" s="69" t="s">
        <v>31</v>
      </c>
      <c r="H13" s="66" t="s">
        <v>31</v>
      </c>
      <c r="I13" s="69"/>
      <c r="J13" s="70"/>
      <c r="K13" s="70"/>
      <c r="L13" s="69"/>
      <c r="M13" s="69"/>
      <c r="N13" s="71"/>
    </row>
    <row r="14" spans="1:14" s="2" customFormat="1" ht="20.25" customHeight="1">
      <c r="A14" s="60">
        <v>12</v>
      </c>
      <c r="B14" s="61" t="s">
        <v>475</v>
      </c>
      <c r="C14" s="62" t="s">
        <v>1045</v>
      </c>
      <c r="D14" s="72" t="s">
        <v>1046</v>
      </c>
      <c r="E14" s="74" t="s">
        <v>31</v>
      </c>
      <c r="F14" s="63" t="s">
        <v>31</v>
      </c>
      <c r="G14" s="63" t="s">
        <v>31</v>
      </c>
      <c r="H14" s="61" t="s">
        <v>1047</v>
      </c>
      <c r="I14" s="63"/>
      <c r="J14" s="64"/>
      <c r="K14" s="64"/>
      <c r="L14" s="63"/>
      <c r="M14" s="63"/>
      <c r="N14" s="65"/>
    </row>
    <row r="15" spans="1:14" s="2" customFormat="1" ht="20.25" customHeight="1">
      <c r="A15" s="53">
        <v>13</v>
      </c>
      <c r="B15" s="66" t="s">
        <v>371</v>
      </c>
      <c r="C15" s="67" t="s">
        <v>1048</v>
      </c>
      <c r="D15" s="66" t="s">
        <v>1049</v>
      </c>
      <c r="E15" s="69" t="s">
        <v>27</v>
      </c>
      <c r="F15" s="69" t="s">
        <v>1050</v>
      </c>
      <c r="G15" s="69" t="s">
        <v>1051</v>
      </c>
      <c r="H15" s="66" t="s">
        <v>1052</v>
      </c>
      <c r="I15" s="69" t="s">
        <v>288</v>
      </c>
      <c r="J15" s="70"/>
      <c r="K15" s="70"/>
      <c r="L15" s="69"/>
      <c r="M15" s="69"/>
      <c r="N15" s="71"/>
    </row>
    <row r="16" spans="1:14" s="2" customFormat="1" ht="20.25" customHeight="1">
      <c r="A16" s="60">
        <v>14</v>
      </c>
      <c r="B16" s="61" t="s">
        <v>1053</v>
      </c>
      <c r="C16" s="62" t="s">
        <v>1054</v>
      </c>
      <c r="D16" s="72" t="s">
        <v>1055</v>
      </c>
      <c r="E16" s="74"/>
      <c r="F16" s="63" t="s">
        <v>1041</v>
      </c>
      <c r="G16" s="63"/>
      <c r="H16" s="61" t="s">
        <v>1056</v>
      </c>
      <c r="I16" s="63"/>
      <c r="J16" s="64"/>
      <c r="K16" s="64"/>
      <c r="L16" s="63"/>
      <c r="M16" s="63"/>
      <c r="N16" s="65"/>
    </row>
    <row r="17" spans="1:14" s="2" customFormat="1" ht="20.25" customHeight="1">
      <c r="A17" s="53">
        <v>15</v>
      </c>
      <c r="B17" s="66" t="s">
        <v>1057</v>
      </c>
      <c r="C17" s="67" t="s">
        <v>1058</v>
      </c>
      <c r="D17" s="68" t="s">
        <v>1059</v>
      </c>
      <c r="E17" s="73"/>
      <c r="F17" s="69" t="s">
        <v>1060</v>
      </c>
      <c r="G17" s="69"/>
      <c r="H17" s="66" t="s">
        <v>1061</v>
      </c>
      <c r="I17" s="69"/>
      <c r="J17" s="70"/>
      <c r="K17" s="70"/>
      <c r="L17" s="69"/>
      <c r="M17" s="69"/>
      <c r="N17" s="71"/>
    </row>
    <row r="18" spans="1:14" s="2" customFormat="1" ht="20.25" customHeight="1">
      <c r="A18" s="60">
        <v>16</v>
      </c>
      <c r="B18" s="61" t="s">
        <v>481</v>
      </c>
      <c r="C18" s="62" t="s">
        <v>1062</v>
      </c>
      <c r="D18" s="72" t="s">
        <v>1063</v>
      </c>
      <c r="E18" s="74"/>
      <c r="F18" s="63" t="s">
        <v>1041</v>
      </c>
      <c r="G18" s="63"/>
      <c r="H18" s="61" t="s">
        <v>1042</v>
      </c>
      <c r="I18" s="63"/>
      <c r="J18" s="64"/>
      <c r="K18" s="64"/>
      <c r="L18" s="63"/>
      <c r="M18" s="63"/>
      <c r="N18" s="65"/>
    </row>
    <row r="19" spans="1:14" s="2" customFormat="1" ht="20.25" customHeight="1">
      <c r="A19" s="53">
        <v>17</v>
      </c>
      <c r="B19" s="66" t="s">
        <v>277</v>
      </c>
      <c r="C19" s="67" t="s">
        <v>1064</v>
      </c>
      <c r="D19" s="68" t="s">
        <v>1065</v>
      </c>
      <c r="E19" s="73"/>
      <c r="F19" s="69" t="s">
        <v>1041</v>
      </c>
      <c r="G19" s="69"/>
      <c r="H19" s="66" t="s">
        <v>1042</v>
      </c>
      <c r="I19" s="69"/>
      <c r="J19" s="70"/>
      <c r="K19" s="70"/>
      <c r="L19" s="69"/>
      <c r="M19" s="69"/>
      <c r="N19" s="71"/>
    </row>
    <row r="20" spans="1:14" s="2" customFormat="1" ht="20.25" customHeight="1">
      <c r="A20" s="60">
        <v>18</v>
      </c>
      <c r="B20" s="61" t="s">
        <v>1066</v>
      </c>
      <c r="C20" s="62" t="s">
        <v>1067</v>
      </c>
      <c r="D20" s="61" t="s">
        <v>1068</v>
      </c>
      <c r="E20" s="63"/>
      <c r="F20" s="63" t="s">
        <v>1041</v>
      </c>
      <c r="G20" s="63"/>
      <c r="H20" s="61" t="s">
        <v>1042</v>
      </c>
      <c r="I20" s="63"/>
      <c r="J20" s="64"/>
      <c r="K20" s="64"/>
      <c r="L20" s="63"/>
      <c r="M20" s="63"/>
      <c r="N20" s="65"/>
    </row>
    <row r="21" spans="1:14" s="2" customFormat="1" ht="20.25" customHeight="1">
      <c r="A21" s="53">
        <v>19</v>
      </c>
      <c r="B21" s="66" t="s">
        <v>778</v>
      </c>
      <c r="C21" s="67" t="s">
        <v>1069</v>
      </c>
      <c r="D21" s="68" t="s">
        <v>1065</v>
      </c>
      <c r="E21" s="73"/>
      <c r="F21" s="69" t="s">
        <v>1041</v>
      </c>
      <c r="G21" s="69"/>
      <c r="H21" s="66" t="s">
        <v>1070</v>
      </c>
      <c r="I21" s="69"/>
      <c r="J21" s="70"/>
      <c r="K21" s="70"/>
      <c r="L21" s="69"/>
      <c r="M21" s="69"/>
      <c r="N21" s="71"/>
    </row>
    <row r="22" spans="1:14" s="2" customFormat="1" ht="20.25" customHeight="1">
      <c r="A22" s="60">
        <v>20</v>
      </c>
      <c r="B22" s="61" t="s">
        <v>1071</v>
      </c>
      <c r="C22" s="62" t="s">
        <v>1072</v>
      </c>
      <c r="D22" s="72" t="s">
        <v>1073</v>
      </c>
      <c r="E22" s="74"/>
      <c r="F22" s="63" t="s">
        <v>1041</v>
      </c>
      <c r="G22" s="63"/>
      <c r="H22" s="61" t="s">
        <v>1074</v>
      </c>
      <c r="I22" s="63"/>
      <c r="J22" s="64"/>
      <c r="K22" s="64"/>
      <c r="L22" s="63"/>
      <c r="M22" s="63"/>
      <c r="N22" s="65"/>
    </row>
    <row r="23" spans="1:14" s="2" customFormat="1" ht="20.25" customHeight="1">
      <c r="A23" s="53">
        <v>21</v>
      </c>
      <c r="B23" s="66" t="s">
        <v>132</v>
      </c>
      <c r="C23" s="67" t="s">
        <v>1075</v>
      </c>
      <c r="D23" s="66" t="s">
        <v>1076</v>
      </c>
      <c r="E23" s="69" t="s">
        <v>27</v>
      </c>
      <c r="F23" s="69" t="s">
        <v>1041</v>
      </c>
      <c r="G23" s="69" t="s">
        <v>1051</v>
      </c>
      <c r="H23" s="66" t="s">
        <v>1077</v>
      </c>
      <c r="I23" s="69" t="s">
        <v>530</v>
      </c>
      <c r="J23" s="70"/>
      <c r="K23" s="70"/>
      <c r="L23" s="69"/>
      <c r="M23" s="69"/>
      <c r="N23" s="71"/>
    </row>
    <row r="24" spans="1:14" s="2" customFormat="1" ht="20.25" customHeight="1">
      <c r="A24" s="60">
        <v>22</v>
      </c>
      <c r="B24" s="61" t="s">
        <v>1078</v>
      </c>
      <c r="C24" s="62" t="s">
        <v>1079</v>
      </c>
      <c r="D24" s="72" t="s">
        <v>1080</v>
      </c>
      <c r="E24" s="74"/>
      <c r="F24" s="63" t="s">
        <v>1041</v>
      </c>
      <c r="G24" s="63"/>
      <c r="H24" s="61" t="s">
        <v>1081</v>
      </c>
      <c r="I24" s="63"/>
      <c r="J24" s="64"/>
      <c r="K24" s="64"/>
      <c r="L24" s="63"/>
      <c r="M24" s="63"/>
      <c r="N24" s="65"/>
    </row>
    <row r="25" spans="1:14" s="2" customFormat="1" ht="20.25" customHeight="1">
      <c r="A25" s="53">
        <v>23</v>
      </c>
      <c r="B25" s="66" t="s">
        <v>283</v>
      </c>
      <c r="C25" s="67" t="s">
        <v>1082</v>
      </c>
      <c r="D25" s="66" t="s">
        <v>1083</v>
      </c>
      <c r="E25" s="69" t="s">
        <v>29</v>
      </c>
      <c r="F25" s="69" t="s">
        <v>1023</v>
      </c>
      <c r="G25" s="69" t="s">
        <v>1024</v>
      </c>
      <c r="H25" s="66" t="s">
        <v>1084</v>
      </c>
      <c r="I25" s="69" t="s">
        <v>348</v>
      </c>
      <c r="J25" s="70"/>
      <c r="K25" s="70"/>
      <c r="L25" s="69"/>
      <c r="M25" s="69"/>
      <c r="N25" s="71"/>
    </row>
    <row r="26" spans="1:14" s="2" customFormat="1" ht="20.25" customHeight="1">
      <c r="A26" s="60">
        <v>24</v>
      </c>
      <c r="B26" s="61" t="s">
        <v>1085</v>
      </c>
      <c r="C26" s="72" t="s">
        <v>1086</v>
      </c>
      <c r="D26" s="72" t="s">
        <v>1086</v>
      </c>
      <c r="E26" s="74"/>
      <c r="F26" s="63" t="s">
        <v>374</v>
      </c>
      <c r="G26" s="63"/>
      <c r="H26" s="61"/>
      <c r="I26" s="63"/>
      <c r="J26" s="64"/>
      <c r="K26" s="64"/>
      <c r="L26" s="63"/>
      <c r="M26" s="63"/>
      <c r="N26" s="65"/>
    </row>
    <row r="27" spans="1:14" s="2" customFormat="1" ht="20.25" customHeight="1">
      <c r="A27" s="53">
        <v>25</v>
      </c>
      <c r="B27" s="66" t="s">
        <v>1087</v>
      </c>
      <c r="C27" s="68" t="s">
        <v>1088</v>
      </c>
      <c r="D27" s="68" t="s">
        <v>1088</v>
      </c>
      <c r="E27" s="73"/>
      <c r="F27" s="69" t="s">
        <v>374</v>
      </c>
      <c r="G27" s="69"/>
      <c r="H27" s="66"/>
      <c r="I27" s="69"/>
      <c r="J27" s="70"/>
      <c r="K27" s="70"/>
      <c r="L27" s="69"/>
      <c r="M27" s="69"/>
      <c r="N27" s="71"/>
    </row>
    <row r="28" spans="1:14" s="2" customFormat="1" ht="20.25" customHeight="1">
      <c r="A28" s="60">
        <v>26</v>
      </c>
      <c r="B28" s="61" t="s">
        <v>198</v>
      </c>
      <c r="C28" s="62" t="s">
        <v>1089</v>
      </c>
      <c r="D28" s="72" t="s">
        <v>1090</v>
      </c>
      <c r="E28" s="74"/>
      <c r="F28" s="63" t="s">
        <v>1041</v>
      </c>
      <c r="G28" s="63"/>
      <c r="H28" s="61" t="s">
        <v>1070</v>
      </c>
      <c r="I28" s="63"/>
      <c r="J28" s="64"/>
      <c r="K28" s="64"/>
      <c r="L28" s="63"/>
      <c r="M28" s="63"/>
      <c r="N28" s="65"/>
    </row>
    <row r="29" spans="1:14" s="2" customFormat="1" ht="20.25" customHeight="1">
      <c r="A29" s="53">
        <v>27</v>
      </c>
      <c r="B29" s="66" t="s">
        <v>305</v>
      </c>
      <c r="C29" s="67" t="s">
        <v>1091</v>
      </c>
      <c r="D29" s="68"/>
      <c r="E29" s="73"/>
      <c r="F29" s="69"/>
      <c r="G29" s="69"/>
      <c r="H29" s="66"/>
      <c r="I29" s="69"/>
      <c r="J29" s="70"/>
      <c r="K29" s="70"/>
      <c r="L29" s="69"/>
      <c r="M29" s="69"/>
      <c r="N29" s="71"/>
    </row>
    <row r="30" spans="1:14" s="2" customFormat="1" ht="20.25" customHeight="1">
      <c r="A30" s="60">
        <v>28</v>
      </c>
      <c r="B30" s="61" t="s">
        <v>147</v>
      </c>
      <c r="C30" s="62" t="s">
        <v>1092</v>
      </c>
      <c r="D30" s="61" t="s">
        <v>1093</v>
      </c>
      <c r="E30" s="63" t="s">
        <v>27</v>
      </c>
      <c r="F30" s="63" t="s">
        <v>1050</v>
      </c>
      <c r="G30" s="63" t="s">
        <v>1094</v>
      </c>
      <c r="H30" s="61" t="s">
        <v>1029</v>
      </c>
      <c r="I30" s="63" t="s">
        <v>792</v>
      </c>
      <c r="J30" s="64"/>
      <c r="K30" s="64"/>
      <c r="L30" s="63"/>
      <c r="M30" s="63"/>
      <c r="N30" s="65"/>
    </row>
    <row r="31" spans="1:14" s="2" customFormat="1" ht="20.25" customHeight="1">
      <c r="A31" s="53">
        <v>29</v>
      </c>
      <c r="B31" s="66" t="s">
        <v>513</v>
      </c>
      <c r="C31" s="67" t="s">
        <v>1095</v>
      </c>
      <c r="D31" s="68" t="s">
        <v>1063</v>
      </c>
      <c r="E31" s="73"/>
      <c r="F31" s="69" t="s">
        <v>1041</v>
      </c>
      <c r="G31" s="69"/>
      <c r="H31" s="66" t="s">
        <v>1070</v>
      </c>
      <c r="I31" s="69"/>
      <c r="J31" s="70"/>
      <c r="K31" s="70"/>
      <c r="L31" s="69"/>
      <c r="M31" s="69"/>
      <c r="N31" s="71"/>
    </row>
    <row r="32" spans="1:14" s="2" customFormat="1" ht="20.25" customHeight="1">
      <c r="A32" s="60">
        <v>30</v>
      </c>
      <c r="B32" s="61" t="s">
        <v>1096</v>
      </c>
      <c r="C32" s="62" t="s">
        <v>1097</v>
      </c>
      <c r="D32" s="72" t="s">
        <v>1098</v>
      </c>
      <c r="E32" s="74"/>
      <c r="F32" s="63" t="s">
        <v>1099</v>
      </c>
      <c r="G32" s="63"/>
      <c r="H32" s="61" t="s">
        <v>1100</v>
      </c>
      <c r="I32" s="63"/>
      <c r="J32" s="64"/>
      <c r="K32" s="64"/>
      <c r="L32" s="63"/>
      <c r="M32" s="63"/>
      <c r="N32" s="65"/>
    </row>
    <row r="33" spans="1:14" s="2" customFormat="1" ht="20.25" customHeight="1">
      <c r="A33" s="53">
        <v>31</v>
      </c>
      <c r="B33" s="66" t="s">
        <v>1101</v>
      </c>
      <c r="C33" s="67" t="s">
        <v>1102</v>
      </c>
      <c r="D33" s="68" t="s">
        <v>1090</v>
      </c>
      <c r="E33" s="73"/>
      <c r="F33" s="69" t="s">
        <v>1041</v>
      </c>
      <c r="G33" s="69"/>
      <c r="H33" s="66" t="s">
        <v>1103</v>
      </c>
      <c r="I33" s="69"/>
      <c r="J33" s="70"/>
      <c r="K33" s="70"/>
      <c r="L33" s="69"/>
      <c r="M33" s="69"/>
      <c r="N33" s="71"/>
    </row>
    <row r="34" spans="1:14" s="2" customFormat="1" ht="20.25" customHeight="1">
      <c r="A34" s="60">
        <v>32</v>
      </c>
      <c r="B34" s="61" t="s">
        <v>348</v>
      </c>
      <c r="C34" s="62" t="s">
        <v>1084</v>
      </c>
      <c r="D34" s="61" t="s">
        <v>1104</v>
      </c>
      <c r="E34" s="63" t="s">
        <v>29</v>
      </c>
      <c r="F34" s="63" t="s">
        <v>1023</v>
      </c>
      <c r="G34" s="63" t="s">
        <v>1024</v>
      </c>
      <c r="H34" s="61" t="s">
        <v>1105</v>
      </c>
      <c r="I34" s="63" t="s">
        <v>1106</v>
      </c>
      <c r="J34" s="64"/>
      <c r="K34" s="64"/>
      <c r="L34" s="63"/>
      <c r="M34" s="63"/>
      <c r="N34" s="65"/>
    </row>
    <row r="35" spans="1:14" s="2" customFormat="1" ht="20.25" customHeight="1">
      <c r="A35" s="53">
        <v>33</v>
      </c>
      <c r="B35" s="66" t="s">
        <v>1107</v>
      </c>
      <c r="C35" s="67" t="s">
        <v>1108</v>
      </c>
      <c r="D35" s="68" t="s">
        <v>1109</v>
      </c>
      <c r="E35" s="73"/>
      <c r="F35" s="69" t="s">
        <v>1099</v>
      </c>
      <c r="G35" s="69"/>
      <c r="H35" s="66" t="s">
        <v>1100</v>
      </c>
      <c r="I35" s="69"/>
      <c r="J35" s="70"/>
      <c r="K35" s="70"/>
      <c r="L35" s="69"/>
      <c r="M35" s="69"/>
      <c r="N35" s="71"/>
    </row>
    <row r="36" spans="1:14" s="2" customFormat="1" ht="20.25" customHeight="1">
      <c r="A36" s="60">
        <v>34</v>
      </c>
      <c r="B36" s="61" t="s">
        <v>1110</v>
      </c>
      <c r="C36" s="62" t="s">
        <v>1111</v>
      </c>
      <c r="D36" s="72" t="s">
        <v>1112</v>
      </c>
      <c r="E36" s="74"/>
      <c r="F36" s="63" t="s">
        <v>1041</v>
      </c>
      <c r="G36" s="63"/>
      <c r="H36" s="61" t="s">
        <v>1113</v>
      </c>
      <c r="I36" s="63"/>
      <c r="J36" s="64"/>
      <c r="K36" s="64"/>
      <c r="L36" s="63"/>
      <c r="M36" s="63"/>
      <c r="N36" s="65"/>
    </row>
    <row r="37" spans="1:14" s="2" customFormat="1" ht="20.25" customHeight="1">
      <c r="A37" s="53">
        <v>35</v>
      </c>
      <c r="B37" s="66" t="s">
        <v>1114</v>
      </c>
      <c r="C37" s="67" t="s">
        <v>1115</v>
      </c>
      <c r="D37" s="68" t="s">
        <v>1093</v>
      </c>
      <c r="E37" s="73"/>
      <c r="F37" s="69" t="s">
        <v>1041</v>
      </c>
      <c r="G37" s="69"/>
      <c r="H37" s="66" t="s">
        <v>1116</v>
      </c>
      <c r="I37" s="69"/>
      <c r="J37" s="70"/>
      <c r="K37" s="70"/>
      <c r="L37" s="69"/>
      <c r="M37" s="69"/>
      <c r="N37" s="71"/>
    </row>
    <row r="38" spans="1:14" s="2" customFormat="1" ht="20.25" customHeight="1">
      <c r="A38" s="60">
        <v>36</v>
      </c>
      <c r="B38" s="61" t="s">
        <v>924</v>
      </c>
      <c r="C38" s="62" t="s">
        <v>1117</v>
      </c>
      <c r="D38" s="72" t="s">
        <v>1118</v>
      </c>
      <c r="E38" s="74"/>
      <c r="F38" s="63" t="s">
        <v>1060</v>
      </c>
      <c r="G38" s="63"/>
      <c r="H38" s="61" t="s">
        <v>1119</v>
      </c>
      <c r="I38" s="63"/>
      <c r="J38" s="64"/>
      <c r="K38" s="64"/>
      <c r="L38" s="63"/>
      <c r="M38" s="63"/>
      <c r="N38" s="65"/>
    </row>
    <row r="39" spans="1:14" s="2" customFormat="1" ht="20.25" customHeight="1">
      <c r="A39" s="53">
        <v>37</v>
      </c>
      <c r="B39" s="66" t="s">
        <v>1120</v>
      </c>
      <c r="C39" s="67" t="s">
        <v>1121</v>
      </c>
      <c r="D39" s="68" t="s">
        <v>1122</v>
      </c>
      <c r="E39" s="73"/>
      <c r="F39" s="69" t="s">
        <v>1060</v>
      </c>
      <c r="G39" s="69"/>
      <c r="H39" s="66" t="s">
        <v>1119</v>
      </c>
      <c r="I39" s="69"/>
      <c r="J39" s="70"/>
      <c r="K39" s="70"/>
      <c r="L39" s="69"/>
      <c r="M39" s="69"/>
      <c r="N39" s="71"/>
    </row>
    <row r="40" spans="1:14" s="2" customFormat="1" ht="20.25" customHeight="1">
      <c r="A40" s="60">
        <v>38</v>
      </c>
      <c r="B40" s="61" t="s">
        <v>1123</v>
      </c>
      <c r="C40" s="62" t="s">
        <v>1124</v>
      </c>
      <c r="D40" s="72" t="s">
        <v>1112</v>
      </c>
      <c r="E40" s="74"/>
      <c r="F40" s="63" t="s">
        <v>1041</v>
      </c>
      <c r="G40" s="63"/>
      <c r="H40" s="61" t="s">
        <v>1125</v>
      </c>
      <c r="I40" s="63"/>
      <c r="J40" s="64"/>
      <c r="K40" s="64"/>
      <c r="L40" s="63"/>
      <c r="M40" s="63"/>
      <c r="N40" s="65"/>
    </row>
    <row r="41" spans="1:14" s="2" customFormat="1" ht="20.25" customHeight="1">
      <c r="A41" s="53">
        <v>39</v>
      </c>
      <c r="B41" s="66" t="s">
        <v>1126</v>
      </c>
      <c r="C41" s="67" t="s">
        <v>1127</v>
      </c>
      <c r="D41" s="68" t="s">
        <v>1073</v>
      </c>
      <c r="E41" s="73"/>
      <c r="F41" s="69" t="s">
        <v>1099</v>
      </c>
      <c r="G41" s="69"/>
      <c r="H41" s="66" t="s">
        <v>1074</v>
      </c>
      <c r="I41" s="69"/>
      <c r="J41" s="70"/>
      <c r="K41" s="70"/>
      <c r="L41" s="69"/>
      <c r="M41" s="69"/>
      <c r="N41" s="71"/>
    </row>
    <row r="42" spans="1:14" s="2" customFormat="1" ht="20.25" customHeight="1">
      <c r="A42" s="60">
        <v>40</v>
      </c>
      <c r="B42" s="61" t="s">
        <v>1128</v>
      </c>
      <c r="C42" s="62" t="s">
        <v>687</v>
      </c>
      <c r="D42" s="72"/>
      <c r="E42" s="74"/>
      <c r="F42" s="63"/>
      <c r="G42" s="63"/>
      <c r="H42" s="61"/>
      <c r="I42" s="63"/>
      <c r="J42" s="64"/>
      <c r="K42" s="64"/>
      <c r="L42" s="63"/>
      <c r="M42" s="63"/>
      <c r="N42" s="65"/>
    </row>
    <row r="43" spans="1:14" s="2" customFormat="1" ht="20.25" customHeight="1">
      <c r="A43" s="53">
        <v>41</v>
      </c>
      <c r="B43" s="66" t="s">
        <v>1129</v>
      </c>
      <c r="C43" s="67" t="s">
        <v>1130</v>
      </c>
      <c r="D43" s="68" t="s">
        <v>1112</v>
      </c>
      <c r="E43" s="73"/>
      <c r="F43" s="69" t="s">
        <v>1041</v>
      </c>
      <c r="G43" s="69"/>
      <c r="H43" s="66" t="s">
        <v>1103</v>
      </c>
      <c r="I43" s="69"/>
      <c r="J43" s="70"/>
      <c r="K43" s="70"/>
      <c r="L43" s="69"/>
      <c r="M43" s="69"/>
      <c r="N43" s="71"/>
    </row>
    <row r="44" spans="1:14" s="2" customFormat="1" ht="20.25" customHeight="1">
      <c r="A44" s="60">
        <v>42</v>
      </c>
      <c r="B44" s="61" t="s">
        <v>496</v>
      </c>
      <c r="C44" s="62" t="s">
        <v>1131</v>
      </c>
      <c r="D44" s="61" t="s">
        <v>1112</v>
      </c>
      <c r="E44" s="63" t="s">
        <v>35</v>
      </c>
      <c r="F44" s="63" t="s">
        <v>1041</v>
      </c>
      <c r="G44" s="63" t="s">
        <v>1132</v>
      </c>
      <c r="H44" s="61" t="s">
        <v>1103</v>
      </c>
      <c r="I44" s="63" t="s">
        <v>533</v>
      </c>
      <c r="J44" s="64"/>
      <c r="K44" s="64"/>
      <c r="L44" s="63"/>
      <c r="M44" s="63"/>
      <c r="N44" s="65"/>
    </row>
    <row r="45" spans="1:14" s="2" customFormat="1" ht="20.25" customHeight="1">
      <c r="A45" s="53">
        <v>43</v>
      </c>
      <c r="B45" s="66" t="s">
        <v>457</v>
      </c>
      <c r="C45" s="67" t="s">
        <v>1133</v>
      </c>
      <c r="D45" s="66" t="s">
        <v>1134</v>
      </c>
      <c r="E45" s="69" t="s">
        <v>35</v>
      </c>
      <c r="F45" s="69" t="s">
        <v>1041</v>
      </c>
      <c r="G45" s="69" t="s">
        <v>1132</v>
      </c>
      <c r="H45" s="66" t="s">
        <v>1103</v>
      </c>
      <c r="I45" s="69"/>
      <c r="J45" s="70"/>
      <c r="K45" s="70"/>
      <c r="L45" s="69"/>
      <c r="M45" s="69"/>
      <c r="N45" s="71"/>
    </row>
    <row r="46" spans="1:14" s="2" customFormat="1" ht="20.25" customHeight="1">
      <c r="A46" s="60">
        <v>44</v>
      </c>
      <c r="B46" s="61" t="s">
        <v>317</v>
      </c>
      <c r="C46" s="62" t="s">
        <v>1135</v>
      </c>
      <c r="D46" s="61" t="s">
        <v>1134</v>
      </c>
      <c r="E46" s="63" t="s">
        <v>27</v>
      </c>
      <c r="F46" s="63" t="s">
        <v>1041</v>
      </c>
      <c r="G46" s="63" t="s">
        <v>1094</v>
      </c>
      <c r="H46" s="61" t="s">
        <v>1029</v>
      </c>
      <c r="I46" s="63" t="s">
        <v>792</v>
      </c>
      <c r="J46" s="64"/>
      <c r="K46" s="64"/>
      <c r="L46" s="63"/>
      <c r="M46" s="63"/>
      <c r="N46" s="65"/>
    </row>
    <row r="47" spans="1:14" s="2" customFormat="1" ht="20.25" customHeight="1">
      <c r="A47" s="53">
        <v>45</v>
      </c>
      <c r="B47" s="66" t="s">
        <v>1136</v>
      </c>
      <c r="C47" s="66" t="s">
        <v>1137</v>
      </c>
      <c r="D47" s="68" t="s">
        <v>1112</v>
      </c>
      <c r="E47" s="73"/>
      <c r="F47" s="69" t="s">
        <v>1041</v>
      </c>
      <c r="G47" s="69"/>
      <c r="H47" s="66" t="s">
        <v>1138</v>
      </c>
      <c r="I47" s="69" t="s">
        <v>447</v>
      </c>
      <c r="J47" s="70"/>
      <c r="K47" s="70"/>
      <c r="L47" s="69"/>
      <c r="M47" s="69"/>
      <c r="N47" s="71"/>
    </row>
    <row r="48" spans="1:14" s="2" customFormat="1" ht="20.25" customHeight="1">
      <c r="A48" s="60">
        <v>46</v>
      </c>
      <c r="B48" s="61" t="s">
        <v>1139</v>
      </c>
      <c r="C48" s="61" t="s">
        <v>1140</v>
      </c>
      <c r="D48" s="72" t="s">
        <v>1112</v>
      </c>
      <c r="E48" s="74"/>
      <c r="F48" s="63" t="s">
        <v>1041</v>
      </c>
      <c r="G48" s="63"/>
      <c r="H48" s="61" t="s">
        <v>1141</v>
      </c>
      <c r="I48" s="63"/>
      <c r="J48" s="64"/>
      <c r="K48" s="64"/>
      <c r="L48" s="63"/>
      <c r="M48" s="63"/>
      <c r="N48" s="65"/>
    </row>
    <row r="49" spans="1:14" s="2" customFormat="1" ht="20.25" customHeight="1">
      <c r="A49" s="53">
        <v>47</v>
      </c>
      <c r="B49" s="66" t="s">
        <v>1142</v>
      </c>
      <c r="C49" s="66" t="s">
        <v>1143</v>
      </c>
      <c r="D49" s="68" t="s">
        <v>1144</v>
      </c>
      <c r="E49" s="73"/>
      <c r="F49" s="69" t="s">
        <v>1145</v>
      </c>
      <c r="G49" s="69"/>
      <c r="H49" s="66" t="s">
        <v>1146</v>
      </c>
      <c r="I49" s="69"/>
      <c r="J49" s="70"/>
      <c r="K49" s="70"/>
      <c r="L49" s="69"/>
      <c r="M49" s="69"/>
      <c r="N49" s="71"/>
    </row>
    <row r="50" spans="1:14" s="2" customFormat="1" ht="20.25" customHeight="1">
      <c r="A50" s="60">
        <v>48</v>
      </c>
      <c r="B50" s="61" t="s">
        <v>238</v>
      </c>
      <c r="C50" s="61" t="s">
        <v>1147</v>
      </c>
      <c r="D50" s="61" t="s">
        <v>1148</v>
      </c>
      <c r="E50" s="63" t="s">
        <v>33</v>
      </c>
      <c r="F50" s="63" t="s">
        <v>1149</v>
      </c>
      <c r="G50" s="63" t="s">
        <v>1094</v>
      </c>
      <c r="H50" s="61" t="s">
        <v>1029</v>
      </c>
      <c r="I50" s="63" t="s">
        <v>792</v>
      </c>
      <c r="J50" s="64"/>
      <c r="K50" s="64"/>
      <c r="L50" s="63"/>
      <c r="M50" s="63"/>
      <c r="N50" s="65"/>
    </row>
    <row r="51" spans="1:14" s="2" customFormat="1" ht="20.25" customHeight="1">
      <c r="A51" s="53">
        <v>49</v>
      </c>
      <c r="B51" s="66" t="s">
        <v>431</v>
      </c>
      <c r="C51" s="66" t="s">
        <v>1150</v>
      </c>
      <c r="D51" s="66" t="s">
        <v>1151</v>
      </c>
      <c r="E51" s="69" t="s">
        <v>27</v>
      </c>
      <c r="F51" s="69" t="s">
        <v>1041</v>
      </c>
      <c r="G51" s="69" t="s">
        <v>1094</v>
      </c>
      <c r="H51" s="66" t="s">
        <v>1029</v>
      </c>
      <c r="I51" s="69" t="s">
        <v>792</v>
      </c>
      <c r="J51" s="70"/>
      <c r="K51" s="70"/>
      <c r="L51" s="69"/>
      <c r="M51" s="69"/>
      <c r="N51" s="71"/>
    </row>
    <row r="52" spans="1:14" s="2" customFormat="1" ht="20.25" customHeight="1">
      <c r="A52" s="60">
        <v>50</v>
      </c>
      <c r="B52" s="61" t="s">
        <v>1152</v>
      </c>
      <c r="C52" s="61" t="s">
        <v>1153</v>
      </c>
      <c r="D52" s="61" t="s">
        <v>1040</v>
      </c>
      <c r="E52" s="63"/>
      <c r="F52" s="63" t="s">
        <v>1041</v>
      </c>
      <c r="G52" s="63"/>
      <c r="H52" s="61" t="s">
        <v>1070</v>
      </c>
      <c r="I52" s="63"/>
      <c r="J52" s="64"/>
      <c r="K52" s="64"/>
      <c r="L52" s="63"/>
      <c r="M52" s="63"/>
      <c r="N52" s="65"/>
    </row>
    <row r="53" spans="1:14" s="2" customFormat="1" ht="20.25" customHeight="1">
      <c r="A53" s="53">
        <v>51</v>
      </c>
      <c r="B53" s="66" t="s">
        <v>767</v>
      </c>
      <c r="C53" s="66" t="s">
        <v>1154</v>
      </c>
      <c r="D53" s="66" t="s">
        <v>1155</v>
      </c>
      <c r="E53" s="69"/>
      <c r="F53" s="69" t="s">
        <v>1041</v>
      </c>
      <c r="G53" s="69"/>
      <c r="H53" s="66" t="s">
        <v>1070</v>
      </c>
      <c r="I53" s="69"/>
      <c r="J53" s="70"/>
      <c r="K53" s="70"/>
      <c r="L53" s="69"/>
      <c r="M53" s="69"/>
      <c r="N53" s="71"/>
    </row>
    <row r="54" spans="1:14" s="2" customFormat="1" ht="20.25" customHeight="1">
      <c r="A54" s="60">
        <v>52</v>
      </c>
      <c r="B54" s="61" t="s">
        <v>389</v>
      </c>
      <c r="C54" s="61" t="s">
        <v>1156</v>
      </c>
      <c r="D54" s="61" t="s">
        <v>1157</v>
      </c>
      <c r="E54" s="63"/>
      <c r="F54" s="63" t="s">
        <v>1041</v>
      </c>
      <c r="G54" s="63"/>
      <c r="H54" s="61" t="s">
        <v>1081</v>
      </c>
      <c r="I54" s="63"/>
      <c r="J54" s="64"/>
      <c r="K54" s="64"/>
      <c r="L54" s="63"/>
      <c r="M54" s="63"/>
      <c r="N54" s="65"/>
    </row>
    <row r="55" spans="1:14" s="2" customFormat="1" ht="20.25" customHeight="1">
      <c r="A55" s="53">
        <v>53</v>
      </c>
      <c r="B55" s="66" t="s">
        <v>1158</v>
      </c>
      <c r="C55" s="66" t="s">
        <v>1159</v>
      </c>
      <c r="D55" s="66" t="s">
        <v>1160</v>
      </c>
      <c r="E55" s="69"/>
      <c r="F55" s="69" t="s">
        <v>1041</v>
      </c>
      <c r="G55" s="69"/>
      <c r="H55" s="66" t="s">
        <v>1081</v>
      </c>
      <c r="I55" s="69"/>
      <c r="J55" s="70"/>
      <c r="K55" s="70"/>
      <c r="L55" s="69"/>
      <c r="M55" s="69"/>
      <c r="N55" s="71"/>
    </row>
    <row r="56" spans="1:14" s="2" customFormat="1" ht="20.25" customHeight="1">
      <c r="A56" s="60">
        <v>54</v>
      </c>
      <c r="B56" s="61" t="s">
        <v>104</v>
      </c>
      <c r="C56" s="61" t="s">
        <v>1161</v>
      </c>
      <c r="D56" s="62" t="s">
        <v>1162</v>
      </c>
      <c r="E56" s="75" t="s">
        <v>27</v>
      </c>
      <c r="F56" s="63" t="s">
        <v>1041</v>
      </c>
      <c r="G56" s="63" t="s">
        <v>1051</v>
      </c>
      <c r="H56" s="61" t="s">
        <v>1077</v>
      </c>
      <c r="I56" s="63" t="s">
        <v>530</v>
      </c>
      <c r="J56" s="64" t="s">
        <v>1163</v>
      </c>
      <c r="K56" s="64"/>
      <c r="L56" s="63" t="s">
        <v>1026</v>
      </c>
      <c r="M56" s="63" t="s">
        <v>15</v>
      </c>
      <c r="N56" s="65"/>
    </row>
    <row r="57" spans="1:14" s="2" customFormat="1" ht="20.25" customHeight="1">
      <c r="A57" s="53">
        <v>55</v>
      </c>
      <c r="B57" s="66" t="s">
        <v>515</v>
      </c>
      <c r="C57" s="66" t="s">
        <v>1164</v>
      </c>
      <c r="D57" s="66" t="s">
        <v>1065</v>
      </c>
      <c r="E57" s="69"/>
      <c r="F57" s="69" t="s">
        <v>1041</v>
      </c>
      <c r="G57" s="69"/>
      <c r="H57" s="66" t="s">
        <v>1070</v>
      </c>
      <c r="I57" s="69"/>
      <c r="J57" s="70"/>
      <c r="K57" s="70"/>
      <c r="L57" s="69"/>
      <c r="M57" s="69"/>
      <c r="N57" s="71"/>
    </row>
    <row r="58" spans="1:14" s="2" customFormat="1" ht="20.25" customHeight="1">
      <c r="A58" s="60">
        <v>56</v>
      </c>
      <c r="B58" s="61" t="s">
        <v>459</v>
      </c>
      <c r="C58" s="61" t="s">
        <v>1165</v>
      </c>
      <c r="D58" s="61" t="s">
        <v>1166</v>
      </c>
      <c r="E58" s="63"/>
      <c r="F58" s="63" t="s">
        <v>1041</v>
      </c>
      <c r="G58" s="63"/>
      <c r="H58" s="61" t="s">
        <v>1070</v>
      </c>
      <c r="I58" s="63"/>
      <c r="J58" s="64"/>
      <c r="K58" s="64"/>
      <c r="L58" s="63"/>
      <c r="M58" s="63"/>
      <c r="N58" s="65"/>
    </row>
    <row r="59" spans="1:14" ht="20.25" customHeight="1">
      <c r="A59" s="53">
        <v>57</v>
      </c>
      <c r="B59" s="66" t="s">
        <v>1167</v>
      </c>
      <c r="C59" s="66" t="s">
        <v>1168</v>
      </c>
      <c r="D59" s="66" t="s">
        <v>1169</v>
      </c>
      <c r="E59" s="69"/>
      <c r="F59" s="69" t="s">
        <v>1041</v>
      </c>
      <c r="G59" s="69"/>
      <c r="H59" s="66" t="s">
        <v>1070</v>
      </c>
      <c r="I59" s="69" t="s">
        <v>397</v>
      </c>
      <c r="J59" s="70" t="s">
        <v>1170</v>
      </c>
      <c r="K59" s="70"/>
      <c r="L59" s="69" t="s">
        <v>1026</v>
      </c>
      <c r="M59" s="69" t="s">
        <v>15</v>
      </c>
      <c r="N59" s="71" t="s">
        <v>1171</v>
      </c>
    </row>
    <row r="60" spans="1:14" ht="20.25" customHeight="1">
      <c r="A60" s="60">
        <v>58</v>
      </c>
      <c r="B60" s="61" t="s">
        <v>1172</v>
      </c>
      <c r="C60" s="61" t="s">
        <v>1173</v>
      </c>
      <c r="D60" s="61" t="s">
        <v>1065</v>
      </c>
      <c r="E60" s="63"/>
      <c r="F60" s="63" t="s">
        <v>1041</v>
      </c>
      <c r="G60" s="63"/>
      <c r="H60" s="61" t="s">
        <v>1070</v>
      </c>
      <c r="I60" s="63" t="s">
        <v>397</v>
      </c>
      <c r="J60" s="64"/>
      <c r="K60" s="64"/>
      <c r="L60" s="63"/>
      <c r="M60" s="63"/>
      <c r="N60" s="65"/>
    </row>
    <row r="61" spans="1:14" ht="20.25" customHeight="1">
      <c r="A61" s="53">
        <v>59</v>
      </c>
      <c r="B61" s="66" t="s">
        <v>329</v>
      </c>
      <c r="C61" s="66" t="s">
        <v>1174</v>
      </c>
      <c r="D61" s="66" t="s">
        <v>1065</v>
      </c>
      <c r="E61" s="69"/>
      <c r="F61" s="69" t="s">
        <v>1041</v>
      </c>
      <c r="G61" s="69"/>
      <c r="H61" s="66" t="s">
        <v>1070</v>
      </c>
      <c r="I61" s="69" t="s">
        <v>397</v>
      </c>
      <c r="J61" s="70" t="s">
        <v>1170</v>
      </c>
      <c r="K61" s="70"/>
      <c r="L61" s="69" t="s">
        <v>1026</v>
      </c>
      <c r="M61" s="69" t="s">
        <v>15</v>
      </c>
      <c r="N61" s="71"/>
    </row>
    <row r="62" spans="1:14" ht="20.25" customHeight="1">
      <c r="A62" s="60">
        <v>60</v>
      </c>
      <c r="B62" s="61" t="s">
        <v>517</v>
      </c>
      <c r="C62" s="61" t="s">
        <v>1175</v>
      </c>
      <c r="D62" s="61" t="s">
        <v>1176</v>
      </c>
      <c r="E62" s="63"/>
      <c r="F62" s="63" t="s">
        <v>1041</v>
      </c>
      <c r="G62" s="63"/>
      <c r="H62" s="61" t="s">
        <v>1070</v>
      </c>
      <c r="I62" s="63" t="s">
        <v>397</v>
      </c>
      <c r="J62" s="64"/>
      <c r="K62" s="76"/>
      <c r="L62" s="63" t="s">
        <v>1026</v>
      </c>
      <c r="M62" s="63" t="s">
        <v>15</v>
      </c>
      <c r="N62" s="65"/>
    </row>
    <row r="63" spans="1:14" ht="20.25" customHeight="1">
      <c r="A63" s="53">
        <v>61</v>
      </c>
      <c r="B63" s="66" t="s">
        <v>1177</v>
      </c>
      <c r="C63" s="66" t="s">
        <v>1178</v>
      </c>
      <c r="D63" s="66" t="s">
        <v>1151</v>
      </c>
      <c r="E63" s="69"/>
      <c r="F63" s="69" t="s">
        <v>1041</v>
      </c>
      <c r="G63" s="69"/>
      <c r="H63" s="66" t="s">
        <v>1070</v>
      </c>
      <c r="I63" s="69" t="s">
        <v>397</v>
      </c>
      <c r="J63" s="70" t="s">
        <v>1170</v>
      </c>
      <c r="K63" s="70"/>
      <c r="L63" s="69" t="s">
        <v>1026</v>
      </c>
      <c r="M63" s="69" t="s">
        <v>15</v>
      </c>
      <c r="N63" s="71"/>
    </row>
    <row r="64" spans="1:14" ht="20.25" customHeight="1">
      <c r="A64" s="60">
        <v>62</v>
      </c>
      <c r="B64" s="61" t="s">
        <v>1179</v>
      </c>
      <c r="C64" s="61" t="s">
        <v>1180</v>
      </c>
      <c r="D64" s="61" t="s">
        <v>1144</v>
      </c>
      <c r="E64" s="63"/>
      <c r="F64" s="63" t="s">
        <v>1145</v>
      </c>
      <c r="G64" s="63"/>
      <c r="H64" s="61" t="s">
        <v>1070</v>
      </c>
      <c r="I64" s="63" t="s">
        <v>397</v>
      </c>
      <c r="J64" s="64" t="s">
        <v>1170</v>
      </c>
      <c r="K64" s="64"/>
      <c r="L64" s="63" t="s">
        <v>1026</v>
      </c>
      <c r="M64" s="63" t="s">
        <v>15</v>
      </c>
      <c r="N64" s="65"/>
    </row>
    <row r="65" spans="1:14" ht="20.25" customHeight="1">
      <c r="A65" s="53">
        <v>63</v>
      </c>
      <c r="B65" s="66" t="s">
        <v>1181</v>
      </c>
      <c r="C65" s="66" t="s">
        <v>1182</v>
      </c>
      <c r="D65" s="66" t="s">
        <v>1090</v>
      </c>
      <c r="E65" s="69"/>
      <c r="F65" s="69" t="s">
        <v>1041</v>
      </c>
      <c r="G65" s="69"/>
      <c r="H65" s="66" t="s">
        <v>1103</v>
      </c>
      <c r="I65" s="69" t="s">
        <v>533</v>
      </c>
      <c r="J65" s="70" t="s">
        <v>1170</v>
      </c>
      <c r="K65" s="70"/>
      <c r="L65" s="69" t="s">
        <v>1026</v>
      </c>
      <c r="M65" s="69" t="s">
        <v>15</v>
      </c>
      <c r="N65" s="71"/>
    </row>
    <row r="66" spans="1:14" ht="20.25" customHeight="1">
      <c r="A66" s="60">
        <v>64</v>
      </c>
      <c r="B66" s="61" t="s">
        <v>292</v>
      </c>
      <c r="C66" s="61" t="s">
        <v>39</v>
      </c>
      <c r="D66" s="61" t="s">
        <v>1162</v>
      </c>
      <c r="E66" s="63" t="s">
        <v>27</v>
      </c>
      <c r="F66" s="63" t="s">
        <v>1041</v>
      </c>
      <c r="G66" s="63" t="s">
        <v>1051</v>
      </c>
      <c r="H66" s="61" t="s">
        <v>1077</v>
      </c>
      <c r="I66" s="63" t="s">
        <v>530</v>
      </c>
      <c r="J66" s="64" t="s">
        <v>1170</v>
      </c>
      <c r="K66" s="64"/>
      <c r="L66" s="63" t="s">
        <v>1026</v>
      </c>
      <c r="M66" s="63" t="s">
        <v>15</v>
      </c>
      <c r="N66" s="65"/>
    </row>
    <row r="67" spans="1:14" ht="20.25" customHeight="1">
      <c r="A67" s="53">
        <v>65</v>
      </c>
      <c r="B67" s="66" t="s">
        <v>1183</v>
      </c>
      <c r="C67" s="66" t="s">
        <v>1184</v>
      </c>
      <c r="D67" s="66" t="s">
        <v>1185</v>
      </c>
      <c r="E67" s="69"/>
      <c r="F67" s="69" t="s">
        <v>1149</v>
      </c>
      <c r="G67" s="69"/>
      <c r="H67" s="66" t="s">
        <v>1186</v>
      </c>
      <c r="I67" s="69" t="s">
        <v>240</v>
      </c>
      <c r="J67" s="70" t="s">
        <v>1170</v>
      </c>
      <c r="K67" s="70"/>
      <c r="L67" s="69" t="s">
        <v>1026</v>
      </c>
      <c r="M67" s="69" t="s">
        <v>15</v>
      </c>
      <c r="N67" s="71"/>
    </row>
    <row r="68" spans="1:14" ht="20.25" customHeight="1">
      <c r="A68" s="60">
        <v>66</v>
      </c>
      <c r="B68" s="61" t="s">
        <v>1187</v>
      </c>
      <c r="C68" s="61" t="s">
        <v>1061</v>
      </c>
      <c r="D68" s="61" t="s">
        <v>1188</v>
      </c>
      <c r="E68" s="63"/>
      <c r="F68" s="63" t="s">
        <v>1188</v>
      </c>
      <c r="G68" s="63"/>
      <c r="H68" s="61" t="s">
        <v>1189</v>
      </c>
      <c r="I68" s="63" t="s">
        <v>1190</v>
      </c>
      <c r="J68" s="64" t="s">
        <v>1170</v>
      </c>
      <c r="K68" s="64"/>
      <c r="L68" s="63" t="s">
        <v>1026</v>
      </c>
      <c r="M68" s="63" t="s">
        <v>15</v>
      </c>
      <c r="N68" s="65"/>
    </row>
    <row r="69" spans="1:14" ht="20.25" customHeight="1">
      <c r="A69" s="53">
        <v>67</v>
      </c>
      <c r="B69" s="66" t="s">
        <v>103</v>
      </c>
      <c r="C69" s="66" t="s">
        <v>1191</v>
      </c>
      <c r="D69" s="66" t="s">
        <v>1192</v>
      </c>
      <c r="E69" s="69" t="s">
        <v>35</v>
      </c>
      <c r="F69" s="69" t="s">
        <v>1041</v>
      </c>
      <c r="G69" s="69" t="s">
        <v>1024</v>
      </c>
      <c r="H69" s="66" t="s">
        <v>1029</v>
      </c>
      <c r="I69" s="69" t="s">
        <v>792</v>
      </c>
      <c r="J69" s="70" t="s">
        <v>1170</v>
      </c>
      <c r="K69" s="70"/>
      <c r="L69" s="69" t="s">
        <v>1026</v>
      </c>
      <c r="M69" s="69" t="s">
        <v>15</v>
      </c>
      <c r="N69" s="71"/>
    </row>
    <row r="70" spans="1:14" ht="20.25" customHeight="1">
      <c r="A70" s="60">
        <v>68</v>
      </c>
      <c r="B70" s="61" t="s">
        <v>1193</v>
      </c>
      <c r="C70" s="61" t="s">
        <v>1194</v>
      </c>
      <c r="D70" s="61" t="s">
        <v>1195</v>
      </c>
      <c r="E70" s="63"/>
      <c r="F70" s="63" t="s">
        <v>1041</v>
      </c>
      <c r="G70" s="63"/>
      <c r="H70" s="61" t="s">
        <v>1070</v>
      </c>
      <c r="I70" s="63" t="s">
        <v>397</v>
      </c>
      <c r="J70" s="64" t="s">
        <v>1170</v>
      </c>
      <c r="K70" s="64"/>
      <c r="L70" s="63" t="s">
        <v>1026</v>
      </c>
      <c r="M70" s="63" t="s">
        <v>15</v>
      </c>
      <c r="N70" s="65"/>
    </row>
    <row r="71" spans="1:14" ht="20.25" customHeight="1">
      <c r="A71" s="53">
        <v>69</v>
      </c>
      <c r="B71" s="66" t="s">
        <v>303</v>
      </c>
      <c r="C71" s="66" t="s">
        <v>1196</v>
      </c>
      <c r="D71" s="66" t="s">
        <v>1197</v>
      </c>
      <c r="E71" s="69" t="s">
        <v>29</v>
      </c>
      <c r="F71" s="69" t="s">
        <v>1023</v>
      </c>
      <c r="G71" s="69" t="s">
        <v>1024</v>
      </c>
      <c r="H71" s="66" t="s">
        <v>1045</v>
      </c>
      <c r="I71" s="69" t="s">
        <v>475</v>
      </c>
      <c r="J71" s="70" t="s">
        <v>1198</v>
      </c>
      <c r="K71" s="70"/>
      <c r="L71" s="69" t="s">
        <v>1026</v>
      </c>
      <c r="M71" s="69" t="s">
        <v>15</v>
      </c>
      <c r="N71" s="71"/>
    </row>
    <row r="72" spans="1:14" ht="20.25" customHeight="1">
      <c r="A72" s="60">
        <v>70</v>
      </c>
      <c r="B72" s="61" t="s">
        <v>1199</v>
      </c>
      <c r="C72" s="61" t="s">
        <v>1200</v>
      </c>
      <c r="D72" s="61" t="s">
        <v>1065</v>
      </c>
      <c r="E72" s="63"/>
      <c r="F72" s="63" t="s">
        <v>1041</v>
      </c>
      <c r="G72" s="63"/>
      <c r="H72" s="61" t="s">
        <v>1070</v>
      </c>
      <c r="I72" s="63" t="s">
        <v>397</v>
      </c>
      <c r="J72" s="64" t="s">
        <v>1198</v>
      </c>
      <c r="K72" s="64" t="s">
        <v>1201</v>
      </c>
      <c r="L72" s="63" t="s">
        <v>1202</v>
      </c>
      <c r="M72" s="63" t="s">
        <v>15</v>
      </c>
      <c r="N72" s="65"/>
    </row>
    <row r="73" spans="1:14" ht="20.25" customHeight="1">
      <c r="A73" s="53">
        <v>71</v>
      </c>
      <c r="B73" s="66" t="s">
        <v>536</v>
      </c>
      <c r="C73" s="66" t="s">
        <v>1203</v>
      </c>
      <c r="D73" s="66" t="s">
        <v>1065</v>
      </c>
      <c r="E73" s="69"/>
      <c r="F73" s="69" t="s">
        <v>1041</v>
      </c>
      <c r="G73" s="69"/>
      <c r="H73" s="66" t="s">
        <v>1070</v>
      </c>
      <c r="I73" s="69" t="s">
        <v>397</v>
      </c>
      <c r="J73" s="70">
        <v>45845</v>
      </c>
      <c r="K73" s="70"/>
      <c r="L73" s="69" t="s">
        <v>1026</v>
      </c>
      <c r="M73" s="69" t="s">
        <v>15</v>
      </c>
      <c r="N73" s="71"/>
    </row>
    <row r="74" spans="1:14" ht="20.25" customHeight="1">
      <c r="A74" s="60">
        <v>72</v>
      </c>
      <c r="B74" s="61" t="s">
        <v>1204</v>
      </c>
      <c r="C74" s="61" t="s">
        <v>1205</v>
      </c>
      <c r="D74" s="61" t="s">
        <v>1065</v>
      </c>
      <c r="E74" s="63"/>
      <c r="F74" s="63" t="s">
        <v>1041</v>
      </c>
      <c r="G74" s="63"/>
      <c r="H74" s="61" t="s">
        <v>1070</v>
      </c>
      <c r="I74" s="63" t="s">
        <v>397</v>
      </c>
      <c r="J74" s="64">
        <v>45845</v>
      </c>
      <c r="K74" s="64">
        <v>45968</v>
      </c>
      <c r="L74" s="63" t="s">
        <v>1202</v>
      </c>
      <c r="M74" s="63" t="s">
        <v>15</v>
      </c>
      <c r="N74" s="65"/>
    </row>
    <row r="75" spans="1:14" ht="20.25" customHeight="1">
      <c r="A75" s="53">
        <v>73</v>
      </c>
      <c r="B75" s="66" t="s">
        <v>320</v>
      </c>
      <c r="C75" s="66" t="s">
        <v>1206</v>
      </c>
      <c r="D75" s="66" t="s">
        <v>1207</v>
      </c>
      <c r="E75" s="69" t="s">
        <v>29</v>
      </c>
      <c r="F75" s="69" t="s">
        <v>1023</v>
      </c>
      <c r="G75" s="69" t="s">
        <v>1024</v>
      </c>
      <c r="H75" s="66" t="s">
        <v>1045</v>
      </c>
      <c r="I75" s="69" t="s">
        <v>475</v>
      </c>
      <c r="J75" s="70">
        <v>45695</v>
      </c>
      <c r="K75" s="70"/>
      <c r="L75" s="69" t="s">
        <v>1026</v>
      </c>
      <c r="M75" s="69" t="s">
        <v>15</v>
      </c>
      <c r="N75" s="71"/>
    </row>
    <row r="76" spans="1:14" ht="20.25" customHeight="1">
      <c r="A76" s="60">
        <v>74</v>
      </c>
      <c r="B76" s="61" t="s">
        <v>223</v>
      </c>
      <c r="C76" s="61" t="s">
        <v>1208</v>
      </c>
      <c r="D76" s="61" t="s">
        <v>1209</v>
      </c>
      <c r="E76" s="63" t="s">
        <v>29</v>
      </c>
      <c r="F76" s="63" t="s">
        <v>1023</v>
      </c>
      <c r="G76" s="63" t="s">
        <v>1024</v>
      </c>
      <c r="H76" s="61" t="s">
        <v>1045</v>
      </c>
      <c r="I76" s="63" t="s">
        <v>475</v>
      </c>
      <c r="J76" s="64">
        <v>45695</v>
      </c>
      <c r="K76" s="64"/>
      <c r="L76" s="63" t="s">
        <v>1026</v>
      </c>
      <c r="M76" s="63" t="s">
        <v>15</v>
      </c>
      <c r="N76" s="65"/>
    </row>
    <row r="77" spans="1:14" ht="20.25" customHeight="1">
      <c r="A77" s="53">
        <v>75</v>
      </c>
      <c r="B77" s="66" t="s">
        <v>689</v>
      </c>
      <c r="C77" s="66" t="s">
        <v>1210</v>
      </c>
      <c r="D77" s="66" t="s">
        <v>1211</v>
      </c>
      <c r="E77" s="69"/>
      <c r="F77" s="69"/>
      <c r="G77" s="69"/>
      <c r="H77" s="66" t="s">
        <v>1212</v>
      </c>
      <c r="I77" s="69" t="s">
        <v>1213</v>
      </c>
      <c r="J77" s="70" t="s">
        <v>1214</v>
      </c>
      <c r="K77" s="70"/>
      <c r="L77" s="69" t="s">
        <v>1026</v>
      </c>
      <c r="M77" s="69" t="s">
        <v>1215</v>
      </c>
      <c r="N77" s="71"/>
    </row>
    <row r="78" spans="1:14" ht="20.25" customHeight="1">
      <c r="A78" s="60">
        <v>76</v>
      </c>
      <c r="B78" s="61" t="s">
        <v>1216</v>
      </c>
      <c r="C78" s="61" t="s">
        <v>1217</v>
      </c>
      <c r="D78" s="61" t="s">
        <v>1169</v>
      </c>
      <c r="E78" s="63"/>
      <c r="F78" s="63" t="s">
        <v>1041</v>
      </c>
      <c r="G78" s="63"/>
      <c r="H78" s="61" t="s">
        <v>1070</v>
      </c>
      <c r="I78" s="63" t="s">
        <v>397</v>
      </c>
      <c r="J78" s="64" t="s">
        <v>1218</v>
      </c>
      <c r="K78" s="64">
        <v>45754</v>
      </c>
      <c r="L78" s="63" t="s">
        <v>1202</v>
      </c>
      <c r="M78" s="63" t="s">
        <v>15</v>
      </c>
      <c r="N78" s="65" t="s">
        <v>1219</v>
      </c>
    </row>
    <row r="79" spans="1:14" ht="20.25" customHeight="1">
      <c r="A79" s="53">
        <v>77</v>
      </c>
      <c r="B79" s="66" t="s">
        <v>155</v>
      </c>
      <c r="C79" s="66" t="s">
        <v>1220</v>
      </c>
      <c r="D79" s="66" t="s">
        <v>1065</v>
      </c>
      <c r="E79" s="69"/>
      <c r="F79" s="69" t="s">
        <v>1041</v>
      </c>
      <c r="G79" s="69"/>
      <c r="H79" s="66" t="s">
        <v>1070</v>
      </c>
      <c r="I79" s="69" t="s">
        <v>397</v>
      </c>
      <c r="J79" s="70" t="s">
        <v>752</v>
      </c>
      <c r="K79" s="70"/>
      <c r="L79" s="69" t="s">
        <v>1026</v>
      </c>
      <c r="M79" s="69" t="s">
        <v>15</v>
      </c>
      <c r="N79" s="71"/>
    </row>
    <row r="80" spans="1:14" ht="20.25" customHeight="1">
      <c r="A80" s="60">
        <v>78</v>
      </c>
      <c r="B80" s="61" t="s">
        <v>124</v>
      </c>
      <c r="C80" s="61" t="s">
        <v>1221</v>
      </c>
      <c r="D80" s="61" t="s">
        <v>1065</v>
      </c>
      <c r="E80" s="63"/>
      <c r="F80" s="63" t="s">
        <v>1041</v>
      </c>
      <c r="G80" s="63"/>
      <c r="H80" s="61" t="s">
        <v>1070</v>
      </c>
      <c r="I80" s="63" t="s">
        <v>397</v>
      </c>
      <c r="J80" s="64">
        <v>45817</v>
      </c>
      <c r="K80" s="64"/>
      <c r="L80" s="63" t="s">
        <v>1026</v>
      </c>
      <c r="M80" s="63" t="s">
        <v>15</v>
      </c>
      <c r="N80" s="65"/>
    </row>
    <row r="81" spans="1:14" ht="20.25" customHeight="1">
      <c r="A81" s="53">
        <v>79</v>
      </c>
      <c r="B81" s="66" t="s">
        <v>470</v>
      </c>
      <c r="C81" s="66" t="s">
        <v>1074</v>
      </c>
      <c r="D81" s="66" t="s">
        <v>1222</v>
      </c>
      <c r="E81" s="69"/>
      <c r="F81" s="69" t="s">
        <v>1099</v>
      </c>
      <c r="G81" s="69"/>
      <c r="H81" s="66" t="s">
        <v>1100</v>
      </c>
      <c r="I81" s="69" t="s">
        <v>1223</v>
      </c>
      <c r="J81" s="70">
        <v>45817</v>
      </c>
      <c r="K81" s="70"/>
      <c r="L81" s="69" t="s">
        <v>1026</v>
      </c>
      <c r="M81" s="69" t="s">
        <v>15</v>
      </c>
      <c r="N81" s="71"/>
    </row>
    <row r="82" spans="1:14" ht="20.25" customHeight="1">
      <c r="A82" s="60">
        <v>80</v>
      </c>
      <c r="B82" s="61" t="s">
        <v>215</v>
      </c>
      <c r="C82" s="61" t="s">
        <v>1224</v>
      </c>
      <c r="D82" s="61" t="s">
        <v>1151</v>
      </c>
      <c r="E82" s="63" t="s">
        <v>27</v>
      </c>
      <c r="F82" s="63" t="s">
        <v>1041</v>
      </c>
      <c r="G82" s="63" t="s">
        <v>1051</v>
      </c>
      <c r="H82" s="61" t="s">
        <v>1225</v>
      </c>
      <c r="I82" s="63" t="s">
        <v>288</v>
      </c>
      <c r="J82" s="64">
        <v>45812</v>
      </c>
      <c r="K82" s="64"/>
      <c r="L82" s="63" t="s">
        <v>1026</v>
      </c>
      <c r="M82" s="63" t="s">
        <v>15</v>
      </c>
      <c r="N82" s="65"/>
    </row>
    <row r="83" spans="1:14" ht="20.25" customHeight="1">
      <c r="A83" s="53">
        <v>81</v>
      </c>
      <c r="B83" s="66" t="s">
        <v>520</v>
      </c>
      <c r="C83" s="66" t="s">
        <v>1226</v>
      </c>
      <c r="D83" s="66" t="s">
        <v>1227</v>
      </c>
      <c r="E83" s="69"/>
      <c r="F83" s="69" t="s">
        <v>1041</v>
      </c>
      <c r="G83" s="69"/>
      <c r="H83" s="66" t="s">
        <v>1212</v>
      </c>
      <c r="I83" s="69" t="s">
        <v>1213</v>
      </c>
      <c r="J83" s="70">
        <v>45812</v>
      </c>
      <c r="K83" s="70"/>
      <c r="L83" s="69" t="s">
        <v>1026</v>
      </c>
      <c r="M83" s="69" t="s">
        <v>15</v>
      </c>
      <c r="N83" s="71"/>
    </row>
    <row r="84" spans="1:14" ht="20.25" customHeight="1">
      <c r="A84" s="60">
        <v>82</v>
      </c>
      <c r="B84" s="61" t="s">
        <v>1228</v>
      </c>
      <c r="C84" s="61" t="s">
        <v>1229</v>
      </c>
      <c r="D84" s="61" t="s">
        <v>1207</v>
      </c>
      <c r="E84" s="63"/>
      <c r="F84" s="63" t="s">
        <v>1023</v>
      </c>
      <c r="G84" s="63"/>
      <c r="H84" s="61" t="s">
        <v>1212</v>
      </c>
      <c r="I84" s="63" t="s">
        <v>1213</v>
      </c>
      <c r="J84" s="64" t="s">
        <v>1230</v>
      </c>
      <c r="K84" s="64"/>
      <c r="L84" s="63" t="s">
        <v>1026</v>
      </c>
      <c r="M84" s="63" t="s">
        <v>15</v>
      </c>
      <c r="N84" s="65"/>
    </row>
    <row r="85" spans="1:14" ht="20.25" customHeight="1">
      <c r="A85" s="53">
        <v>83</v>
      </c>
      <c r="B85" s="66" t="s">
        <v>1231</v>
      </c>
      <c r="C85" s="66" t="s">
        <v>1232</v>
      </c>
      <c r="D85" s="66" t="s">
        <v>1233</v>
      </c>
      <c r="E85" s="69"/>
      <c r="F85" s="69" t="s">
        <v>1099</v>
      </c>
      <c r="G85" s="69"/>
      <c r="H85" s="66" t="s">
        <v>1100</v>
      </c>
      <c r="I85" s="69" t="s">
        <v>1223</v>
      </c>
      <c r="J85" s="70" t="s">
        <v>1234</v>
      </c>
      <c r="K85" s="70"/>
      <c r="L85" s="69" t="s">
        <v>1026</v>
      </c>
      <c r="M85" s="69" t="s">
        <v>15</v>
      </c>
      <c r="N85" s="71"/>
    </row>
    <row r="86" spans="1:14" ht="20.25" customHeight="1">
      <c r="A86" s="60">
        <v>84</v>
      </c>
      <c r="B86" s="61" t="s">
        <v>1235</v>
      </c>
      <c r="C86" s="61" t="s">
        <v>1236</v>
      </c>
      <c r="D86" s="61" t="s">
        <v>1073</v>
      </c>
      <c r="E86" s="63"/>
      <c r="F86" s="63" t="s">
        <v>1099</v>
      </c>
      <c r="G86" s="63"/>
      <c r="H86" s="61" t="s">
        <v>1237</v>
      </c>
      <c r="I86" s="63" t="s">
        <v>1238</v>
      </c>
      <c r="J86" s="64" t="s">
        <v>1239</v>
      </c>
      <c r="K86" s="64"/>
      <c r="L86" s="63" t="s">
        <v>1026</v>
      </c>
      <c r="M86" s="63" t="s">
        <v>15</v>
      </c>
      <c r="N86" s="65"/>
    </row>
    <row r="87" spans="1:14" ht="20.25" customHeight="1">
      <c r="A87" s="53">
        <v>85</v>
      </c>
      <c r="B87" s="66" t="s">
        <v>576</v>
      </c>
      <c r="C87" s="66" t="s">
        <v>1240</v>
      </c>
      <c r="D87" s="66" t="s">
        <v>1166</v>
      </c>
      <c r="E87" s="69"/>
      <c r="F87" s="69" t="s">
        <v>1041</v>
      </c>
      <c r="G87" s="69"/>
      <c r="H87" s="66" t="s">
        <v>1241</v>
      </c>
      <c r="I87" s="69" t="s">
        <v>1242</v>
      </c>
      <c r="J87" s="70">
        <v>45996</v>
      </c>
      <c r="K87" s="70"/>
      <c r="L87" s="69" t="s">
        <v>1026</v>
      </c>
      <c r="M87" s="69" t="s">
        <v>15</v>
      </c>
      <c r="N87" s="71"/>
    </row>
    <row r="88" spans="1:14" ht="20.25" customHeight="1">
      <c r="A88" s="60">
        <v>86</v>
      </c>
      <c r="B88" s="61" t="s">
        <v>242</v>
      </c>
      <c r="C88" s="61" t="s">
        <v>1243</v>
      </c>
      <c r="D88" s="61" t="s">
        <v>1244</v>
      </c>
      <c r="E88" s="63"/>
      <c r="F88" s="63" t="s">
        <v>1023</v>
      </c>
      <c r="G88" s="63"/>
      <c r="H88" s="61" t="s">
        <v>1212</v>
      </c>
      <c r="I88" s="63" t="s">
        <v>1213</v>
      </c>
      <c r="J88" s="64">
        <v>45782</v>
      </c>
      <c r="K88" s="64"/>
      <c r="L88" s="63" t="s">
        <v>1026</v>
      </c>
      <c r="M88" s="63" t="s">
        <v>15</v>
      </c>
      <c r="N88" s="65"/>
    </row>
    <row r="89" spans="1:14" ht="20.25" customHeight="1">
      <c r="A89" s="53">
        <v>87</v>
      </c>
      <c r="B89" s="66" t="s">
        <v>1245</v>
      </c>
      <c r="C89" s="66" t="s">
        <v>1246</v>
      </c>
      <c r="D89" s="66" t="s">
        <v>1098</v>
      </c>
      <c r="E89" s="69"/>
      <c r="F89" s="69" t="s">
        <v>1041</v>
      </c>
      <c r="G89" s="69"/>
      <c r="H89" s="66" t="s">
        <v>1070</v>
      </c>
      <c r="I89" s="69" t="s">
        <v>397</v>
      </c>
      <c r="J89" s="70" t="s">
        <v>1247</v>
      </c>
      <c r="K89" s="70" t="s">
        <v>1248</v>
      </c>
      <c r="L89" s="69" t="s">
        <v>1026</v>
      </c>
      <c r="M89" s="69" t="s">
        <v>15</v>
      </c>
      <c r="N89" s="71" t="s">
        <v>1219</v>
      </c>
    </row>
    <row r="90" spans="1:14" ht="20.25" customHeight="1">
      <c r="A90" s="60">
        <v>88</v>
      </c>
      <c r="B90" s="61" t="s">
        <v>1249</v>
      </c>
      <c r="C90" s="61" t="s">
        <v>1250</v>
      </c>
      <c r="D90" s="61" t="s">
        <v>1251</v>
      </c>
      <c r="E90" s="63"/>
      <c r="F90" s="63" t="s">
        <v>1099</v>
      </c>
      <c r="G90" s="63"/>
      <c r="H90" s="61" t="s">
        <v>1100</v>
      </c>
      <c r="I90" s="63" t="s">
        <v>1223</v>
      </c>
      <c r="J90" s="64" t="s">
        <v>1247</v>
      </c>
      <c r="K90" s="64"/>
      <c r="L90" s="63" t="s">
        <v>1026</v>
      </c>
      <c r="M90" s="63" t="s">
        <v>15</v>
      </c>
      <c r="N90" s="65"/>
    </row>
    <row r="91" spans="1:14" ht="20.25" customHeight="1">
      <c r="A91" s="53">
        <v>89</v>
      </c>
      <c r="B91" s="66" t="s">
        <v>1252</v>
      </c>
      <c r="C91" s="66" t="s">
        <v>1253</v>
      </c>
      <c r="D91" s="66" t="s">
        <v>1254</v>
      </c>
      <c r="E91" s="69"/>
      <c r="F91" s="69" t="s">
        <v>1099</v>
      </c>
      <c r="G91" s="69"/>
      <c r="H91" s="66" t="s">
        <v>1237</v>
      </c>
      <c r="I91" s="69" t="s">
        <v>1238</v>
      </c>
      <c r="J91" s="70" t="s">
        <v>1247</v>
      </c>
      <c r="K91" s="70"/>
      <c r="L91" s="69" t="s">
        <v>1026</v>
      </c>
      <c r="M91" s="69" t="s">
        <v>15</v>
      </c>
      <c r="N91" s="71"/>
    </row>
    <row r="92" spans="1:14" ht="20.25" customHeight="1">
      <c r="A92" s="60">
        <v>90</v>
      </c>
      <c r="B92" s="61" t="s">
        <v>503</v>
      </c>
      <c r="C92" s="61" t="s">
        <v>1255</v>
      </c>
      <c r="D92" s="61" t="s">
        <v>1256</v>
      </c>
      <c r="E92" s="63"/>
      <c r="F92" s="63" t="s">
        <v>1099</v>
      </c>
      <c r="G92" s="63"/>
      <c r="H92" s="61" t="s">
        <v>1100</v>
      </c>
      <c r="I92" s="63" t="s">
        <v>1223</v>
      </c>
      <c r="J92" s="64" t="s">
        <v>1257</v>
      </c>
      <c r="K92" s="64"/>
      <c r="L92" s="63" t="s">
        <v>1026</v>
      </c>
      <c r="M92" s="63" t="s">
        <v>15</v>
      </c>
      <c r="N92" s="65"/>
    </row>
    <row r="93" spans="1:14" ht="20.25" customHeight="1">
      <c r="A93" s="53">
        <v>91</v>
      </c>
      <c r="B93" s="66" t="s">
        <v>258</v>
      </c>
      <c r="C93" s="66" t="s">
        <v>1258</v>
      </c>
      <c r="D93" s="66" t="s">
        <v>1098</v>
      </c>
      <c r="E93" s="69"/>
      <c r="F93" s="69" t="s">
        <v>1099</v>
      </c>
      <c r="G93" s="69"/>
      <c r="H93" s="66" t="s">
        <v>1070</v>
      </c>
      <c r="I93" s="69" t="s">
        <v>397</v>
      </c>
      <c r="J93" s="70" t="s">
        <v>1259</v>
      </c>
      <c r="K93" s="70"/>
      <c r="L93" s="69" t="s">
        <v>1026</v>
      </c>
      <c r="M93" s="69" t="s">
        <v>15</v>
      </c>
      <c r="N93" s="71"/>
    </row>
    <row r="94" spans="1:14" ht="20.25" customHeight="1">
      <c r="A94" s="60">
        <v>92</v>
      </c>
      <c r="B94" s="61" t="s">
        <v>1260</v>
      </c>
      <c r="C94" s="61" t="s">
        <v>1261</v>
      </c>
      <c r="D94" s="61" t="s">
        <v>1098</v>
      </c>
      <c r="E94" s="63"/>
      <c r="F94" s="63" t="s">
        <v>1041</v>
      </c>
      <c r="G94" s="63"/>
      <c r="H94" s="61" t="s">
        <v>1237</v>
      </c>
      <c r="I94" s="63" t="s">
        <v>1238</v>
      </c>
      <c r="J94" s="64" t="s">
        <v>1259</v>
      </c>
      <c r="K94" s="64"/>
      <c r="L94" s="63" t="s">
        <v>1026</v>
      </c>
      <c r="M94" s="63" t="s">
        <v>15</v>
      </c>
      <c r="N94" s="65"/>
    </row>
    <row r="95" spans="1:14" ht="20.25" customHeight="1">
      <c r="A95" s="53">
        <v>93</v>
      </c>
      <c r="B95" s="66" t="s">
        <v>1262</v>
      </c>
      <c r="C95" s="66" t="s">
        <v>1263</v>
      </c>
      <c r="D95" s="66" t="s">
        <v>1264</v>
      </c>
      <c r="E95" s="69"/>
      <c r="F95" s="69" t="s">
        <v>1145</v>
      </c>
      <c r="G95" s="69"/>
      <c r="H95" s="66" t="s">
        <v>1189</v>
      </c>
      <c r="I95" s="69" t="s">
        <v>1190</v>
      </c>
      <c r="J95" s="70" t="s">
        <v>1259</v>
      </c>
      <c r="K95" s="70"/>
      <c r="L95" s="69" t="s">
        <v>1026</v>
      </c>
      <c r="M95" s="69" t="s">
        <v>15</v>
      </c>
      <c r="N95" s="71"/>
    </row>
    <row r="96" spans="1:14" ht="20.25" customHeight="1">
      <c r="A96" s="60">
        <v>94</v>
      </c>
      <c r="B96" s="61" t="s">
        <v>1265</v>
      </c>
      <c r="C96" s="61" t="s">
        <v>1266</v>
      </c>
      <c r="D96" s="61" t="s">
        <v>1267</v>
      </c>
      <c r="E96" s="63"/>
      <c r="F96" s="63" t="s">
        <v>1099</v>
      </c>
      <c r="G96" s="63"/>
      <c r="H96" s="61" t="s">
        <v>1237</v>
      </c>
      <c r="I96" s="63" t="s">
        <v>1238</v>
      </c>
      <c r="J96" s="64">
        <v>45904</v>
      </c>
      <c r="K96" s="64"/>
      <c r="L96" s="63" t="s">
        <v>1026</v>
      </c>
      <c r="M96" s="63" t="s">
        <v>15</v>
      </c>
      <c r="N96" s="65"/>
    </row>
    <row r="97" spans="1:14" ht="20.25" customHeight="1">
      <c r="A97" s="53">
        <v>95</v>
      </c>
      <c r="B97" s="66" t="s">
        <v>1268</v>
      </c>
      <c r="C97" s="66" t="s">
        <v>1269</v>
      </c>
      <c r="D97" s="66" t="s">
        <v>1270</v>
      </c>
      <c r="E97" s="69"/>
      <c r="F97" s="69" t="s">
        <v>1145</v>
      </c>
      <c r="G97" s="69"/>
      <c r="H97" s="66" t="s">
        <v>1189</v>
      </c>
      <c r="I97" s="69" t="s">
        <v>1190</v>
      </c>
      <c r="J97" s="70">
        <v>45692</v>
      </c>
      <c r="K97" s="70"/>
      <c r="L97" s="69" t="s">
        <v>1026</v>
      </c>
      <c r="M97" s="69" t="s">
        <v>15</v>
      </c>
      <c r="N97" s="71"/>
    </row>
    <row r="98" spans="1:14" ht="20.25" customHeight="1">
      <c r="A98" s="60">
        <v>96</v>
      </c>
      <c r="B98" s="61" t="s">
        <v>1271</v>
      </c>
      <c r="C98" s="61" t="s">
        <v>1272</v>
      </c>
      <c r="D98" s="61" t="s">
        <v>1151</v>
      </c>
      <c r="E98" s="63"/>
      <c r="F98" s="63" t="s">
        <v>1041</v>
      </c>
      <c r="G98" s="63"/>
      <c r="H98" s="61" t="s">
        <v>1273</v>
      </c>
      <c r="I98" s="63" t="s">
        <v>1274</v>
      </c>
      <c r="J98" s="64">
        <v>45692</v>
      </c>
      <c r="K98" s="64">
        <v>45692</v>
      </c>
      <c r="L98" s="63" t="s">
        <v>1202</v>
      </c>
      <c r="M98" s="63" t="s">
        <v>15</v>
      </c>
      <c r="N98" s="65" t="s">
        <v>1219</v>
      </c>
    </row>
    <row r="99" spans="1:14" ht="20.25" customHeight="1">
      <c r="A99" s="53">
        <v>97</v>
      </c>
      <c r="B99" s="66" t="s">
        <v>635</v>
      </c>
      <c r="C99" s="66" t="s">
        <v>1275</v>
      </c>
      <c r="D99" s="66" t="s">
        <v>1276</v>
      </c>
      <c r="E99" s="69"/>
      <c r="F99" s="69" t="s">
        <v>1099</v>
      </c>
      <c r="G99" s="69"/>
      <c r="H99" s="66" t="s">
        <v>1081</v>
      </c>
      <c r="I99" s="69" t="s">
        <v>1277</v>
      </c>
      <c r="J99" s="70" t="s">
        <v>1278</v>
      </c>
      <c r="K99" s="70"/>
      <c r="L99" s="69" t="s">
        <v>1026</v>
      </c>
      <c r="M99" s="69" t="s">
        <v>15</v>
      </c>
      <c r="N99" s="71"/>
    </row>
    <row r="100" spans="1:14" ht="20.25" customHeight="1">
      <c r="A100" s="60">
        <v>98</v>
      </c>
      <c r="B100" s="61" t="s">
        <v>1279</v>
      </c>
      <c r="C100" s="61" t="s">
        <v>1280</v>
      </c>
      <c r="D100" s="61" t="s">
        <v>1281</v>
      </c>
      <c r="E100" s="63"/>
      <c r="F100" s="63" t="s">
        <v>1023</v>
      </c>
      <c r="G100" s="63"/>
      <c r="H100" s="61" t="s">
        <v>1212</v>
      </c>
      <c r="I100" s="63" t="s">
        <v>1213</v>
      </c>
      <c r="J100" s="64" t="s">
        <v>1278</v>
      </c>
      <c r="K100" s="64" t="s">
        <v>1282</v>
      </c>
      <c r="L100" s="63" t="s">
        <v>1202</v>
      </c>
      <c r="M100" s="63" t="s">
        <v>15</v>
      </c>
      <c r="N100" s="65"/>
    </row>
    <row r="101" spans="1:14" ht="20.25" customHeight="1">
      <c r="A101" s="53">
        <v>99</v>
      </c>
      <c r="B101" s="66" t="s">
        <v>640</v>
      </c>
      <c r="C101" s="66" t="s">
        <v>1283</v>
      </c>
      <c r="D101" s="66" t="s">
        <v>1109</v>
      </c>
      <c r="E101" s="69"/>
      <c r="F101" s="69" t="s">
        <v>1041</v>
      </c>
      <c r="G101" s="69"/>
      <c r="H101" s="66" t="s">
        <v>1237</v>
      </c>
      <c r="I101" s="69" t="s">
        <v>1238</v>
      </c>
      <c r="J101" s="70" t="s">
        <v>1284</v>
      </c>
      <c r="K101" s="70"/>
      <c r="L101" s="69" t="s">
        <v>1026</v>
      </c>
      <c r="M101" s="69" t="s">
        <v>15</v>
      </c>
      <c r="N101" s="71"/>
    </row>
    <row r="102" spans="1:14" ht="20.25" customHeight="1">
      <c r="A102" s="60">
        <v>100</v>
      </c>
      <c r="B102" s="61" t="s">
        <v>523</v>
      </c>
      <c r="C102" s="61" t="s">
        <v>1285</v>
      </c>
      <c r="D102" s="61" t="s">
        <v>1151</v>
      </c>
      <c r="E102" s="63" t="s">
        <v>27</v>
      </c>
      <c r="F102" s="63" t="s">
        <v>1041</v>
      </c>
      <c r="G102" s="63" t="s">
        <v>1051</v>
      </c>
      <c r="H102" s="61" t="s">
        <v>1141</v>
      </c>
      <c r="I102" s="63" t="s">
        <v>422</v>
      </c>
      <c r="J102" s="64" t="s">
        <v>1284</v>
      </c>
      <c r="K102" s="64"/>
      <c r="L102" s="63" t="s">
        <v>1026</v>
      </c>
      <c r="M102" s="63" t="s">
        <v>15</v>
      </c>
      <c r="N102" s="65"/>
    </row>
    <row r="103" spans="1:14" ht="20.25" customHeight="1">
      <c r="A103" s="53">
        <v>101</v>
      </c>
      <c r="B103" s="66" t="s">
        <v>1286</v>
      </c>
      <c r="C103" s="66" t="s">
        <v>1287</v>
      </c>
      <c r="D103" s="66" t="s">
        <v>1288</v>
      </c>
      <c r="E103" s="69"/>
      <c r="F103" s="69" t="s">
        <v>1041</v>
      </c>
      <c r="G103" s="69"/>
      <c r="H103" s="66" t="s">
        <v>1289</v>
      </c>
      <c r="I103" s="69" t="s">
        <v>1290</v>
      </c>
      <c r="J103" s="70" t="s">
        <v>1284</v>
      </c>
      <c r="K103" s="70" t="s">
        <v>1291</v>
      </c>
      <c r="L103" s="69" t="s">
        <v>1026</v>
      </c>
      <c r="M103" s="69" t="s">
        <v>15</v>
      </c>
      <c r="N103" s="71"/>
    </row>
    <row r="104" spans="1:14" ht="20.25" customHeight="1">
      <c r="A104" s="60">
        <v>102</v>
      </c>
      <c r="B104" s="61" t="s">
        <v>979</v>
      </c>
      <c r="C104" s="61" t="s">
        <v>1292</v>
      </c>
      <c r="D104" s="61" t="s">
        <v>1293</v>
      </c>
      <c r="E104" s="63" t="s">
        <v>29</v>
      </c>
      <c r="F104" s="63" t="s">
        <v>1023</v>
      </c>
      <c r="G104" s="63" t="s">
        <v>1024</v>
      </c>
      <c r="H104" s="61" t="s">
        <v>1045</v>
      </c>
      <c r="I104" s="63" t="s">
        <v>475</v>
      </c>
      <c r="J104" s="64" t="s">
        <v>1294</v>
      </c>
      <c r="K104" s="64"/>
      <c r="L104" s="63" t="s">
        <v>1026</v>
      </c>
      <c r="M104" s="63" t="s">
        <v>15</v>
      </c>
      <c r="N104" s="65"/>
    </row>
    <row r="105" spans="1:14" ht="20.25" customHeight="1">
      <c r="A105" s="53">
        <v>103</v>
      </c>
      <c r="B105" s="66" t="s">
        <v>1295</v>
      </c>
      <c r="C105" s="66" t="s">
        <v>1296</v>
      </c>
      <c r="D105" s="66" t="s">
        <v>1297</v>
      </c>
      <c r="E105" s="69"/>
      <c r="F105" s="69" t="s">
        <v>1041</v>
      </c>
      <c r="G105" s="69"/>
      <c r="H105" s="66" t="s">
        <v>1298</v>
      </c>
      <c r="I105" s="69" t="s">
        <v>1299</v>
      </c>
      <c r="J105" s="70" t="s">
        <v>1300</v>
      </c>
      <c r="K105" s="70"/>
      <c r="L105" s="69" t="s">
        <v>1026</v>
      </c>
      <c r="M105" s="69" t="s">
        <v>15</v>
      </c>
      <c r="N105" s="71"/>
    </row>
    <row r="106" spans="1:14" ht="20.25" customHeight="1">
      <c r="A106" s="60">
        <v>104</v>
      </c>
      <c r="B106" s="61" t="s">
        <v>1301</v>
      </c>
      <c r="C106" s="61" t="s">
        <v>1302</v>
      </c>
      <c r="D106" s="61" t="s">
        <v>1303</v>
      </c>
      <c r="E106" s="63"/>
      <c r="F106" s="63" t="s">
        <v>1041</v>
      </c>
      <c r="G106" s="63"/>
      <c r="H106" s="61" t="s">
        <v>1070</v>
      </c>
      <c r="I106" s="63" t="s">
        <v>397</v>
      </c>
      <c r="J106" s="64" t="s">
        <v>1304</v>
      </c>
      <c r="K106" s="64" t="s">
        <v>1257</v>
      </c>
      <c r="L106" s="63" t="s">
        <v>1202</v>
      </c>
      <c r="M106" s="63" t="s">
        <v>17</v>
      </c>
      <c r="N106" s="65" t="s">
        <v>1219</v>
      </c>
    </row>
    <row r="107" spans="1:14" ht="20.25" customHeight="1">
      <c r="A107" s="53">
        <v>105</v>
      </c>
      <c r="B107" s="66" t="s">
        <v>1305</v>
      </c>
      <c r="C107" s="66" t="s">
        <v>1306</v>
      </c>
      <c r="D107" s="66" t="s">
        <v>1151</v>
      </c>
      <c r="E107" s="69"/>
      <c r="F107" s="69" t="s">
        <v>1041</v>
      </c>
      <c r="G107" s="69"/>
      <c r="H107" s="66" t="s">
        <v>1225</v>
      </c>
      <c r="I107" s="69" t="s">
        <v>288</v>
      </c>
      <c r="J107" s="70" t="s">
        <v>1304</v>
      </c>
      <c r="K107" s="70">
        <v>45968</v>
      </c>
      <c r="L107" s="69" t="s">
        <v>1026</v>
      </c>
      <c r="M107" s="69" t="s">
        <v>15</v>
      </c>
      <c r="N107" s="71"/>
    </row>
    <row r="108" spans="1:14" ht="20.25" customHeight="1">
      <c r="A108" s="60">
        <v>106</v>
      </c>
      <c r="B108" s="61" t="s">
        <v>544</v>
      </c>
      <c r="C108" s="61" t="s">
        <v>1307</v>
      </c>
      <c r="D108" s="61" t="s">
        <v>1308</v>
      </c>
      <c r="E108" s="63" t="s">
        <v>27</v>
      </c>
      <c r="F108" s="63" t="s">
        <v>1041</v>
      </c>
      <c r="G108" s="63" t="s">
        <v>1051</v>
      </c>
      <c r="H108" s="61" t="s">
        <v>1225</v>
      </c>
      <c r="I108" s="63" t="s">
        <v>288</v>
      </c>
      <c r="J108" s="64" t="s">
        <v>1304</v>
      </c>
      <c r="K108" s="64"/>
      <c r="L108" s="63" t="s">
        <v>1026</v>
      </c>
      <c r="M108" s="63" t="s">
        <v>15</v>
      </c>
      <c r="N108" s="65"/>
    </row>
    <row r="109" spans="1:14" ht="20.25" customHeight="1">
      <c r="A109" s="53">
        <v>107</v>
      </c>
      <c r="B109" s="66" t="s">
        <v>392</v>
      </c>
      <c r="C109" s="66" t="s">
        <v>1125</v>
      </c>
      <c r="D109" s="66" t="s">
        <v>1151</v>
      </c>
      <c r="E109" s="69"/>
      <c r="F109" s="69" t="s">
        <v>1041</v>
      </c>
      <c r="G109" s="69"/>
      <c r="H109" s="66" t="s">
        <v>1070</v>
      </c>
      <c r="I109" s="69" t="s">
        <v>397</v>
      </c>
      <c r="J109" s="70" t="s">
        <v>1304</v>
      </c>
      <c r="K109" s="70"/>
      <c r="L109" s="69" t="s">
        <v>1026</v>
      </c>
      <c r="M109" s="69" t="s">
        <v>15</v>
      </c>
      <c r="N109" s="71"/>
    </row>
    <row r="110" spans="1:14" ht="20.25" customHeight="1">
      <c r="A110" s="60">
        <v>108</v>
      </c>
      <c r="B110" s="61" t="s">
        <v>1309</v>
      </c>
      <c r="C110" s="61" t="s">
        <v>1310</v>
      </c>
      <c r="D110" s="61" t="s">
        <v>1090</v>
      </c>
      <c r="E110" s="63"/>
      <c r="F110" s="63" t="s">
        <v>1041</v>
      </c>
      <c r="G110" s="63"/>
      <c r="H110" s="61" t="s">
        <v>1103</v>
      </c>
      <c r="I110" s="63" t="s">
        <v>533</v>
      </c>
      <c r="J110" s="64" t="s">
        <v>1304</v>
      </c>
      <c r="K110" s="64">
        <v>45723</v>
      </c>
      <c r="L110" s="63" t="s">
        <v>1026</v>
      </c>
      <c r="M110" s="63" t="s">
        <v>15</v>
      </c>
      <c r="N110" s="65"/>
    </row>
    <row r="111" spans="1:14" ht="20.25" customHeight="1">
      <c r="A111" s="53">
        <v>109</v>
      </c>
      <c r="B111" s="66" t="s">
        <v>1311</v>
      </c>
      <c r="C111" s="66" t="s">
        <v>1312</v>
      </c>
      <c r="D111" s="66" t="s">
        <v>1065</v>
      </c>
      <c r="E111" s="69"/>
      <c r="F111" s="69" t="s">
        <v>1041</v>
      </c>
      <c r="G111" s="69"/>
      <c r="H111" s="66" t="s">
        <v>1103</v>
      </c>
      <c r="I111" s="69" t="s">
        <v>533</v>
      </c>
      <c r="J111" s="70">
        <v>45719</v>
      </c>
      <c r="K111" s="70"/>
      <c r="L111" s="69" t="s">
        <v>1026</v>
      </c>
      <c r="M111" s="69" t="s">
        <v>15</v>
      </c>
      <c r="N111" s="71"/>
    </row>
    <row r="112" spans="1:14" ht="20.25" customHeight="1">
      <c r="A112" s="60">
        <v>110</v>
      </c>
      <c r="B112" s="61" t="s">
        <v>1313</v>
      </c>
      <c r="C112" s="61" t="s">
        <v>1314</v>
      </c>
      <c r="D112" s="61" t="s">
        <v>1315</v>
      </c>
      <c r="E112" s="63"/>
      <c r="F112" s="63" t="s">
        <v>1023</v>
      </c>
      <c r="G112" s="63"/>
      <c r="H112" s="61" t="s">
        <v>1316</v>
      </c>
      <c r="I112" s="63" t="s">
        <v>1317</v>
      </c>
      <c r="J112" s="64">
        <v>45932</v>
      </c>
      <c r="K112" s="64"/>
      <c r="L112" s="63" t="s">
        <v>1202</v>
      </c>
      <c r="M112" s="63" t="s">
        <v>15</v>
      </c>
      <c r="N112" s="65"/>
    </row>
    <row r="113" spans="1:14" ht="20.25" customHeight="1">
      <c r="A113" s="53">
        <v>111</v>
      </c>
      <c r="B113" s="66" t="s">
        <v>1318</v>
      </c>
      <c r="C113" s="66" t="s">
        <v>1319</v>
      </c>
      <c r="D113" s="66" t="s">
        <v>1320</v>
      </c>
      <c r="E113" s="69"/>
      <c r="F113" s="69" t="s">
        <v>1321</v>
      </c>
      <c r="G113" s="69"/>
      <c r="H113" s="66" t="s">
        <v>1322</v>
      </c>
      <c r="I113" s="69" t="s">
        <v>359</v>
      </c>
      <c r="J113" s="70" t="s">
        <v>1323</v>
      </c>
      <c r="K113" s="70"/>
      <c r="L113" s="69" t="s">
        <v>1026</v>
      </c>
      <c r="M113" s="69" t="s">
        <v>15</v>
      </c>
      <c r="N113" s="71"/>
    </row>
    <row r="114" spans="1:14" ht="20.25" customHeight="1">
      <c r="A114" s="60">
        <v>112</v>
      </c>
      <c r="B114" s="61" t="s">
        <v>1324</v>
      </c>
      <c r="C114" s="61" t="s">
        <v>1325</v>
      </c>
      <c r="D114" s="61" t="s">
        <v>1169</v>
      </c>
      <c r="E114" s="63"/>
      <c r="F114" s="63" t="s">
        <v>1041</v>
      </c>
      <c r="G114" s="63"/>
      <c r="H114" s="61" t="s">
        <v>1100</v>
      </c>
      <c r="I114" s="63" t="s">
        <v>1223</v>
      </c>
      <c r="J114" s="64" t="s">
        <v>1326</v>
      </c>
      <c r="K114" s="64" t="s">
        <v>1214</v>
      </c>
      <c r="L114" s="63" t="s">
        <v>1026</v>
      </c>
      <c r="M114" s="63" t="s">
        <v>15</v>
      </c>
      <c r="N114" s="65" t="s">
        <v>1219</v>
      </c>
    </row>
    <row r="115" spans="1:14" ht="20.25" customHeight="1">
      <c r="A115" s="53">
        <v>113</v>
      </c>
      <c r="B115" s="66" t="s">
        <v>1327</v>
      </c>
      <c r="C115" s="66" t="s">
        <v>1328</v>
      </c>
      <c r="D115" s="66" t="s">
        <v>1065</v>
      </c>
      <c r="E115" s="69"/>
      <c r="F115" s="69" t="s">
        <v>1041</v>
      </c>
      <c r="G115" s="69"/>
      <c r="H115" s="66" t="s">
        <v>1141</v>
      </c>
      <c r="I115" s="69" t="s">
        <v>422</v>
      </c>
      <c r="J115" s="70" t="s">
        <v>1326</v>
      </c>
      <c r="K115" s="70"/>
      <c r="L115" s="69" t="s">
        <v>1026</v>
      </c>
      <c r="M115" s="69" t="s">
        <v>15</v>
      </c>
      <c r="N115" s="71"/>
    </row>
    <row r="116" spans="1:14" ht="20.25" customHeight="1">
      <c r="A116" s="60">
        <v>114</v>
      </c>
      <c r="B116" s="61" t="s">
        <v>1329</v>
      </c>
      <c r="C116" s="61" t="s">
        <v>1330</v>
      </c>
      <c r="D116" s="61" t="s">
        <v>1288</v>
      </c>
      <c r="E116" s="63"/>
      <c r="F116" s="63" t="s">
        <v>1041</v>
      </c>
      <c r="G116" s="63"/>
      <c r="H116" s="61" t="s">
        <v>1100</v>
      </c>
      <c r="I116" s="63" t="s">
        <v>1223</v>
      </c>
      <c r="J116" s="64" t="s">
        <v>1326</v>
      </c>
      <c r="K116" s="64"/>
      <c r="L116" s="63" t="s">
        <v>1026</v>
      </c>
      <c r="M116" s="63" t="s">
        <v>15</v>
      </c>
      <c r="N116" s="65"/>
    </row>
    <row r="117" spans="1:14" ht="20.25" customHeight="1">
      <c r="A117" s="53">
        <v>115</v>
      </c>
      <c r="B117" s="66" t="s">
        <v>414</v>
      </c>
      <c r="C117" s="66" t="s">
        <v>1331</v>
      </c>
      <c r="D117" s="66" t="s">
        <v>1297</v>
      </c>
      <c r="E117" s="69"/>
      <c r="F117" s="69" t="s">
        <v>1041</v>
      </c>
      <c r="G117" s="69"/>
      <c r="H117" s="66" t="s">
        <v>1298</v>
      </c>
      <c r="I117" s="69" t="s">
        <v>1299</v>
      </c>
      <c r="J117" s="70" t="s">
        <v>1332</v>
      </c>
      <c r="K117" s="70"/>
      <c r="L117" s="69" t="s">
        <v>1026</v>
      </c>
      <c r="M117" s="69" t="s">
        <v>15</v>
      </c>
      <c r="N117" s="71"/>
    </row>
    <row r="118" spans="1:14" ht="20.25" customHeight="1">
      <c r="A118" s="60">
        <v>116</v>
      </c>
      <c r="B118" s="61" t="s">
        <v>425</v>
      </c>
      <c r="C118" s="61" t="s">
        <v>1333</v>
      </c>
      <c r="D118" s="61" t="s">
        <v>1334</v>
      </c>
      <c r="E118" s="63" t="s">
        <v>27</v>
      </c>
      <c r="F118" s="63" t="s">
        <v>1041</v>
      </c>
      <c r="G118" s="63" t="s">
        <v>1051</v>
      </c>
      <c r="H118" s="61" t="s">
        <v>1077</v>
      </c>
      <c r="I118" s="63" t="s">
        <v>530</v>
      </c>
      <c r="J118" s="64" t="s">
        <v>1335</v>
      </c>
      <c r="K118" s="64"/>
      <c r="L118" s="63" t="s">
        <v>1026</v>
      </c>
      <c r="M118" s="63" t="s">
        <v>15</v>
      </c>
      <c r="N118" s="65"/>
    </row>
    <row r="119" spans="1:14" ht="20.25" customHeight="1">
      <c r="A119" s="53">
        <v>117</v>
      </c>
      <c r="B119" s="66" t="s">
        <v>1336</v>
      </c>
      <c r="C119" s="66" t="s">
        <v>1337</v>
      </c>
      <c r="D119" s="66" t="s">
        <v>1118</v>
      </c>
      <c r="E119" s="69"/>
      <c r="F119" s="69" t="s">
        <v>1023</v>
      </c>
      <c r="G119" s="69"/>
      <c r="H119" s="66" t="s">
        <v>1338</v>
      </c>
      <c r="I119" s="69" t="s">
        <v>1339</v>
      </c>
      <c r="J119" s="70" t="s">
        <v>1335</v>
      </c>
      <c r="K119" s="70" t="s">
        <v>1340</v>
      </c>
      <c r="L119" s="69" t="s">
        <v>1026</v>
      </c>
      <c r="M119" s="69" t="s">
        <v>15</v>
      </c>
      <c r="N119" s="71"/>
    </row>
    <row r="120" spans="1:14" ht="20.25" customHeight="1">
      <c r="A120" s="60">
        <v>118</v>
      </c>
      <c r="B120" s="61" t="s">
        <v>400</v>
      </c>
      <c r="C120" s="61" t="s">
        <v>1341</v>
      </c>
      <c r="D120" s="61" t="s">
        <v>1342</v>
      </c>
      <c r="E120" s="63"/>
      <c r="F120" s="63" t="s">
        <v>1099</v>
      </c>
      <c r="G120" s="63"/>
      <c r="H120" s="61" t="s">
        <v>1081</v>
      </c>
      <c r="I120" s="63" t="s">
        <v>1277</v>
      </c>
      <c r="J120" s="64" t="s">
        <v>1335</v>
      </c>
      <c r="K120" s="64"/>
      <c r="L120" s="63" t="s">
        <v>1026</v>
      </c>
      <c r="M120" s="63" t="s">
        <v>15</v>
      </c>
      <c r="N120" s="65"/>
    </row>
    <row r="121" spans="1:14" ht="20.25" customHeight="1">
      <c r="A121" s="53">
        <v>119</v>
      </c>
      <c r="B121" s="66" t="s">
        <v>173</v>
      </c>
      <c r="C121" s="66" t="s">
        <v>1343</v>
      </c>
      <c r="D121" s="66" t="s">
        <v>1344</v>
      </c>
      <c r="E121" s="69" t="s">
        <v>35</v>
      </c>
      <c r="F121" s="69" t="s">
        <v>1041</v>
      </c>
      <c r="G121" s="69" t="s">
        <v>1132</v>
      </c>
      <c r="H121" s="66" t="s">
        <v>1103</v>
      </c>
      <c r="I121" s="69" t="s">
        <v>533</v>
      </c>
      <c r="J121" s="70">
        <v>45932</v>
      </c>
      <c r="K121" s="70"/>
      <c r="L121" s="69" t="s">
        <v>1026</v>
      </c>
      <c r="M121" s="69" t="s">
        <v>15</v>
      </c>
      <c r="N121" s="71"/>
    </row>
    <row r="122" spans="1:14" ht="20.25" customHeight="1">
      <c r="A122" s="60">
        <v>120</v>
      </c>
      <c r="B122" s="61" t="s">
        <v>1345</v>
      </c>
      <c r="C122" s="61" t="s">
        <v>1346</v>
      </c>
      <c r="D122" s="61" t="s">
        <v>1347</v>
      </c>
      <c r="E122" s="63"/>
      <c r="F122" s="63" t="s">
        <v>1041</v>
      </c>
      <c r="G122" s="63"/>
      <c r="H122" s="61" t="s">
        <v>1241</v>
      </c>
      <c r="I122" s="63" t="s">
        <v>1242</v>
      </c>
      <c r="J122" s="64">
        <v>45932</v>
      </c>
      <c r="K122" s="64" t="s">
        <v>1214</v>
      </c>
      <c r="L122" s="63" t="s">
        <v>1026</v>
      </c>
      <c r="M122" s="63" t="s">
        <v>15</v>
      </c>
      <c r="N122" s="65"/>
    </row>
    <row r="123" spans="1:14" ht="20.25" customHeight="1">
      <c r="A123" s="53">
        <v>121</v>
      </c>
      <c r="B123" s="66" t="s">
        <v>1348</v>
      </c>
      <c r="C123" s="66" t="s">
        <v>1349</v>
      </c>
      <c r="D123" s="66" t="s">
        <v>1315</v>
      </c>
      <c r="E123" s="69"/>
      <c r="F123" s="69" t="s">
        <v>1060</v>
      </c>
      <c r="G123" s="69"/>
      <c r="H123" s="66" t="s">
        <v>1212</v>
      </c>
      <c r="I123" s="69" t="s">
        <v>1213</v>
      </c>
      <c r="J123" s="70">
        <v>45932</v>
      </c>
      <c r="K123" s="70"/>
      <c r="L123" s="69" t="s">
        <v>1026</v>
      </c>
      <c r="M123" s="69" t="s">
        <v>17</v>
      </c>
      <c r="N123" s="71"/>
    </row>
    <row r="124" spans="1:14" ht="20.25" customHeight="1">
      <c r="A124" s="60">
        <v>122</v>
      </c>
      <c r="B124" s="61" t="s">
        <v>1350</v>
      </c>
      <c r="C124" s="61" t="s">
        <v>1351</v>
      </c>
      <c r="D124" s="61" t="s">
        <v>1352</v>
      </c>
      <c r="E124" s="63"/>
      <c r="F124" s="63" t="s">
        <v>1041</v>
      </c>
      <c r="G124" s="63"/>
      <c r="H124" s="61" t="s">
        <v>1212</v>
      </c>
      <c r="I124" s="63" t="s">
        <v>1213</v>
      </c>
      <c r="J124" s="64">
        <v>45932</v>
      </c>
      <c r="K124" s="64" t="s">
        <v>1214</v>
      </c>
      <c r="L124" s="63" t="s">
        <v>1026</v>
      </c>
      <c r="M124" s="63" t="s">
        <v>15</v>
      </c>
      <c r="N124" s="65" t="s">
        <v>1219</v>
      </c>
    </row>
    <row r="125" spans="1:14" ht="20.25" customHeight="1">
      <c r="A125" s="53">
        <v>123</v>
      </c>
      <c r="B125" s="66" t="s">
        <v>352</v>
      </c>
      <c r="C125" s="66" t="s">
        <v>1353</v>
      </c>
      <c r="D125" s="66" t="s">
        <v>1354</v>
      </c>
      <c r="E125" s="69"/>
      <c r="F125" s="69" t="s">
        <v>1041</v>
      </c>
      <c r="G125" s="69"/>
      <c r="H125" s="66" t="s">
        <v>1100</v>
      </c>
      <c r="I125" s="69" t="s">
        <v>1223</v>
      </c>
      <c r="J125" s="70">
        <v>45779</v>
      </c>
      <c r="K125" s="70"/>
      <c r="L125" s="69" t="s">
        <v>1026</v>
      </c>
      <c r="M125" s="69" t="s">
        <v>15</v>
      </c>
      <c r="N125" s="71"/>
    </row>
    <row r="126" spans="1:14" ht="20.25" customHeight="1">
      <c r="A126" s="60">
        <v>124</v>
      </c>
      <c r="B126" s="61" t="s">
        <v>1355</v>
      </c>
      <c r="C126" s="61" t="s">
        <v>1356</v>
      </c>
      <c r="D126" s="61" t="s">
        <v>1357</v>
      </c>
      <c r="E126" s="63"/>
      <c r="F126" s="63" t="s">
        <v>1321</v>
      </c>
      <c r="G126" s="63"/>
      <c r="H126" s="61" t="s">
        <v>1358</v>
      </c>
      <c r="I126" s="63" t="s">
        <v>345</v>
      </c>
      <c r="J126" s="64">
        <v>45779</v>
      </c>
      <c r="K126" s="64"/>
      <c r="L126" s="63" t="s">
        <v>1026</v>
      </c>
      <c r="M126" s="63" t="s">
        <v>15</v>
      </c>
      <c r="N126" s="65"/>
    </row>
    <row r="127" spans="1:14" ht="20.25" customHeight="1">
      <c r="A127" s="53">
        <v>125</v>
      </c>
      <c r="B127" s="66" t="s">
        <v>1359</v>
      </c>
      <c r="C127" s="66" t="s">
        <v>1360</v>
      </c>
      <c r="D127" s="66" t="s">
        <v>1073</v>
      </c>
      <c r="E127" s="69"/>
      <c r="F127" s="69" t="s">
        <v>1099</v>
      </c>
      <c r="G127" s="69"/>
      <c r="H127" s="66" t="s">
        <v>1100</v>
      </c>
      <c r="I127" s="69" t="s">
        <v>1223</v>
      </c>
      <c r="J127" s="70">
        <v>45718</v>
      </c>
      <c r="K127" s="70"/>
      <c r="L127" s="69" t="s">
        <v>1026</v>
      </c>
      <c r="M127" s="69" t="s">
        <v>15</v>
      </c>
      <c r="N127" s="71"/>
    </row>
    <row r="128" spans="1:14" ht="20.25" customHeight="1">
      <c r="A128" s="60">
        <v>126</v>
      </c>
      <c r="B128" s="61" t="s">
        <v>1361</v>
      </c>
      <c r="C128" s="61" t="s">
        <v>1362</v>
      </c>
      <c r="D128" s="61" t="s">
        <v>1166</v>
      </c>
      <c r="E128" s="63"/>
      <c r="F128" s="63" t="s">
        <v>1041</v>
      </c>
      <c r="G128" s="63"/>
      <c r="H128" s="61" t="s">
        <v>1241</v>
      </c>
      <c r="I128" s="63" t="s">
        <v>1242</v>
      </c>
      <c r="J128" s="64">
        <v>45718</v>
      </c>
      <c r="K128" s="64"/>
      <c r="L128" s="63" t="s">
        <v>1026</v>
      </c>
      <c r="M128" s="63" t="s">
        <v>15</v>
      </c>
      <c r="N128" s="65"/>
    </row>
    <row r="129" spans="1:14" ht="20.25" customHeight="1">
      <c r="A129" s="53">
        <v>127</v>
      </c>
      <c r="B129" s="66" t="s">
        <v>411</v>
      </c>
      <c r="C129" s="66" t="s">
        <v>1363</v>
      </c>
      <c r="D129" s="66" t="s">
        <v>1364</v>
      </c>
      <c r="E129" s="69"/>
      <c r="F129" s="69" t="s">
        <v>1041</v>
      </c>
      <c r="G129" s="69"/>
      <c r="H129" s="66" t="s">
        <v>1365</v>
      </c>
      <c r="I129" s="69" t="s">
        <v>603</v>
      </c>
      <c r="J129" s="70" t="s">
        <v>1366</v>
      </c>
      <c r="K129" s="70"/>
      <c r="L129" s="69" t="s">
        <v>1026</v>
      </c>
      <c r="M129" s="69" t="s">
        <v>15</v>
      </c>
      <c r="N129" s="71"/>
    </row>
    <row r="130" spans="1:14" ht="20.25" customHeight="1">
      <c r="A130" s="60">
        <v>128</v>
      </c>
      <c r="B130" s="61" t="s">
        <v>553</v>
      </c>
      <c r="C130" s="61" t="s">
        <v>1367</v>
      </c>
      <c r="D130" s="61" t="s">
        <v>1151</v>
      </c>
      <c r="E130" s="63"/>
      <c r="F130" s="63" t="s">
        <v>1041</v>
      </c>
      <c r="G130" s="63"/>
      <c r="H130" s="61" t="s">
        <v>1225</v>
      </c>
      <c r="I130" s="63" t="s">
        <v>288</v>
      </c>
      <c r="J130" s="64" t="s">
        <v>1366</v>
      </c>
      <c r="K130" s="64"/>
      <c r="L130" s="63" t="s">
        <v>1026</v>
      </c>
      <c r="M130" s="63" t="s">
        <v>15</v>
      </c>
      <c r="N130" s="65"/>
    </row>
    <row r="131" spans="1:14" ht="20.25" customHeight="1">
      <c r="A131" s="53">
        <v>129</v>
      </c>
      <c r="B131" s="66" t="s">
        <v>135</v>
      </c>
      <c r="C131" s="66" t="s">
        <v>1042</v>
      </c>
      <c r="D131" s="66" t="s">
        <v>1157</v>
      </c>
      <c r="E131" s="69"/>
      <c r="F131" s="69" t="s">
        <v>1041</v>
      </c>
      <c r="G131" s="69"/>
      <c r="H131" s="66" t="s">
        <v>1081</v>
      </c>
      <c r="I131" s="69" t="s">
        <v>1277</v>
      </c>
      <c r="J131" s="70" t="s">
        <v>1366</v>
      </c>
      <c r="K131" s="70"/>
      <c r="L131" s="69" t="s">
        <v>1026</v>
      </c>
      <c r="M131" s="69" t="s">
        <v>15</v>
      </c>
      <c r="N131" s="71"/>
    </row>
    <row r="132" spans="1:14" ht="20.25" customHeight="1">
      <c r="A132" s="60">
        <v>130</v>
      </c>
      <c r="B132" s="61" t="s">
        <v>397</v>
      </c>
      <c r="C132" s="61" t="s">
        <v>1368</v>
      </c>
      <c r="D132" s="61" t="s">
        <v>1369</v>
      </c>
      <c r="E132" s="63"/>
      <c r="F132" s="63" t="s">
        <v>1369</v>
      </c>
      <c r="G132" s="63"/>
      <c r="H132" s="61" t="s">
        <v>1212</v>
      </c>
      <c r="I132" s="63" t="s">
        <v>1213</v>
      </c>
      <c r="J132" s="64">
        <v>45809</v>
      </c>
      <c r="K132" s="64"/>
      <c r="L132" s="63" t="s">
        <v>1026</v>
      </c>
      <c r="M132" s="63" t="s">
        <v>15</v>
      </c>
      <c r="N132" s="65"/>
    </row>
    <row r="133" spans="1:14" ht="20.25" customHeight="1">
      <c r="A133" s="53">
        <v>131</v>
      </c>
      <c r="B133" s="66" t="s">
        <v>268</v>
      </c>
      <c r="C133" s="66" t="s">
        <v>1370</v>
      </c>
      <c r="D133" s="66" t="s">
        <v>1065</v>
      </c>
      <c r="E133" s="69"/>
      <c r="F133" s="69" t="s">
        <v>1041</v>
      </c>
      <c r="G133" s="69"/>
      <c r="H133" s="66" t="s">
        <v>1371</v>
      </c>
      <c r="I133" s="69" t="s">
        <v>1372</v>
      </c>
      <c r="J133" s="70">
        <v>45809</v>
      </c>
      <c r="K133" s="70"/>
      <c r="L133" s="69" t="s">
        <v>1026</v>
      </c>
      <c r="M133" s="69" t="s">
        <v>17</v>
      </c>
      <c r="N133" s="71"/>
    </row>
    <row r="134" spans="1:14" ht="20.25" customHeight="1">
      <c r="A134" s="60">
        <v>132</v>
      </c>
      <c r="B134" s="61" t="s">
        <v>601</v>
      </c>
      <c r="C134" s="61" t="s">
        <v>1373</v>
      </c>
      <c r="D134" s="61" t="s">
        <v>1073</v>
      </c>
      <c r="E134" s="63"/>
      <c r="F134" s="63" t="s">
        <v>1041</v>
      </c>
      <c r="G134" s="63"/>
      <c r="H134" s="61" t="s">
        <v>1100</v>
      </c>
      <c r="I134" s="63" t="s">
        <v>1223</v>
      </c>
      <c r="J134" s="64">
        <v>45809</v>
      </c>
      <c r="K134" s="64"/>
      <c r="L134" s="63" t="s">
        <v>1026</v>
      </c>
      <c r="M134" s="63" t="s">
        <v>15</v>
      </c>
      <c r="N134" s="65"/>
    </row>
    <row r="135" spans="1:14" ht="20.25" customHeight="1">
      <c r="A135" s="53">
        <v>133</v>
      </c>
      <c r="B135" s="66" t="s">
        <v>1374</v>
      </c>
      <c r="C135" s="66" t="s">
        <v>1375</v>
      </c>
      <c r="D135" s="66" t="s">
        <v>1344</v>
      </c>
      <c r="E135" s="69"/>
      <c r="F135" s="69" t="s">
        <v>1041</v>
      </c>
      <c r="G135" s="69"/>
      <c r="H135" s="66" t="s">
        <v>1376</v>
      </c>
      <c r="I135" s="69" t="s">
        <v>530</v>
      </c>
      <c r="J135" s="70">
        <v>45809</v>
      </c>
      <c r="K135" s="70"/>
      <c r="L135" s="69" t="s">
        <v>1026</v>
      </c>
      <c r="M135" s="69" t="s">
        <v>15</v>
      </c>
      <c r="N135" s="71"/>
    </row>
    <row r="136" spans="1:14" ht="20.25" customHeight="1">
      <c r="A136" s="60">
        <v>134</v>
      </c>
      <c r="B136" s="61" t="s">
        <v>652</v>
      </c>
      <c r="C136" s="61" t="s">
        <v>1377</v>
      </c>
      <c r="D136" s="61" t="s">
        <v>1378</v>
      </c>
      <c r="E136" s="63"/>
      <c r="F136" s="63" t="s">
        <v>1041</v>
      </c>
      <c r="G136" s="63"/>
      <c r="H136" s="61" t="s">
        <v>1225</v>
      </c>
      <c r="I136" s="63" t="s">
        <v>288</v>
      </c>
      <c r="J136" s="64">
        <v>45809</v>
      </c>
      <c r="K136" s="64"/>
      <c r="L136" s="63" t="s">
        <v>1026</v>
      </c>
      <c r="M136" s="63" t="s">
        <v>15</v>
      </c>
      <c r="N136" s="65"/>
    </row>
    <row r="137" spans="1:14" ht="20.25" customHeight="1">
      <c r="A137" s="53">
        <v>135</v>
      </c>
      <c r="B137" s="66" t="s">
        <v>1379</v>
      </c>
      <c r="C137" s="66" t="s">
        <v>1380</v>
      </c>
      <c r="D137" s="66" t="s">
        <v>1381</v>
      </c>
      <c r="E137" s="69"/>
      <c r="F137" s="69"/>
      <c r="G137" s="69"/>
      <c r="H137" s="66" t="s">
        <v>1212</v>
      </c>
      <c r="I137" s="69" t="s">
        <v>1213</v>
      </c>
      <c r="J137" s="70">
        <v>45689</v>
      </c>
      <c r="K137" s="70" t="s">
        <v>1382</v>
      </c>
      <c r="L137" s="69" t="s">
        <v>1202</v>
      </c>
      <c r="M137" s="69" t="s">
        <v>1215</v>
      </c>
      <c r="N137" s="71"/>
    </row>
    <row r="138" spans="1:14" ht="20.25" customHeight="1">
      <c r="A138" s="60">
        <v>136</v>
      </c>
      <c r="B138" s="61" t="s">
        <v>1383</v>
      </c>
      <c r="C138" s="61" t="s">
        <v>1384</v>
      </c>
      <c r="D138" s="61" t="s">
        <v>1385</v>
      </c>
      <c r="E138" s="63"/>
      <c r="F138" s="63" t="s">
        <v>1386</v>
      </c>
      <c r="G138" s="63"/>
      <c r="H138" s="61" t="s">
        <v>1322</v>
      </c>
      <c r="I138" s="63" t="s">
        <v>359</v>
      </c>
      <c r="J138" s="64">
        <v>45689</v>
      </c>
      <c r="K138" s="64"/>
      <c r="L138" s="63" t="s">
        <v>1026</v>
      </c>
      <c r="M138" s="63" t="s">
        <v>1215</v>
      </c>
      <c r="N138" s="65"/>
    </row>
    <row r="139" spans="1:14" ht="20.25" customHeight="1">
      <c r="A139" s="53">
        <v>137</v>
      </c>
      <c r="B139" s="66" t="s">
        <v>210</v>
      </c>
      <c r="C139" s="66" t="s">
        <v>1387</v>
      </c>
      <c r="D139" s="66" t="s">
        <v>1315</v>
      </c>
      <c r="E139" s="69"/>
      <c r="F139" s="69" t="s">
        <v>1060</v>
      </c>
      <c r="G139" s="69"/>
      <c r="H139" s="66" t="s">
        <v>1212</v>
      </c>
      <c r="I139" s="69" t="s">
        <v>1213</v>
      </c>
      <c r="J139" s="70">
        <v>45689</v>
      </c>
      <c r="K139" s="70"/>
      <c r="L139" s="69" t="s">
        <v>1026</v>
      </c>
      <c r="M139" s="69" t="s">
        <v>15</v>
      </c>
      <c r="N139" s="71"/>
    </row>
    <row r="140" spans="1:14" ht="20.25" customHeight="1">
      <c r="A140" s="60">
        <v>138</v>
      </c>
      <c r="B140" s="61" t="s">
        <v>181</v>
      </c>
      <c r="C140" s="61" t="s">
        <v>1388</v>
      </c>
      <c r="D140" s="61" t="s">
        <v>1151</v>
      </c>
      <c r="E140" s="63" t="s">
        <v>27</v>
      </c>
      <c r="F140" s="63" t="s">
        <v>1041</v>
      </c>
      <c r="G140" s="63" t="s">
        <v>1051</v>
      </c>
      <c r="H140" s="61" t="s">
        <v>1225</v>
      </c>
      <c r="I140" s="63" t="s">
        <v>288</v>
      </c>
      <c r="J140" s="64">
        <v>45658</v>
      </c>
      <c r="K140" s="64"/>
      <c r="L140" s="63" t="s">
        <v>1026</v>
      </c>
      <c r="M140" s="63" t="s">
        <v>15</v>
      </c>
      <c r="N140" s="65"/>
    </row>
    <row r="141" spans="1:14" ht="20.25" customHeight="1">
      <c r="A141" s="53">
        <v>139</v>
      </c>
      <c r="B141" s="66" t="s">
        <v>539</v>
      </c>
      <c r="C141" s="66" t="s">
        <v>1389</v>
      </c>
      <c r="D141" s="66" t="s">
        <v>1151</v>
      </c>
      <c r="E141" s="69" t="s">
        <v>27</v>
      </c>
      <c r="F141" s="69" t="s">
        <v>1041</v>
      </c>
      <c r="G141" s="69" t="s">
        <v>1051</v>
      </c>
      <c r="H141" s="66" t="s">
        <v>1390</v>
      </c>
      <c r="I141" s="69" t="s">
        <v>447</v>
      </c>
      <c r="J141" s="70">
        <v>45658</v>
      </c>
      <c r="K141" s="70"/>
      <c r="L141" s="69" t="s">
        <v>1026</v>
      </c>
      <c r="M141" s="69" t="s">
        <v>15</v>
      </c>
      <c r="N141" s="71"/>
    </row>
    <row r="142" spans="1:14" ht="20.25" customHeight="1">
      <c r="A142" s="60">
        <v>140</v>
      </c>
      <c r="B142" s="61" t="s">
        <v>1277</v>
      </c>
      <c r="C142" s="61" t="s">
        <v>1391</v>
      </c>
      <c r="D142" s="61" t="s">
        <v>1392</v>
      </c>
      <c r="E142" s="63"/>
      <c r="F142" s="63" t="s">
        <v>1392</v>
      </c>
      <c r="G142" s="63"/>
      <c r="H142" s="61" t="s">
        <v>1212</v>
      </c>
      <c r="I142" s="63" t="s">
        <v>1213</v>
      </c>
      <c r="J142" s="64" t="s">
        <v>1393</v>
      </c>
      <c r="K142" s="64"/>
      <c r="L142" s="63" t="s">
        <v>1026</v>
      </c>
      <c r="M142" s="63" t="s">
        <v>1215</v>
      </c>
      <c r="N142" s="65"/>
    </row>
    <row r="143" spans="1:14" ht="20.25" customHeight="1">
      <c r="A143" s="53">
        <v>141</v>
      </c>
      <c r="B143" s="66" t="s">
        <v>1394</v>
      </c>
      <c r="C143" s="66" t="s">
        <v>1395</v>
      </c>
      <c r="D143" s="66" t="s">
        <v>1396</v>
      </c>
      <c r="E143" s="69"/>
      <c r="F143" s="69" t="s">
        <v>1023</v>
      </c>
      <c r="G143" s="69"/>
      <c r="H143" s="66" t="s">
        <v>1322</v>
      </c>
      <c r="I143" s="69" t="s">
        <v>359</v>
      </c>
      <c r="J143" s="70">
        <v>45658</v>
      </c>
      <c r="K143" s="70" t="s">
        <v>1278</v>
      </c>
      <c r="L143" s="69" t="s">
        <v>1202</v>
      </c>
      <c r="M143" s="69" t="s">
        <v>15</v>
      </c>
      <c r="N143" s="71" t="s">
        <v>1219</v>
      </c>
    </row>
    <row r="144" spans="1:14" ht="20.25" customHeight="1">
      <c r="A144" s="60">
        <v>142</v>
      </c>
      <c r="B144" s="61" t="s">
        <v>345</v>
      </c>
      <c r="C144" s="61" t="s">
        <v>1025</v>
      </c>
      <c r="D144" s="61" t="s">
        <v>1397</v>
      </c>
      <c r="E144" s="63" t="s">
        <v>29</v>
      </c>
      <c r="F144" s="63" t="s">
        <v>1023</v>
      </c>
      <c r="G144" s="63" t="s">
        <v>1024</v>
      </c>
      <c r="H144" s="61" t="s">
        <v>1186</v>
      </c>
      <c r="I144" s="63" t="s">
        <v>240</v>
      </c>
      <c r="J144" s="64">
        <v>45658</v>
      </c>
      <c r="K144" s="64"/>
      <c r="L144" s="63" t="s">
        <v>1026</v>
      </c>
      <c r="M144" s="63" t="s">
        <v>15</v>
      </c>
      <c r="N144" s="65"/>
    </row>
    <row r="145" spans="1:14" ht="20.25" customHeight="1">
      <c r="A145" s="53">
        <v>143</v>
      </c>
      <c r="B145" s="66" t="s">
        <v>447</v>
      </c>
      <c r="C145" s="66" t="s">
        <v>1138</v>
      </c>
      <c r="D145" s="66" t="s">
        <v>1398</v>
      </c>
      <c r="E145" s="69" t="s">
        <v>27</v>
      </c>
      <c r="F145" s="69" t="s">
        <v>1041</v>
      </c>
      <c r="G145" s="69" t="s">
        <v>1051</v>
      </c>
      <c r="H145" s="66" t="s">
        <v>1225</v>
      </c>
      <c r="I145" s="69" t="s">
        <v>288</v>
      </c>
      <c r="J145" s="70">
        <v>45658</v>
      </c>
      <c r="K145" s="70"/>
      <c r="L145" s="69" t="s">
        <v>1026</v>
      </c>
      <c r="M145" s="69" t="s">
        <v>15</v>
      </c>
      <c r="N145" s="71"/>
    </row>
    <row r="146" spans="1:14" ht="20.25" customHeight="1">
      <c r="A146" s="60">
        <v>144</v>
      </c>
      <c r="B146" s="61" t="s">
        <v>1399</v>
      </c>
      <c r="C146" s="61" t="s">
        <v>1400</v>
      </c>
      <c r="D146" s="61" t="s">
        <v>1401</v>
      </c>
      <c r="E146" s="63"/>
      <c r="F146" s="63" t="s">
        <v>1041</v>
      </c>
      <c r="G146" s="63"/>
      <c r="H146" s="61" t="s">
        <v>1081</v>
      </c>
      <c r="I146" s="63" t="s">
        <v>1277</v>
      </c>
      <c r="J146" s="64">
        <v>45658</v>
      </c>
      <c r="K146" s="64" t="s">
        <v>1278</v>
      </c>
      <c r="L146" s="63" t="s">
        <v>1202</v>
      </c>
      <c r="M146" s="63" t="s">
        <v>15</v>
      </c>
      <c r="N146" s="65"/>
    </row>
    <row r="147" spans="1:14" ht="20.25" customHeight="1">
      <c r="A147" s="53">
        <v>145</v>
      </c>
      <c r="B147" s="66" t="s">
        <v>545</v>
      </c>
      <c r="C147" s="66" t="s">
        <v>1402</v>
      </c>
      <c r="D147" s="66" t="s">
        <v>1403</v>
      </c>
      <c r="E147" s="69" t="s">
        <v>29</v>
      </c>
      <c r="F147" s="69" t="s">
        <v>1404</v>
      </c>
      <c r="G147" s="69" t="s">
        <v>1024</v>
      </c>
      <c r="H147" s="66" t="s">
        <v>1405</v>
      </c>
      <c r="I147" s="69" t="s">
        <v>1406</v>
      </c>
      <c r="J147" s="70">
        <v>45658</v>
      </c>
      <c r="K147" s="70"/>
      <c r="L147" s="69" t="s">
        <v>1026</v>
      </c>
      <c r="M147" s="69" t="s">
        <v>15</v>
      </c>
      <c r="N147" s="71"/>
    </row>
    <row r="148" spans="1:14" ht="20.25" customHeight="1">
      <c r="A148" s="60">
        <v>146</v>
      </c>
      <c r="B148" s="61" t="s">
        <v>296</v>
      </c>
      <c r="C148" s="61" t="s">
        <v>1407</v>
      </c>
      <c r="D148" s="61" t="s">
        <v>1398</v>
      </c>
      <c r="E148" s="63" t="s">
        <v>27</v>
      </c>
      <c r="F148" s="63" t="s">
        <v>1041</v>
      </c>
      <c r="G148" s="63" t="s">
        <v>1051</v>
      </c>
      <c r="H148" s="61" t="s">
        <v>1052</v>
      </c>
      <c r="I148" s="63" t="s">
        <v>288</v>
      </c>
      <c r="J148" s="64">
        <v>45658</v>
      </c>
      <c r="K148" s="64"/>
      <c r="L148" s="63" t="s">
        <v>1026</v>
      </c>
      <c r="M148" s="63" t="s">
        <v>15</v>
      </c>
      <c r="N148" s="65"/>
    </row>
    <row r="149" spans="1:14" ht="20.25" customHeight="1">
      <c r="A149" s="53">
        <v>147</v>
      </c>
      <c r="B149" s="66" t="s">
        <v>274</v>
      </c>
      <c r="C149" s="66" t="s">
        <v>1408</v>
      </c>
      <c r="D149" s="66" t="s">
        <v>1065</v>
      </c>
      <c r="E149" s="69" t="s">
        <v>27</v>
      </c>
      <c r="F149" s="69" t="s">
        <v>1041</v>
      </c>
      <c r="G149" s="69" t="s">
        <v>1051</v>
      </c>
      <c r="H149" s="66" t="s">
        <v>1225</v>
      </c>
      <c r="I149" s="69" t="s">
        <v>288</v>
      </c>
      <c r="J149" s="70" t="s">
        <v>1409</v>
      </c>
      <c r="K149" s="70"/>
      <c r="L149" s="69" t="s">
        <v>1026</v>
      </c>
      <c r="M149" s="69" t="s">
        <v>15</v>
      </c>
      <c r="N149" s="71"/>
    </row>
    <row r="150" spans="1:14" ht="20.25" customHeight="1">
      <c r="A150" s="60">
        <v>148</v>
      </c>
      <c r="B150" s="61" t="s">
        <v>162</v>
      </c>
      <c r="C150" s="61" t="s">
        <v>1410</v>
      </c>
      <c r="D150" s="61" t="s">
        <v>1411</v>
      </c>
      <c r="E150" s="63" t="s">
        <v>27</v>
      </c>
      <c r="F150" s="63" t="s">
        <v>1041</v>
      </c>
      <c r="G150" s="63" t="s">
        <v>1094</v>
      </c>
      <c r="H150" s="61" t="s">
        <v>1029</v>
      </c>
      <c r="I150" s="63" t="s">
        <v>792</v>
      </c>
      <c r="J150" s="64" t="s">
        <v>1409</v>
      </c>
      <c r="K150" s="64"/>
      <c r="L150" s="63" t="s">
        <v>1026</v>
      </c>
      <c r="M150" s="63" t="s">
        <v>15</v>
      </c>
      <c r="N150" s="65"/>
    </row>
    <row r="151" spans="1:14" ht="20.25" customHeight="1">
      <c r="A151" s="53">
        <v>149</v>
      </c>
      <c r="B151" s="66" t="s">
        <v>248</v>
      </c>
      <c r="C151" s="66" t="s">
        <v>1412</v>
      </c>
      <c r="D151" s="66" t="s">
        <v>1162</v>
      </c>
      <c r="E151" s="69"/>
      <c r="F151" s="69" t="s">
        <v>1041</v>
      </c>
      <c r="G151" s="69"/>
      <c r="H151" s="66" t="s">
        <v>1413</v>
      </c>
      <c r="I151" s="69" t="s">
        <v>1414</v>
      </c>
      <c r="J151" s="70" t="s">
        <v>1409</v>
      </c>
      <c r="K151" s="70"/>
      <c r="L151" s="69" t="s">
        <v>1026</v>
      </c>
      <c r="M151" s="69" t="s">
        <v>15</v>
      </c>
      <c r="N151" s="71"/>
    </row>
    <row r="152" spans="1:14" ht="20.25" customHeight="1">
      <c r="A152" s="60">
        <v>150</v>
      </c>
      <c r="B152" s="61" t="s">
        <v>784</v>
      </c>
      <c r="C152" s="61" t="s">
        <v>1415</v>
      </c>
      <c r="D152" s="61" t="s">
        <v>1416</v>
      </c>
      <c r="E152" s="63" t="s">
        <v>27</v>
      </c>
      <c r="F152" s="63" t="s">
        <v>1050</v>
      </c>
      <c r="G152" s="63" t="s">
        <v>1051</v>
      </c>
      <c r="H152" s="61" t="s">
        <v>1225</v>
      </c>
      <c r="I152" s="63" t="s">
        <v>288</v>
      </c>
      <c r="J152" s="64" t="s">
        <v>1417</v>
      </c>
      <c r="K152" s="64"/>
      <c r="L152" s="63" t="s">
        <v>1026</v>
      </c>
      <c r="M152" s="63" t="s">
        <v>17</v>
      </c>
      <c r="N152" s="65"/>
    </row>
    <row r="153" spans="1:14" ht="20.25" customHeight="1">
      <c r="A153" s="53">
        <v>151</v>
      </c>
      <c r="B153" s="66" t="s">
        <v>1418</v>
      </c>
      <c r="C153" s="66" t="s">
        <v>1419</v>
      </c>
      <c r="D153" s="66" t="s">
        <v>1065</v>
      </c>
      <c r="E153" s="69"/>
      <c r="F153" s="69" t="s">
        <v>1041</v>
      </c>
      <c r="G153" s="69"/>
      <c r="H153" s="66" t="s">
        <v>1070</v>
      </c>
      <c r="I153" s="69" t="s">
        <v>397</v>
      </c>
      <c r="J153" s="70" t="s">
        <v>1417</v>
      </c>
      <c r="K153" s="70"/>
      <c r="L153" s="69" t="s">
        <v>1026</v>
      </c>
      <c r="M153" s="69" t="s">
        <v>15</v>
      </c>
      <c r="N153" s="71"/>
    </row>
    <row r="154" spans="1:14" ht="20.25" customHeight="1">
      <c r="A154" s="60">
        <v>152</v>
      </c>
      <c r="B154" s="61" t="s">
        <v>645</v>
      </c>
      <c r="C154" s="61" t="s">
        <v>1420</v>
      </c>
      <c r="D154" s="61" t="s">
        <v>1090</v>
      </c>
      <c r="E154" s="63"/>
      <c r="F154" s="63" t="s">
        <v>1041</v>
      </c>
      <c r="G154" s="63"/>
      <c r="H154" s="61" t="s">
        <v>1225</v>
      </c>
      <c r="I154" s="63" t="s">
        <v>288</v>
      </c>
      <c r="J154" s="64" t="s">
        <v>1417</v>
      </c>
      <c r="K154" s="64"/>
      <c r="L154" s="63" t="s">
        <v>1026</v>
      </c>
      <c r="M154" s="63" t="s">
        <v>15</v>
      </c>
      <c r="N154" s="65"/>
    </row>
    <row r="155" spans="1:14" ht="20.25" customHeight="1">
      <c r="A155" s="53">
        <v>153</v>
      </c>
      <c r="B155" s="66" t="s">
        <v>623</v>
      </c>
      <c r="C155" s="66" t="s">
        <v>1421</v>
      </c>
      <c r="D155" s="66" t="s">
        <v>1098</v>
      </c>
      <c r="E155" s="69"/>
      <c r="F155" s="69" t="s">
        <v>1099</v>
      </c>
      <c r="G155" s="69"/>
      <c r="H155" s="66" t="s">
        <v>1241</v>
      </c>
      <c r="I155" s="69" t="s">
        <v>1242</v>
      </c>
      <c r="J155" s="70" t="s">
        <v>1417</v>
      </c>
      <c r="K155" s="70"/>
      <c r="L155" s="69" t="s">
        <v>1026</v>
      </c>
      <c r="M155" s="69" t="s">
        <v>15</v>
      </c>
      <c r="N155" s="71"/>
    </row>
    <row r="156" spans="1:14" ht="20.25" customHeight="1">
      <c r="A156" s="60">
        <v>154</v>
      </c>
      <c r="B156" s="61" t="s">
        <v>1190</v>
      </c>
      <c r="C156" s="61" t="s">
        <v>1422</v>
      </c>
      <c r="D156" s="61" t="s">
        <v>1104</v>
      </c>
      <c r="E156" s="63"/>
      <c r="F156" s="63" t="s">
        <v>1023</v>
      </c>
      <c r="G156" s="63"/>
      <c r="H156" s="61" t="s">
        <v>1322</v>
      </c>
      <c r="I156" s="63" t="s">
        <v>359</v>
      </c>
      <c r="J156" s="64" t="s">
        <v>1417</v>
      </c>
      <c r="K156" s="64"/>
      <c r="L156" s="63" t="s">
        <v>1026</v>
      </c>
      <c r="M156" s="63" t="s">
        <v>15</v>
      </c>
      <c r="N156" s="65"/>
    </row>
    <row r="157" spans="1:14" ht="20.25" customHeight="1">
      <c r="A157" s="53">
        <v>155</v>
      </c>
      <c r="B157" s="66" t="s">
        <v>290</v>
      </c>
      <c r="C157" s="66" t="s">
        <v>1423</v>
      </c>
      <c r="D157" s="66" t="s">
        <v>1344</v>
      </c>
      <c r="E157" s="69"/>
      <c r="F157" s="69" t="s">
        <v>1041</v>
      </c>
      <c r="G157" s="69"/>
      <c r="H157" s="66" t="s">
        <v>1424</v>
      </c>
      <c r="I157" s="69" t="s">
        <v>195</v>
      </c>
      <c r="J157" s="70" t="s">
        <v>1417</v>
      </c>
      <c r="K157" s="70"/>
      <c r="L157" s="69" t="s">
        <v>1026</v>
      </c>
      <c r="M157" s="69" t="s">
        <v>15</v>
      </c>
      <c r="N157" s="71"/>
    </row>
    <row r="158" spans="1:14" ht="20.25" customHeight="1">
      <c r="A158" s="60">
        <v>156</v>
      </c>
      <c r="B158" s="61" t="s">
        <v>631</v>
      </c>
      <c r="C158" s="61" t="s">
        <v>1425</v>
      </c>
      <c r="D158" s="61" t="s">
        <v>1352</v>
      </c>
      <c r="E158" s="63"/>
      <c r="F158" s="63" t="s">
        <v>1041</v>
      </c>
      <c r="G158" s="63"/>
      <c r="H158" s="61" t="s">
        <v>1212</v>
      </c>
      <c r="I158" s="63" t="s">
        <v>1213</v>
      </c>
      <c r="J158" s="64" t="s">
        <v>1426</v>
      </c>
      <c r="K158" s="64"/>
      <c r="L158" s="63" t="s">
        <v>1026</v>
      </c>
      <c r="M158" s="63" t="s">
        <v>15</v>
      </c>
      <c r="N158" s="65"/>
    </row>
    <row r="159" spans="1:14" ht="20.25" customHeight="1">
      <c r="A159" s="53">
        <v>157</v>
      </c>
      <c r="B159" s="66" t="s">
        <v>158</v>
      </c>
      <c r="C159" s="66" t="s">
        <v>1427</v>
      </c>
      <c r="D159" s="66" t="s">
        <v>1267</v>
      </c>
      <c r="E159" s="69"/>
      <c r="F159" s="69" t="s">
        <v>1099</v>
      </c>
      <c r="G159" s="69"/>
      <c r="H159" s="66" t="s">
        <v>1100</v>
      </c>
      <c r="I159" s="69" t="s">
        <v>1223</v>
      </c>
      <c r="J159" s="70" t="s">
        <v>1426</v>
      </c>
      <c r="K159" s="70"/>
      <c r="L159" s="69" t="s">
        <v>1026</v>
      </c>
      <c r="M159" s="69" t="s">
        <v>15</v>
      </c>
      <c r="N159" s="71"/>
    </row>
    <row r="160" spans="1:14" ht="20.25" customHeight="1">
      <c r="A160" s="60">
        <v>158</v>
      </c>
      <c r="B160" s="61" t="s">
        <v>1428</v>
      </c>
      <c r="C160" s="61" t="s">
        <v>1429</v>
      </c>
      <c r="D160" s="61" t="s">
        <v>1207</v>
      </c>
      <c r="E160" s="63"/>
      <c r="F160" s="63" t="s">
        <v>1023</v>
      </c>
      <c r="G160" s="63"/>
      <c r="H160" s="61" t="s">
        <v>1212</v>
      </c>
      <c r="I160" s="63" t="s">
        <v>1213</v>
      </c>
      <c r="J160" s="64" t="s">
        <v>1426</v>
      </c>
      <c r="K160" s="64" t="s">
        <v>1430</v>
      </c>
      <c r="L160" s="63" t="s">
        <v>1026</v>
      </c>
      <c r="M160" s="63" t="s">
        <v>15</v>
      </c>
      <c r="N160" s="65" t="s">
        <v>1219</v>
      </c>
    </row>
    <row r="161" spans="1:14" ht="20.25" customHeight="1">
      <c r="A161" s="53">
        <v>159</v>
      </c>
      <c r="B161" s="66" t="s">
        <v>1431</v>
      </c>
      <c r="C161" s="66" t="s">
        <v>1432</v>
      </c>
      <c r="D161" s="66" t="s">
        <v>1267</v>
      </c>
      <c r="E161" s="69"/>
      <c r="F161" s="69" t="s">
        <v>1041</v>
      </c>
      <c r="G161" s="69"/>
      <c r="H161" s="66" t="s">
        <v>1289</v>
      </c>
      <c r="I161" s="69" t="s">
        <v>1290</v>
      </c>
      <c r="J161" s="70" t="s">
        <v>1433</v>
      </c>
      <c r="K161" s="70" t="s">
        <v>1430</v>
      </c>
      <c r="L161" s="69" t="s">
        <v>1026</v>
      </c>
      <c r="M161" s="69" t="s">
        <v>15</v>
      </c>
      <c r="N161" s="71"/>
    </row>
    <row r="162" spans="1:14" ht="20.25" customHeight="1">
      <c r="A162" s="60">
        <v>160</v>
      </c>
      <c r="B162" s="61" t="s">
        <v>627</v>
      </c>
      <c r="C162" s="61" t="s">
        <v>1434</v>
      </c>
      <c r="D162" s="61" t="s">
        <v>1267</v>
      </c>
      <c r="E162" s="63"/>
      <c r="F162" s="63" t="s">
        <v>1041</v>
      </c>
      <c r="G162" s="63"/>
      <c r="H162" s="61" t="s">
        <v>1100</v>
      </c>
      <c r="I162" s="63" t="s">
        <v>1223</v>
      </c>
      <c r="J162" s="64" t="s">
        <v>1433</v>
      </c>
      <c r="K162" s="64"/>
      <c r="L162" s="63" t="s">
        <v>1026</v>
      </c>
      <c r="M162" s="63" t="s">
        <v>15</v>
      </c>
      <c r="N162" s="65"/>
    </row>
    <row r="163" spans="1:14" ht="20.25" customHeight="1">
      <c r="A163" s="53">
        <v>161</v>
      </c>
      <c r="B163" s="66" t="s">
        <v>1435</v>
      </c>
      <c r="C163" s="66" t="s">
        <v>1436</v>
      </c>
      <c r="D163" s="66" t="s">
        <v>1090</v>
      </c>
      <c r="E163" s="69"/>
      <c r="F163" s="69" t="s">
        <v>1041</v>
      </c>
      <c r="G163" s="69"/>
      <c r="H163" s="66" t="s">
        <v>1298</v>
      </c>
      <c r="I163" s="69" t="s">
        <v>1299</v>
      </c>
      <c r="J163" s="70" t="s">
        <v>1433</v>
      </c>
      <c r="K163" s="70"/>
      <c r="L163" s="69" t="s">
        <v>1026</v>
      </c>
      <c r="M163" s="69" t="s">
        <v>15</v>
      </c>
      <c r="N163" s="71"/>
    </row>
    <row r="164" spans="1:14" ht="20.25" customHeight="1">
      <c r="A164" s="60">
        <v>162</v>
      </c>
      <c r="B164" s="61" t="s">
        <v>614</v>
      </c>
      <c r="C164" s="61" t="s">
        <v>1437</v>
      </c>
      <c r="D164" s="61" t="s">
        <v>1438</v>
      </c>
      <c r="E164" s="63"/>
      <c r="F164" s="63" t="s">
        <v>1050</v>
      </c>
      <c r="G164" s="63"/>
      <c r="H164" s="61" t="s">
        <v>1070</v>
      </c>
      <c r="I164" s="63" t="s">
        <v>397</v>
      </c>
      <c r="J164" s="64" t="s">
        <v>1433</v>
      </c>
      <c r="K164" s="64"/>
      <c r="L164" s="63" t="s">
        <v>1026</v>
      </c>
      <c r="M164" s="63" t="s">
        <v>15</v>
      </c>
      <c r="N164" s="65"/>
    </row>
    <row r="165" spans="1:14" ht="20.25" customHeight="1">
      <c r="A165" s="53">
        <v>163</v>
      </c>
      <c r="B165" s="66" t="s">
        <v>252</v>
      </c>
      <c r="C165" s="66" t="s">
        <v>1439</v>
      </c>
      <c r="D165" s="66" t="s">
        <v>1065</v>
      </c>
      <c r="E165" s="69" t="s">
        <v>35</v>
      </c>
      <c r="F165" s="69" t="s">
        <v>1041</v>
      </c>
      <c r="G165" s="69" t="s">
        <v>1132</v>
      </c>
      <c r="H165" s="66" t="s">
        <v>1103</v>
      </c>
      <c r="I165" s="69" t="s">
        <v>533</v>
      </c>
      <c r="J165" s="70" t="s">
        <v>1433</v>
      </c>
      <c r="K165" s="70"/>
      <c r="L165" s="69" t="s">
        <v>1026</v>
      </c>
      <c r="M165" s="69" t="s">
        <v>15</v>
      </c>
      <c r="N165" s="71"/>
    </row>
    <row r="166" spans="1:14" ht="20.25" customHeight="1">
      <c r="A166" s="60">
        <v>164</v>
      </c>
      <c r="B166" s="61" t="s">
        <v>1299</v>
      </c>
      <c r="C166" s="61" t="s">
        <v>1440</v>
      </c>
      <c r="D166" s="61" t="s">
        <v>1441</v>
      </c>
      <c r="E166" s="63"/>
      <c r="F166" s="63" t="s">
        <v>1041</v>
      </c>
      <c r="G166" s="63"/>
      <c r="H166" s="61" t="s">
        <v>1070</v>
      </c>
      <c r="I166" s="63" t="s">
        <v>397</v>
      </c>
      <c r="J166" s="64">
        <v>45394</v>
      </c>
      <c r="K166" s="64"/>
      <c r="L166" s="63" t="s">
        <v>1026</v>
      </c>
      <c r="M166" s="63" t="s">
        <v>15</v>
      </c>
      <c r="N166" s="65"/>
    </row>
    <row r="167" spans="1:14" ht="20.25" customHeight="1">
      <c r="A167" s="53">
        <v>165</v>
      </c>
      <c r="B167" s="66" t="s">
        <v>1442</v>
      </c>
      <c r="C167" s="66" t="s">
        <v>1443</v>
      </c>
      <c r="D167" s="66" t="s">
        <v>1444</v>
      </c>
      <c r="E167" s="69"/>
      <c r="F167" s="69" t="s">
        <v>1404</v>
      </c>
      <c r="G167" s="69"/>
      <c r="H167" s="66" t="s">
        <v>1445</v>
      </c>
      <c r="I167" s="69" t="s">
        <v>1383</v>
      </c>
      <c r="J167" s="70">
        <v>45394</v>
      </c>
      <c r="K167" s="70" t="s">
        <v>1446</v>
      </c>
      <c r="L167" s="69" t="s">
        <v>1202</v>
      </c>
      <c r="M167" s="69" t="s">
        <v>17</v>
      </c>
      <c r="N167" s="71" t="s">
        <v>1219</v>
      </c>
    </row>
    <row r="168" spans="1:14" ht="20.25" customHeight="1">
      <c r="A168" s="60">
        <v>166</v>
      </c>
      <c r="B168" s="61" t="s">
        <v>250</v>
      </c>
      <c r="C168" s="61" t="s">
        <v>1447</v>
      </c>
      <c r="D168" s="61" t="s">
        <v>1059</v>
      </c>
      <c r="E168" s="63" t="s">
        <v>29</v>
      </c>
      <c r="F168" s="63" t="s">
        <v>1023</v>
      </c>
      <c r="G168" s="63" t="s">
        <v>1024</v>
      </c>
      <c r="H168" s="61" t="s">
        <v>1045</v>
      </c>
      <c r="I168" s="63" t="s">
        <v>475</v>
      </c>
      <c r="J168" s="64" t="s">
        <v>1448</v>
      </c>
      <c r="K168" s="64"/>
      <c r="L168" s="63" t="s">
        <v>1026</v>
      </c>
      <c r="M168" s="63" t="s">
        <v>15</v>
      </c>
      <c r="N168" s="65"/>
    </row>
    <row r="169" spans="1:14" ht="20.25" customHeight="1">
      <c r="A169" s="53">
        <v>167</v>
      </c>
      <c r="B169" s="66" t="s">
        <v>288</v>
      </c>
      <c r="C169" s="66" t="s">
        <v>1052</v>
      </c>
      <c r="D169" s="66" t="s">
        <v>1449</v>
      </c>
      <c r="E169" s="69" t="s">
        <v>27</v>
      </c>
      <c r="F169" s="69" t="s">
        <v>1041</v>
      </c>
      <c r="G169" s="69" t="s">
        <v>1051</v>
      </c>
      <c r="H169" s="66" t="s">
        <v>1029</v>
      </c>
      <c r="I169" s="69" t="s">
        <v>792</v>
      </c>
      <c r="J169" s="70" t="s">
        <v>1450</v>
      </c>
      <c r="K169" s="70"/>
      <c r="L169" s="69" t="s">
        <v>1026</v>
      </c>
      <c r="M169" s="69" t="s">
        <v>15</v>
      </c>
      <c r="N169" s="71"/>
    </row>
    <row r="170" spans="1:14" ht="20.25" customHeight="1">
      <c r="A170" s="60">
        <v>168</v>
      </c>
      <c r="B170" s="61" t="s">
        <v>422</v>
      </c>
      <c r="C170" s="61" t="s">
        <v>1451</v>
      </c>
      <c r="D170" s="61" t="s">
        <v>1151</v>
      </c>
      <c r="E170" s="63" t="s">
        <v>27</v>
      </c>
      <c r="F170" s="63" t="s">
        <v>1041</v>
      </c>
      <c r="G170" s="63" t="s">
        <v>1051</v>
      </c>
      <c r="H170" s="61" t="s">
        <v>1225</v>
      </c>
      <c r="I170" s="63" t="s">
        <v>288</v>
      </c>
      <c r="J170" s="64" t="s">
        <v>1450</v>
      </c>
      <c r="K170" s="64"/>
      <c r="L170" s="63" t="s">
        <v>1026</v>
      </c>
      <c r="M170" s="63" t="s">
        <v>15</v>
      </c>
      <c r="N170" s="65"/>
    </row>
    <row r="171" spans="1:14" ht="20.25" customHeight="1">
      <c r="A171" s="53">
        <v>169</v>
      </c>
      <c r="B171" s="66" t="s">
        <v>530</v>
      </c>
      <c r="C171" s="66" t="s">
        <v>1452</v>
      </c>
      <c r="D171" s="66" t="s">
        <v>1453</v>
      </c>
      <c r="E171" s="69" t="s">
        <v>27</v>
      </c>
      <c r="F171" s="69" t="s">
        <v>1041</v>
      </c>
      <c r="G171" s="69" t="s">
        <v>1051</v>
      </c>
      <c r="H171" s="66" t="s">
        <v>1225</v>
      </c>
      <c r="I171" s="69" t="s">
        <v>288</v>
      </c>
      <c r="J171" s="70" t="s">
        <v>1450</v>
      </c>
      <c r="K171" s="70"/>
      <c r="L171" s="69" t="s">
        <v>1026</v>
      </c>
      <c r="M171" s="69" t="s">
        <v>15</v>
      </c>
      <c r="N171" s="71"/>
    </row>
    <row r="172" spans="1:14" ht="20.25" customHeight="1">
      <c r="A172" s="60">
        <v>170</v>
      </c>
      <c r="B172" s="61" t="s">
        <v>1454</v>
      </c>
      <c r="C172" s="61" t="s">
        <v>1455</v>
      </c>
      <c r="D172" s="61" t="s">
        <v>1456</v>
      </c>
      <c r="E172" s="63"/>
      <c r="F172" s="63" t="s">
        <v>1404</v>
      </c>
      <c r="G172" s="63"/>
      <c r="H172" s="61" t="s">
        <v>1445</v>
      </c>
      <c r="I172" s="63" t="s">
        <v>1383</v>
      </c>
      <c r="J172" s="64" t="s">
        <v>1450</v>
      </c>
      <c r="K172" s="64" t="s">
        <v>1457</v>
      </c>
      <c r="L172" s="63" t="s">
        <v>1202</v>
      </c>
      <c r="M172" s="63" t="s">
        <v>15</v>
      </c>
      <c r="N172" s="65"/>
    </row>
    <row r="173" spans="1:14" ht="20.25" customHeight="1">
      <c r="A173" s="53">
        <v>171</v>
      </c>
      <c r="B173" s="66" t="s">
        <v>1242</v>
      </c>
      <c r="C173" s="66" t="s">
        <v>1458</v>
      </c>
      <c r="D173" s="66" t="s">
        <v>1459</v>
      </c>
      <c r="E173" s="69"/>
      <c r="F173" s="69" t="s">
        <v>1041</v>
      </c>
      <c r="G173" s="69"/>
      <c r="H173" s="66" t="s">
        <v>1070</v>
      </c>
      <c r="I173" s="69" t="s">
        <v>397</v>
      </c>
      <c r="J173" s="70">
        <v>45391</v>
      </c>
      <c r="K173" s="70" t="s">
        <v>1214</v>
      </c>
      <c r="L173" s="69" t="s">
        <v>1026</v>
      </c>
      <c r="M173" s="69" t="s">
        <v>15</v>
      </c>
      <c r="N173" s="71" t="s">
        <v>1219</v>
      </c>
    </row>
    <row r="174" spans="1:14" ht="20.25" customHeight="1">
      <c r="A174" s="60">
        <v>172</v>
      </c>
      <c r="B174" s="61" t="s">
        <v>1460</v>
      </c>
      <c r="C174" s="61" t="s">
        <v>1461</v>
      </c>
      <c r="D174" s="61" t="s">
        <v>1378</v>
      </c>
      <c r="E174" s="63"/>
      <c r="F174" s="63" t="s">
        <v>1041</v>
      </c>
      <c r="G174" s="63"/>
      <c r="H174" s="61" t="s">
        <v>1241</v>
      </c>
      <c r="I174" s="63" t="s">
        <v>1242</v>
      </c>
      <c r="J174" s="64">
        <v>45391</v>
      </c>
      <c r="K174" s="64" t="s">
        <v>1214</v>
      </c>
      <c r="L174" s="63" t="s">
        <v>1026</v>
      </c>
      <c r="M174" s="63" t="s">
        <v>15</v>
      </c>
      <c r="N174" s="65"/>
    </row>
    <row r="175" spans="1:14" ht="20.25" customHeight="1">
      <c r="A175" s="53">
        <v>173</v>
      </c>
      <c r="B175" s="66" t="s">
        <v>1462</v>
      </c>
      <c r="C175" s="66" t="s">
        <v>1463</v>
      </c>
      <c r="D175" s="66" t="s">
        <v>1267</v>
      </c>
      <c r="E175" s="69"/>
      <c r="F175" s="69" t="s">
        <v>1099</v>
      </c>
      <c r="G175" s="69"/>
      <c r="H175" s="66" t="s">
        <v>1100</v>
      </c>
      <c r="I175" s="69" t="s">
        <v>1223</v>
      </c>
      <c r="J175" s="70">
        <v>45391</v>
      </c>
      <c r="K175" s="70"/>
      <c r="L175" s="69" t="s">
        <v>1026</v>
      </c>
      <c r="M175" s="69" t="s">
        <v>15</v>
      </c>
      <c r="N175" s="71"/>
    </row>
    <row r="176" spans="1:14" ht="20.25" customHeight="1">
      <c r="A176" s="60">
        <v>174</v>
      </c>
      <c r="B176" s="61" t="s">
        <v>1464</v>
      </c>
      <c r="C176" s="61" t="s">
        <v>1465</v>
      </c>
      <c r="D176" s="61" t="s">
        <v>1378</v>
      </c>
      <c r="E176" s="63"/>
      <c r="F176" s="63" t="s">
        <v>1041</v>
      </c>
      <c r="G176" s="63"/>
      <c r="H176" s="61" t="s">
        <v>1241</v>
      </c>
      <c r="I176" s="63" t="s">
        <v>1242</v>
      </c>
      <c r="J176" s="64">
        <v>45391</v>
      </c>
      <c r="K176" s="64" t="s">
        <v>1214</v>
      </c>
      <c r="L176" s="63" t="s">
        <v>1026</v>
      </c>
      <c r="M176" s="63" t="s">
        <v>15</v>
      </c>
      <c r="N176" s="65"/>
    </row>
    <row r="177" spans="1:14" ht="20.25" customHeight="1">
      <c r="A177" s="53">
        <v>175</v>
      </c>
      <c r="B177" s="66" t="s">
        <v>1290</v>
      </c>
      <c r="C177" s="66" t="s">
        <v>1466</v>
      </c>
      <c r="D177" s="66" t="s">
        <v>1467</v>
      </c>
      <c r="E177" s="69"/>
      <c r="F177" s="69" t="s">
        <v>1041</v>
      </c>
      <c r="G177" s="69"/>
      <c r="H177" s="66" t="s">
        <v>1081</v>
      </c>
      <c r="I177" s="69" t="s">
        <v>1277</v>
      </c>
      <c r="J177" s="70" t="s">
        <v>1468</v>
      </c>
      <c r="K177" s="70">
        <v>45935</v>
      </c>
      <c r="L177" s="69" t="s">
        <v>1026</v>
      </c>
      <c r="M177" s="69" t="s">
        <v>15</v>
      </c>
      <c r="N177" s="71"/>
    </row>
    <row r="178" spans="1:14" ht="20.25" customHeight="1">
      <c r="A178" s="60">
        <v>176</v>
      </c>
      <c r="B178" s="61" t="s">
        <v>1414</v>
      </c>
      <c r="C178" s="61" t="s">
        <v>1469</v>
      </c>
      <c r="D178" s="61" t="s">
        <v>1297</v>
      </c>
      <c r="E178" s="63"/>
      <c r="F178" s="63" t="s">
        <v>1041</v>
      </c>
      <c r="G178" s="63"/>
      <c r="H178" s="61" t="s">
        <v>1298</v>
      </c>
      <c r="I178" s="63" t="s">
        <v>1299</v>
      </c>
      <c r="J178" s="64" t="s">
        <v>1468</v>
      </c>
      <c r="K178" s="64"/>
      <c r="L178" s="63" t="s">
        <v>1026</v>
      </c>
      <c r="M178" s="63" t="s">
        <v>15</v>
      </c>
      <c r="N178" s="65"/>
    </row>
    <row r="179" spans="1:14" ht="20.25" customHeight="1">
      <c r="A179" s="53">
        <v>177</v>
      </c>
      <c r="B179" s="66" t="s">
        <v>1470</v>
      </c>
      <c r="C179" s="66" t="s">
        <v>1471</v>
      </c>
      <c r="D179" s="66" t="s">
        <v>1472</v>
      </c>
      <c r="E179" s="69"/>
      <c r="F179" s="69" t="s">
        <v>1041</v>
      </c>
      <c r="G179" s="69"/>
      <c r="H179" s="66" t="s">
        <v>1081</v>
      </c>
      <c r="I179" s="69" t="s">
        <v>1277</v>
      </c>
      <c r="J179" s="70" t="s">
        <v>1468</v>
      </c>
      <c r="K179" s="70" t="s">
        <v>1473</v>
      </c>
      <c r="L179" s="69" t="s">
        <v>1026</v>
      </c>
      <c r="M179" s="69" t="s">
        <v>15</v>
      </c>
      <c r="N179" s="71"/>
    </row>
    <row r="180" spans="1:14" ht="20.25" customHeight="1">
      <c r="A180" s="60">
        <v>178</v>
      </c>
      <c r="B180" s="61" t="s">
        <v>1474</v>
      </c>
      <c r="C180" s="61" t="s">
        <v>1475</v>
      </c>
      <c r="D180" s="61" t="s">
        <v>1378</v>
      </c>
      <c r="E180" s="63"/>
      <c r="F180" s="63" t="s">
        <v>1041</v>
      </c>
      <c r="G180" s="63"/>
      <c r="H180" s="61" t="s">
        <v>1241</v>
      </c>
      <c r="I180" s="63" t="s">
        <v>1242</v>
      </c>
      <c r="J180" s="64" t="s">
        <v>1476</v>
      </c>
      <c r="K180" s="64" t="s">
        <v>1214</v>
      </c>
      <c r="L180" s="63" t="s">
        <v>1026</v>
      </c>
      <c r="M180" s="63" t="s">
        <v>15</v>
      </c>
      <c r="N180" s="65"/>
    </row>
    <row r="181" spans="1:14" ht="20.25" customHeight="1">
      <c r="A181" s="53">
        <v>179</v>
      </c>
      <c r="B181" s="66" t="s">
        <v>143</v>
      </c>
      <c r="C181" s="66" t="s">
        <v>1477</v>
      </c>
      <c r="D181" s="66" t="s">
        <v>1478</v>
      </c>
      <c r="E181" s="69"/>
      <c r="F181" s="69" t="s">
        <v>1041</v>
      </c>
      <c r="G181" s="69"/>
      <c r="H181" s="66" t="s">
        <v>1081</v>
      </c>
      <c r="I181" s="69" t="s">
        <v>1277</v>
      </c>
      <c r="J181" s="70" t="s">
        <v>1479</v>
      </c>
      <c r="K181" s="70"/>
      <c r="L181" s="69" t="s">
        <v>1026</v>
      </c>
      <c r="M181" s="69" t="s">
        <v>15</v>
      </c>
      <c r="N181" s="71"/>
    </row>
    <row r="182" spans="1:14" ht="20.25" customHeight="1">
      <c r="A182" s="60">
        <v>180</v>
      </c>
      <c r="B182" s="61" t="s">
        <v>1339</v>
      </c>
      <c r="C182" s="61" t="s">
        <v>1119</v>
      </c>
      <c r="D182" s="61" t="s">
        <v>1480</v>
      </c>
      <c r="E182" s="63"/>
      <c r="F182" s="63" t="s">
        <v>1060</v>
      </c>
      <c r="G182" s="63"/>
      <c r="H182" s="61" t="s">
        <v>1212</v>
      </c>
      <c r="I182" s="63" t="s">
        <v>1213</v>
      </c>
      <c r="J182" s="64">
        <v>45634</v>
      </c>
      <c r="K182" s="64"/>
      <c r="L182" s="63" t="s">
        <v>1026</v>
      </c>
      <c r="M182" s="63" t="s">
        <v>15</v>
      </c>
      <c r="N182" s="65"/>
    </row>
    <row r="183" spans="1:14" ht="20.25" customHeight="1">
      <c r="A183" s="53">
        <v>181</v>
      </c>
      <c r="B183" s="66" t="s">
        <v>1238</v>
      </c>
      <c r="C183" s="66" t="s">
        <v>1481</v>
      </c>
      <c r="D183" s="66" t="s">
        <v>1482</v>
      </c>
      <c r="E183" s="69"/>
      <c r="F183" s="69" t="s">
        <v>1099</v>
      </c>
      <c r="G183" s="69"/>
      <c r="H183" s="66" t="s">
        <v>1100</v>
      </c>
      <c r="I183" s="69" t="s">
        <v>1223</v>
      </c>
      <c r="J183" s="70">
        <v>45420</v>
      </c>
      <c r="K183" s="70"/>
      <c r="L183" s="69" t="s">
        <v>1026</v>
      </c>
      <c r="M183" s="69" t="s">
        <v>15</v>
      </c>
      <c r="N183" s="71"/>
    </row>
    <row r="184" spans="1:14" ht="20.25" customHeight="1">
      <c r="A184" s="60">
        <v>182</v>
      </c>
      <c r="B184" s="61" t="s">
        <v>1483</v>
      </c>
      <c r="C184" s="61" t="s">
        <v>1484</v>
      </c>
      <c r="D184" s="61" t="s">
        <v>1065</v>
      </c>
      <c r="E184" s="63"/>
      <c r="F184" s="63" t="s">
        <v>1041</v>
      </c>
      <c r="G184" s="63"/>
      <c r="H184" s="61" t="s">
        <v>1371</v>
      </c>
      <c r="I184" s="63" t="s">
        <v>1372</v>
      </c>
      <c r="J184" s="64">
        <v>45420</v>
      </c>
      <c r="K184" s="64" t="s">
        <v>1485</v>
      </c>
      <c r="L184" s="63" t="s">
        <v>1026</v>
      </c>
      <c r="M184" s="63" t="s">
        <v>15</v>
      </c>
      <c r="N184" s="65"/>
    </row>
    <row r="185" spans="1:14" ht="20.25" customHeight="1">
      <c r="A185" s="53">
        <v>183</v>
      </c>
      <c r="B185" s="66" t="s">
        <v>796</v>
      </c>
      <c r="C185" s="66" t="s">
        <v>1331</v>
      </c>
      <c r="D185" s="66" t="s">
        <v>1151</v>
      </c>
      <c r="E185" s="69"/>
      <c r="F185" s="69" t="s">
        <v>1041</v>
      </c>
      <c r="G185" s="69"/>
      <c r="H185" s="66" t="s">
        <v>1070</v>
      </c>
      <c r="I185" s="69" t="s">
        <v>397</v>
      </c>
      <c r="J185" s="70" t="s">
        <v>1486</v>
      </c>
      <c r="K185" s="70"/>
      <c r="L185" s="69" t="s">
        <v>1026</v>
      </c>
      <c r="M185" s="69" t="s">
        <v>17</v>
      </c>
      <c r="N185" s="71"/>
    </row>
    <row r="186" spans="1:14" ht="20.25" customHeight="1">
      <c r="A186" s="60">
        <v>184</v>
      </c>
      <c r="B186" s="61" t="s">
        <v>1487</v>
      </c>
      <c r="C186" s="61" t="s">
        <v>1488</v>
      </c>
      <c r="D186" s="61" t="s">
        <v>1151</v>
      </c>
      <c r="E186" s="63" t="s">
        <v>27</v>
      </c>
      <c r="F186" s="63" t="s">
        <v>1041</v>
      </c>
      <c r="G186" s="63" t="s">
        <v>1051</v>
      </c>
      <c r="H186" s="61" t="s">
        <v>1225</v>
      </c>
      <c r="I186" s="63" t="s">
        <v>288</v>
      </c>
      <c r="J186" s="64" t="s">
        <v>1486</v>
      </c>
      <c r="K186" s="64"/>
      <c r="L186" s="63" t="s">
        <v>1026</v>
      </c>
      <c r="M186" s="63" t="s">
        <v>15</v>
      </c>
      <c r="N186" s="65"/>
    </row>
    <row r="187" spans="1:14" ht="20.25" customHeight="1">
      <c r="A187" s="53">
        <v>185</v>
      </c>
      <c r="B187" s="66" t="s">
        <v>1489</v>
      </c>
      <c r="C187" s="66" t="s">
        <v>1490</v>
      </c>
      <c r="D187" s="66" t="s">
        <v>1151</v>
      </c>
      <c r="E187" s="69"/>
      <c r="F187" s="69" t="s">
        <v>1041</v>
      </c>
      <c r="G187" s="69"/>
      <c r="H187" s="66" t="s">
        <v>1273</v>
      </c>
      <c r="I187" s="69" t="s">
        <v>1274</v>
      </c>
      <c r="J187" s="70" t="s">
        <v>1486</v>
      </c>
      <c r="K187" s="70" t="s">
        <v>1340</v>
      </c>
      <c r="L187" s="69" t="s">
        <v>1026</v>
      </c>
      <c r="M187" s="69" t="s">
        <v>15</v>
      </c>
      <c r="N187" s="71" t="s">
        <v>1219</v>
      </c>
    </row>
    <row r="188" spans="1:14" ht="20.25" customHeight="1">
      <c r="A188" s="60">
        <v>186</v>
      </c>
      <c r="B188" s="61" t="s">
        <v>559</v>
      </c>
      <c r="C188" s="61" t="s">
        <v>1491</v>
      </c>
      <c r="D188" s="61" t="s">
        <v>1492</v>
      </c>
      <c r="E188" s="63"/>
      <c r="F188" s="63" t="s">
        <v>1386</v>
      </c>
      <c r="G188" s="63"/>
      <c r="H188" s="61" t="s">
        <v>1070</v>
      </c>
      <c r="I188" s="63" t="s">
        <v>397</v>
      </c>
      <c r="J188" s="64" t="s">
        <v>1486</v>
      </c>
      <c r="K188" s="64"/>
      <c r="L188" s="63" t="s">
        <v>1026</v>
      </c>
      <c r="M188" s="63" t="s">
        <v>15</v>
      </c>
      <c r="N188" s="65"/>
    </row>
    <row r="189" spans="1:14" ht="20.25" customHeight="1">
      <c r="A189" s="53">
        <v>187</v>
      </c>
      <c r="B189" s="66" t="s">
        <v>206</v>
      </c>
      <c r="C189" s="66" t="s">
        <v>1493</v>
      </c>
      <c r="D189" s="66" t="s">
        <v>1267</v>
      </c>
      <c r="E189" s="69"/>
      <c r="F189" s="69" t="s">
        <v>1041</v>
      </c>
      <c r="G189" s="69"/>
      <c r="H189" s="66" t="s">
        <v>1494</v>
      </c>
      <c r="I189" s="69" t="s">
        <v>1495</v>
      </c>
      <c r="J189" s="70" t="s">
        <v>1496</v>
      </c>
      <c r="K189" s="70"/>
      <c r="L189" s="69" t="s">
        <v>1026</v>
      </c>
      <c r="M189" s="69" t="s">
        <v>15</v>
      </c>
      <c r="N189" s="71"/>
    </row>
    <row r="190" spans="1:14" ht="20.25" customHeight="1">
      <c r="A190" s="60">
        <v>188</v>
      </c>
      <c r="B190" s="61" t="s">
        <v>1497</v>
      </c>
      <c r="C190" s="61" t="s">
        <v>1498</v>
      </c>
      <c r="D190" s="61" t="s">
        <v>1308</v>
      </c>
      <c r="E190" s="63"/>
      <c r="F190" s="63" t="s">
        <v>1041</v>
      </c>
      <c r="G190" s="63"/>
      <c r="H190" s="61" t="s">
        <v>1241</v>
      </c>
      <c r="I190" s="63" t="s">
        <v>1242</v>
      </c>
      <c r="J190" s="64" t="s">
        <v>1499</v>
      </c>
      <c r="K190" s="64" t="s">
        <v>1500</v>
      </c>
      <c r="L190" s="63" t="s">
        <v>1026</v>
      </c>
      <c r="M190" s="63" t="s">
        <v>15</v>
      </c>
      <c r="N190" s="65" t="s">
        <v>1219</v>
      </c>
    </row>
    <row r="191" spans="1:14" ht="20.25" customHeight="1">
      <c r="A191" s="53">
        <v>189</v>
      </c>
      <c r="B191" s="66" t="s">
        <v>1501</v>
      </c>
      <c r="C191" s="66" t="s">
        <v>1502</v>
      </c>
      <c r="D191" s="66" t="s">
        <v>1151</v>
      </c>
      <c r="E191" s="69"/>
      <c r="F191" s="69" t="s">
        <v>1041</v>
      </c>
      <c r="G191" s="69"/>
      <c r="H191" s="66" t="s">
        <v>1225</v>
      </c>
      <c r="I191" s="69" t="s">
        <v>288</v>
      </c>
      <c r="J191" s="70" t="s">
        <v>1503</v>
      </c>
      <c r="K191" s="70" t="s">
        <v>752</v>
      </c>
      <c r="L191" s="69" t="s">
        <v>1026</v>
      </c>
      <c r="M191" s="69" t="s">
        <v>15</v>
      </c>
      <c r="N191" s="71" t="s">
        <v>1219</v>
      </c>
    </row>
    <row r="192" spans="1:14" ht="20.25" customHeight="1">
      <c r="A192" s="60">
        <v>190</v>
      </c>
      <c r="B192" s="61" t="s">
        <v>1504</v>
      </c>
      <c r="C192" s="61" t="s">
        <v>1505</v>
      </c>
      <c r="D192" s="61" t="s">
        <v>1166</v>
      </c>
      <c r="E192" s="63"/>
      <c r="F192" s="63" t="s">
        <v>1041</v>
      </c>
      <c r="G192" s="63"/>
      <c r="H192" s="61" t="s">
        <v>1241</v>
      </c>
      <c r="I192" s="63" t="s">
        <v>1242</v>
      </c>
      <c r="J192" s="64">
        <v>45511</v>
      </c>
      <c r="K192" s="64">
        <v>45935</v>
      </c>
      <c r="L192" s="63" t="s">
        <v>1026</v>
      </c>
      <c r="M192" s="63" t="s">
        <v>15</v>
      </c>
      <c r="N192" s="65" t="s">
        <v>1219</v>
      </c>
    </row>
    <row r="193" spans="1:14" ht="20.25" customHeight="1">
      <c r="A193" s="53">
        <v>191</v>
      </c>
      <c r="B193" s="66" t="s">
        <v>1506</v>
      </c>
      <c r="C193" s="66" t="s">
        <v>1507</v>
      </c>
      <c r="D193" s="66" t="s">
        <v>1090</v>
      </c>
      <c r="E193" s="69"/>
      <c r="F193" s="69" t="s">
        <v>1041</v>
      </c>
      <c r="G193" s="69"/>
      <c r="H193" s="66" t="s">
        <v>1298</v>
      </c>
      <c r="I193" s="69" t="s">
        <v>1299</v>
      </c>
      <c r="J193" s="70">
        <v>45481</v>
      </c>
      <c r="K193" s="70" t="s">
        <v>1508</v>
      </c>
      <c r="L193" s="69" t="s">
        <v>1026</v>
      </c>
      <c r="M193" s="69" t="s">
        <v>15</v>
      </c>
      <c r="N193" s="71"/>
    </row>
    <row r="194" spans="1:14" ht="20.25" customHeight="1">
      <c r="A194" s="60">
        <v>192</v>
      </c>
      <c r="B194" s="61" t="s">
        <v>417</v>
      </c>
      <c r="C194" s="61" t="s">
        <v>1509</v>
      </c>
      <c r="D194" s="61" t="s">
        <v>1510</v>
      </c>
      <c r="E194" s="63"/>
      <c r="F194" s="63" t="s">
        <v>1149</v>
      </c>
      <c r="G194" s="63"/>
      <c r="H194" s="61" t="s">
        <v>1445</v>
      </c>
      <c r="I194" s="63" t="s">
        <v>1383</v>
      </c>
      <c r="J194" s="64">
        <v>45511</v>
      </c>
      <c r="K194" s="64"/>
      <c r="L194" s="63" t="s">
        <v>1026</v>
      </c>
      <c r="M194" s="63" t="s">
        <v>15</v>
      </c>
      <c r="N194" s="65"/>
    </row>
    <row r="195" spans="1:14" ht="20.25" customHeight="1">
      <c r="A195" s="53">
        <v>193</v>
      </c>
      <c r="B195" s="66" t="s">
        <v>1511</v>
      </c>
      <c r="C195" s="66" t="s">
        <v>1512</v>
      </c>
      <c r="D195" s="66" t="s">
        <v>1513</v>
      </c>
      <c r="E195" s="69"/>
      <c r="F195" s="69" t="s">
        <v>1041</v>
      </c>
      <c r="G195" s="69"/>
      <c r="H195" s="66" t="s">
        <v>1081</v>
      </c>
      <c r="I195" s="69" t="s">
        <v>1277</v>
      </c>
      <c r="J195" s="70">
        <v>45511</v>
      </c>
      <c r="K195" s="70" t="s">
        <v>1214</v>
      </c>
      <c r="L195" s="69" t="s">
        <v>1026</v>
      </c>
      <c r="M195" s="69" t="s">
        <v>15</v>
      </c>
      <c r="N195" s="71"/>
    </row>
    <row r="196" spans="1:14" ht="20.25" customHeight="1">
      <c r="A196" s="60">
        <v>194</v>
      </c>
      <c r="B196" s="61" t="s">
        <v>1495</v>
      </c>
      <c r="C196" s="61" t="s">
        <v>1514</v>
      </c>
      <c r="D196" s="61" t="s">
        <v>1303</v>
      </c>
      <c r="E196" s="63"/>
      <c r="F196" s="63" t="s">
        <v>1041</v>
      </c>
      <c r="G196" s="63"/>
      <c r="H196" s="61" t="s">
        <v>1322</v>
      </c>
      <c r="I196" s="63" t="s">
        <v>359</v>
      </c>
      <c r="J196" s="64">
        <v>45358</v>
      </c>
      <c r="K196" s="64">
        <v>45754</v>
      </c>
      <c r="L196" s="63" t="s">
        <v>1026</v>
      </c>
      <c r="M196" s="63" t="s">
        <v>15</v>
      </c>
      <c r="N196" s="65"/>
    </row>
    <row r="197" spans="1:14" ht="20.25" customHeight="1">
      <c r="A197" s="53">
        <v>195</v>
      </c>
      <c r="B197" s="66" t="s">
        <v>1515</v>
      </c>
      <c r="C197" s="66" t="s">
        <v>1516</v>
      </c>
      <c r="D197" s="66" t="s">
        <v>1513</v>
      </c>
      <c r="E197" s="69"/>
      <c r="F197" s="69" t="s">
        <v>1041</v>
      </c>
      <c r="G197" s="69"/>
      <c r="H197" s="66" t="s">
        <v>1081</v>
      </c>
      <c r="I197" s="69" t="s">
        <v>1277</v>
      </c>
      <c r="J197" s="70">
        <v>45298</v>
      </c>
      <c r="K197" s="70"/>
      <c r="L197" s="69" t="s">
        <v>1026</v>
      </c>
      <c r="M197" s="69" t="s">
        <v>15</v>
      </c>
      <c r="N197" s="71"/>
    </row>
    <row r="198" spans="1:14" ht="20.25" customHeight="1">
      <c r="A198" s="60">
        <v>196</v>
      </c>
      <c r="B198" s="61" t="s">
        <v>406</v>
      </c>
      <c r="C198" s="61" t="s">
        <v>1113</v>
      </c>
      <c r="D198" s="61" t="s">
        <v>1151</v>
      </c>
      <c r="E198" s="63"/>
      <c r="F198" s="63" t="s">
        <v>1041</v>
      </c>
      <c r="G198" s="63"/>
      <c r="H198" s="61" t="s">
        <v>1371</v>
      </c>
      <c r="I198" s="63" t="s">
        <v>1372</v>
      </c>
      <c r="J198" s="64">
        <v>45298</v>
      </c>
      <c r="K198" s="64"/>
      <c r="L198" s="63" t="s">
        <v>1026</v>
      </c>
      <c r="M198" s="63" t="s">
        <v>15</v>
      </c>
      <c r="N198" s="65"/>
    </row>
    <row r="199" spans="1:14" ht="20.25" customHeight="1">
      <c r="A199" s="53">
        <v>197</v>
      </c>
      <c r="B199" s="66" t="s">
        <v>1517</v>
      </c>
      <c r="C199" s="66" t="s">
        <v>1518</v>
      </c>
      <c r="D199" s="66" t="s">
        <v>1065</v>
      </c>
      <c r="E199" s="69"/>
      <c r="F199" s="69" t="s">
        <v>1041</v>
      </c>
      <c r="G199" s="69"/>
      <c r="H199" s="66" t="s">
        <v>1070</v>
      </c>
      <c r="I199" s="69" t="s">
        <v>397</v>
      </c>
      <c r="J199" s="70" t="s">
        <v>1519</v>
      </c>
      <c r="K199" s="70"/>
      <c r="L199" s="69" t="s">
        <v>1026</v>
      </c>
      <c r="M199" s="69" t="s">
        <v>15</v>
      </c>
      <c r="N199" s="71"/>
    </row>
    <row r="200" spans="1:14" ht="20.25" customHeight="1">
      <c r="A200" s="60">
        <v>198</v>
      </c>
      <c r="B200" s="61" t="s">
        <v>387</v>
      </c>
      <c r="C200" s="61" t="s">
        <v>1116</v>
      </c>
      <c r="D200" s="61" t="s">
        <v>1520</v>
      </c>
      <c r="E200" s="63"/>
      <c r="F200" s="63" t="s">
        <v>1050</v>
      </c>
      <c r="G200" s="63"/>
      <c r="H200" s="61" t="s">
        <v>1081</v>
      </c>
      <c r="I200" s="63" t="s">
        <v>1277</v>
      </c>
      <c r="J200" s="64" t="s">
        <v>1519</v>
      </c>
      <c r="K200" s="64"/>
      <c r="L200" s="63" t="s">
        <v>1026</v>
      </c>
      <c r="M200" s="63" t="s">
        <v>15</v>
      </c>
      <c r="N200" s="65"/>
    </row>
    <row r="201" spans="1:14" ht="20.25" customHeight="1">
      <c r="A201" s="53">
        <v>199</v>
      </c>
      <c r="B201" s="66" t="s">
        <v>1521</v>
      </c>
      <c r="C201" s="66" t="s">
        <v>1522</v>
      </c>
      <c r="D201" s="66" t="s">
        <v>1065</v>
      </c>
      <c r="E201" s="69"/>
      <c r="F201" s="69" t="s">
        <v>1041</v>
      </c>
      <c r="G201" s="69"/>
      <c r="H201" s="66" t="s">
        <v>1273</v>
      </c>
      <c r="I201" s="69" t="s">
        <v>1274</v>
      </c>
      <c r="J201" s="70" t="s">
        <v>1519</v>
      </c>
      <c r="K201" s="70" t="s">
        <v>1523</v>
      </c>
      <c r="L201" s="69" t="s">
        <v>1026</v>
      </c>
      <c r="M201" s="69" t="s">
        <v>15</v>
      </c>
      <c r="N201" s="71" t="s">
        <v>1219</v>
      </c>
    </row>
    <row r="202" spans="1:14" ht="20.25" customHeight="1">
      <c r="A202" s="60">
        <v>200</v>
      </c>
      <c r="B202" s="61" t="s">
        <v>1524</v>
      </c>
      <c r="C202" s="61" t="s">
        <v>1525</v>
      </c>
      <c r="D202" s="61" t="s">
        <v>1526</v>
      </c>
      <c r="E202" s="63"/>
      <c r="F202" s="63" t="s">
        <v>1041</v>
      </c>
      <c r="G202" s="63"/>
      <c r="H202" s="61" t="s">
        <v>1212</v>
      </c>
      <c r="I202" s="63" t="s">
        <v>1213</v>
      </c>
      <c r="J202" s="64" t="s">
        <v>1519</v>
      </c>
      <c r="K202" s="64"/>
      <c r="L202" s="63" t="s">
        <v>1026</v>
      </c>
      <c r="M202" s="63" t="s">
        <v>17</v>
      </c>
      <c r="N202" s="65"/>
    </row>
    <row r="203" spans="1:14" ht="20.25" customHeight="1">
      <c r="A203" s="53">
        <v>201</v>
      </c>
      <c r="B203" s="66" t="s">
        <v>1527</v>
      </c>
      <c r="C203" s="66" t="s">
        <v>1528</v>
      </c>
      <c r="D203" s="66" t="s">
        <v>1157</v>
      </c>
      <c r="E203" s="69"/>
      <c r="F203" s="69" t="s">
        <v>1041</v>
      </c>
      <c r="G203" s="69"/>
      <c r="H203" s="66" t="s">
        <v>1081</v>
      </c>
      <c r="I203" s="69" t="s">
        <v>1277</v>
      </c>
      <c r="J203" s="70" t="s">
        <v>1529</v>
      </c>
      <c r="K203" s="70" t="s">
        <v>1530</v>
      </c>
      <c r="L203" s="69" t="s">
        <v>1026</v>
      </c>
      <c r="M203" s="69" t="s">
        <v>15</v>
      </c>
      <c r="N203" s="71" t="s">
        <v>1219</v>
      </c>
    </row>
    <row r="204" spans="1:14" ht="20.25" customHeight="1">
      <c r="A204" s="60">
        <v>202</v>
      </c>
      <c r="B204" s="61" t="s">
        <v>603</v>
      </c>
      <c r="C204" s="61" t="s">
        <v>1531</v>
      </c>
      <c r="D204" s="61" t="s">
        <v>1151</v>
      </c>
      <c r="E204" s="63"/>
      <c r="F204" s="63" t="s">
        <v>1041</v>
      </c>
      <c r="G204" s="63"/>
      <c r="H204" s="61" t="s">
        <v>1070</v>
      </c>
      <c r="I204" s="63" t="s">
        <v>397</v>
      </c>
      <c r="J204" s="64" t="s">
        <v>1532</v>
      </c>
      <c r="K204" s="64"/>
      <c r="L204" s="63" t="s">
        <v>1026</v>
      </c>
      <c r="M204" s="63" t="s">
        <v>15</v>
      </c>
      <c r="N204" s="65"/>
    </row>
    <row r="205" spans="1:14" ht="20.25" customHeight="1">
      <c r="A205" s="53">
        <v>203</v>
      </c>
      <c r="B205" s="66" t="s">
        <v>1372</v>
      </c>
      <c r="C205" s="66" t="s">
        <v>1533</v>
      </c>
      <c r="D205" s="66" t="s">
        <v>1398</v>
      </c>
      <c r="E205" s="69"/>
      <c r="F205" s="69" t="s">
        <v>1041</v>
      </c>
      <c r="G205" s="69"/>
      <c r="H205" s="66" t="s">
        <v>1070</v>
      </c>
      <c r="I205" s="69" t="s">
        <v>397</v>
      </c>
      <c r="J205" s="70" t="s">
        <v>1532</v>
      </c>
      <c r="K205" s="70"/>
      <c r="L205" s="69" t="s">
        <v>1026</v>
      </c>
      <c r="M205" s="69" t="s">
        <v>17</v>
      </c>
      <c r="N205" s="71"/>
    </row>
    <row r="206" spans="1:14" ht="20.25" customHeight="1">
      <c r="A206" s="60">
        <v>204</v>
      </c>
      <c r="B206" s="61" t="s">
        <v>564</v>
      </c>
      <c r="C206" s="61" t="s">
        <v>1534</v>
      </c>
      <c r="D206" s="61" t="s">
        <v>1526</v>
      </c>
      <c r="E206" s="63"/>
      <c r="F206" s="63" t="s">
        <v>1041</v>
      </c>
      <c r="G206" s="63"/>
      <c r="H206" s="61" t="s">
        <v>1212</v>
      </c>
      <c r="I206" s="63" t="s">
        <v>1213</v>
      </c>
      <c r="J206" s="64">
        <v>45632</v>
      </c>
      <c r="K206" s="64"/>
      <c r="L206" s="63" t="s">
        <v>1026</v>
      </c>
      <c r="M206" s="63" t="s">
        <v>15</v>
      </c>
      <c r="N206" s="65"/>
    </row>
    <row r="207" spans="1:14" ht="20.25" customHeight="1">
      <c r="A207" s="53">
        <v>205</v>
      </c>
      <c r="B207" s="66" t="s">
        <v>588</v>
      </c>
      <c r="C207" s="66" t="s">
        <v>1535</v>
      </c>
      <c r="D207" s="66" t="s">
        <v>1151</v>
      </c>
      <c r="E207" s="69"/>
      <c r="F207" s="69" t="s">
        <v>1041</v>
      </c>
      <c r="G207" s="69"/>
      <c r="H207" s="66" t="s">
        <v>1371</v>
      </c>
      <c r="I207" s="69" t="s">
        <v>1372</v>
      </c>
      <c r="J207" s="70">
        <v>45357</v>
      </c>
      <c r="K207" s="70" t="s">
        <v>1536</v>
      </c>
      <c r="L207" s="69" t="s">
        <v>1026</v>
      </c>
      <c r="M207" s="69" t="s">
        <v>17</v>
      </c>
      <c r="N207" s="71" t="s">
        <v>1219</v>
      </c>
    </row>
    <row r="208" spans="1:14" ht="20.25" customHeight="1">
      <c r="A208" s="60">
        <v>206</v>
      </c>
      <c r="B208" s="61" t="s">
        <v>384</v>
      </c>
      <c r="C208" s="61" t="s">
        <v>1537</v>
      </c>
      <c r="D208" s="61" t="s">
        <v>1520</v>
      </c>
      <c r="E208" s="63"/>
      <c r="F208" s="63" t="s">
        <v>1050</v>
      </c>
      <c r="G208" s="63"/>
      <c r="H208" s="61" t="s">
        <v>1081</v>
      </c>
      <c r="I208" s="63" t="s">
        <v>1277</v>
      </c>
      <c r="J208" s="64">
        <v>45357</v>
      </c>
      <c r="K208" s="64"/>
      <c r="L208" s="63" t="s">
        <v>1026</v>
      </c>
      <c r="M208" s="63" t="s">
        <v>15</v>
      </c>
      <c r="N208" s="65"/>
    </row>
    <row r="209" spans="1:14" ht="20.25" customHeight="1">
      <c r="A209" s="53">
        <v>207</v>
      </c>
      <c r="B209" s="66" t="s">
        <v>1538</v>
      </c>
      <c r="C209" s="66" t="s">
        <v>1539</v>
      </c>
      <c r="D209" s="66" t="s">
        <v>1065</v>
      </c>
      <c r="E209" s="69"/>
      <c r="F209" s="69" t="s">
        <v>1041</v>
      </c>
      <c r="G209" s="69"/>
      <c r="H209" s="66" t="s">
        <v>1540</v>
      </c>
      <c r="I209" s="69" t="s">
        <v>296</v>
      </c>
      <c r="J209" s="70">
        <v>45357</v>
      </c>
      <c r="K209" s="70" t="s">
        <v>1214</v>
      </c>
      <c r="L209" s="69" t="s">
        <v>1026</v>
      </c>
      <c r="M209" s="69" t="s">
        <v>15</v>
      </c>
      <c r="N209" s="71"/>
    </row>
    <row r="210" spans="1:14" ht="20.25" customHeight="1">
      <c r="A210" s="60">
        <v>208</v>
      </c>
      <c r="B210" s="61" t="s">
        <v>225</v>
      </c>
      <c r="C210" s="61" t="s">
        <v>1541</v>
      </c>
      <c r="D210" s="61" t="s">
        <v>1542</v>
      </c>
      <c r="E210" s="63"/>
      <c r="F210" s="63" t="s">
        <v>1050</v>
      </c>
      <c r="G210" s="63"/>
      <c r="H210" s="61" t="s">
        <v>1081</v>
      </c>
      <c r="I210" s="63" t="s">
        <v>1277</v>
      </c>
      <c r="J210" s="64">
        <v>45357</v>
      </c>
      <c r="K210" s="64"/>
      <c r="L210" s="63" t="s">
        <v>1026</v>
      </c>
      <c r="M210" s="63" t="s">
        <v>15</v>
      </c>
      <c r="N210" s="65"/>
    </row>
    <row r="211" spans="1:14" ht="20.25" customHeight="1">
      <c r="A211" s="53">
        <v>209</v>
      </c>
      <c r="B211" s="66" t="s">
        <v>1543</v>
      </c>
      <c r="C211" s="66" t="s">
        <v>1544</v>
      </c>
      <c r="D211" s="66" t="s">
        <v>1151</v>
      </c>
      <c r="E211" s="69"/>
      <c r="F211" s="69" t="s">
        <v>1041</v>
      </c>
      <c r="G211" s="69"/>
      <c r="H211" s="66" t="s">
        <v>1225</v>
      </c>
      <c r="I211" s="69" t="s">
        <v>288</v>
      </c>
      <c r="J211" s="70">
        <v>45357</v>
      </c>
      <c r="K211" s="70" t="s">
        <v>1278</v>
      </c>
      <c r="L211" s="69" t="s">
        <v>1202</v>
      </c>
      <c r="M211" s="69" t="s">
        <v>15</v>
      </c>
      <c r="N211" s="71" t="s">
        <v>1219</v>
      </c>
    </row>
    <row r="212" spans="1:14" ht="20.25" customHeight="1">
      <c r="A212" s="60">
        <v>210</v>
      </c>
      <c r="B212" s="61" t="s">
        <v>127</v>
      </c>
      <c r="C212" s="61" t="s">
        <v>1545</v>
      </c>
      <c r="D212" s="61" t="s">
        <v>1065</v>
      </c>
      <c r="E212" s="63"/>
      <c r="F212" s="63" t="s">
        <v>1041</v>
      </c>
      <c r="G212" s="63"/>
      <c r="H212" s="61" t="s">
        <v>1540</v>
      </c>
      <c r="I212" s="63" t="s">
        <v>296</v>
      </c>
      <c r="J212" s="64">
        <v>45357</v>
      </c>
      <c r="K212" s="64"/>
      <c r="L212" s="63" t="s">
        <v>1026</v>
      </c>
      <c r="M212" s="63" t="s">
        <v>15</v>
      </c>
      <c r="N212" s="65"/>
    </row>
    <row r="213" spans="1:14" ht="20.25" customHeight="1">
      <c r="A213" s="53">
        <v>211</v>
      </c>
      <c r="B213" s="66" t="s">
        <v>195</v>
      </c>
      <c r="C213" s="66" t="s">
        <v>1056</v>
      </c>
      <c r="D213" s="66" t="s">
        <v>1472</v>
      </c>
      <c r="E213" s="69"/>
      <c r="F213" s="69" t="s">
        <v>1041</v>
      </c>
      <c r="G213" s="69"/>
      <c r="H213" s="66" t="s">
        <v>1070</v>
      </c>
      <c r="I213" s="69" t="s">
        <v>397</v>
      </c>
      <c r="J213" s="70">
        <v>45357</v>
      </c>
      <c r="K213" s="70"/>
      <c r="L213" s="69" t="s">
        <v>1026</v>
      </c>
      <c r="M213" s="69" t="s">
        <v>15</v>
      </c>
      <c r="N213" s="71"/>
    </row>
    <row r="214" spans="1:14" ht="20.25" customHeight="1">
      <c r="A214" s="60">
        <v>212</v>
      </c>
      <c r="B214" s="61" t="s">
        <v>647</v>
      </c>
      <c r="C214" s="61" t="s">
        <v>1546</v>
      </c>
      <c r="D214" s="61" t="s">
        <v>1151</v>
      </c>
      <c r="E214" s="63" t="s">
        <v>27</v>
      </c>
      <c r="F214" s="63" t="s">
        <v>1041</v>
      </c>
      <c r="G214" s="63" t="s">
        <v>1051</v>
      </c>
      <c r="H214" s="61" t="s">
        <v>1225</v>
      </c>
      <c r="I214" s="63" t="s">
        <v>288</v>
      </c>
      <c r="J214" s="64" t="s">
        <v>1547</v>
      </c>
      <c r="K214" s="64"/>
      <c r="L214" s="63" t="s">
        <v>1026</v>
      </c>
      <c r="M214" s="63" t="s">
        <v>15</v>
      </c>
      <c r="N214" s="65"/>
    </row>
    <row r="215" spans="1:14" ht="20.25" customHeight="1">
      <c r="A215" s="53">
        <v>213</v>
      </c>
      <c r="B215" s="66" t="s">
        <v>1548</v>
      </c>
      <c r="C215" s="66" t="s">
        <v>1549</v>
      </c>
      <c r="D215" s="66" t="s">
        <v>1151</v>
      </c>
      <c r="E215" s="69"/>
      <c r="F215" s="69" t="s">
        <v>1041</v>
      </c>
      <c r="G215" s="69"/>
      <c r="H215" s="66" t="s">
        <v>1390</v>
      </c>
      <c r="I215" s="69" t="s">
        <v>447</v>
      </c>
      <c r="J215" s="70" t="s">
        <v>1550</v>
      </c>
      <c r="K215" s="70"/>
      <c r="L215" s="69" t="s">
        <v>1026</v>
      </c>
      <c r="M215" s="69" t="s">
        <v>15</v>
      </c>
      <c r="N215" s="71"/>
    </row>
    <row r="216" spans="1:14" ht="20.25" customHeight="1">
      <c r="A216" s="60">
        <v>214</v>
      </c>
      <c r="B216" s="61" t="s">
        <v>1551</v>
      </c>
      <c r="C216" s="61" t="s">
        <v>1552</v>
      </c>
      <c r="D216" s="61" t="s">
        <v>1090</v>
      </c>
      <c r="E216" s="63"/>
      <c r="F216" s="63" t="s">
        <v>1041</v>
      </c>
      <c r="G216" s="63"/>
      <c r="H216" s="61" t="s">
        <v>1298</v>
      </c>
      <c r="I216" s="63" t="s">
        <v>1299</v>
      </c>
      <c r="J216" s="64">
        <v>45448</v>
      </c>
      <c r="K216" s="64" t="s">
        <v>1214</v>
      </c>
      <c r="L216" s="63" t="s">
        <v>1026</v>
      </c>
      <c r="M216" s="63" t="s">
        <v>15</v>
      </c>
      <c r="N216" s="65" t="s">
        <v>1219</v>
      </c>
    </row>
    <row r="217" spans="1:14" ht="20.25" customHeight="1">
      <c r="A217" s="53">
        <v>215</v>
      </c>
      <c r="B217" s="66" t="s">
        <v>271</v>
      </c>
      <c r="C217" s="66" t="s">
        <v>1553</v>
      </c>
      <c r="D217" s="66" t="s">
        <v>1157</v>
      </c>
      <c r="E217" s="69"/>
      <c r="F217" s="69" t="s">
        <v>1041</v>
      </c>
      <c r="G217" s="69"/>
      <c r="H217" s="66" t="s">
        <v>1081</v>
      </c>
      <c r="I217" s="69" t="s">
        <v>1277</v>
      </c>
      <c r="J217" s="70" t="s">
        <v>1554</v>
      </c>
      <c r="K217" s="70"/>
      <c r="L217" s="69" t="s">
        <v>1026</v>
      </c>
      <c r="M217" s="69" t="s">
        <v>15</v>
      </c>
      <c r="N217" s="71"/>
    </row>
    <row r="218" spans="1:14" ht="20.25" customHeight="1">
      <c r="A218" s="60">
        <v>216</v>
      </c>
      <c r="B218" s="61" t="s">
        <v>1555</v>
      </c>
      <c r="C218" s="61" t="s">
        <v>1556</v>
      </c>
      <c r="D218" s="61" t="s">
        <v>1059</v>
      </c>
      <c r="E218" s="63"/>
      <c r="F218" s="63" t="s">
        <v>1060</v>
      </c>
      <c r="G218" s="63"/>
      <c r="H218" s="61" t="s">
        <v>1557</v>
      </c>
      <c r="I218" s="63" t="s">
        <v>210</v>
      </c>
      <c r="J218" s="64" t="s">
        <v>1554</v>
      </c>
      <c r="K218" s="64"/>
      <c r="L218" s="63" t="s">
        <v>1026</v>
      </c>
      <c r="M218" s="63" t="s">
        <v>15</v>
      </c>
      <c r="N218" s="65"/>
    </row>
    <row r="219" spans="1:14" ht="20.25" customHeight="1">
      <c r="A219" s="53">
        <v>217</v>
      </c>
      <c r="B219" s="66" t="s">
        <v>1558</v>
      </c>
      <c r="C219" s="66" t="s">
        <v>1559</v>
      </c>
      <c r="D219" s="66" t="s">
        <v>1560</v>
      </c>
      <c r="E219" s="69"/>
      <c r="F219" s="69" t="s">
        <v>1041</v>
      </c>
      <c r="G219" s="69"/>
      <c r="H219" s="66" t="s">
        <v>1561</v>
      </c>
      <c r="I219" s="69" t="s">
        <v>564</v>
      </c>
      <c r="J219" s="70">
        <v>45295</v>
      </c>
      <c r="K219" s="70" t="s">
        <v>1278</v>
      </c>
      <c r="L219" s="69" t="s">
        <v>1202</v>
      </c>
      <c r="M219" s="69" t="s">
        <v>15</v>
      </c>
      <c r="N219" s="71"/>
    </row>
    <row r="220" spans="1:14" ht="20.25" customHeight="1">
      <c r="A220" s="60">
        <v>218</v>
      </c>
      <c r="B220" s="61" t="s">
        <v>240</v>
      </c>
      <c r="C220" s="61" t="s">
        <v>1562</v>
      </c>
      <c r="D220" s="61" t="s">
        <v>1563</v>
      </c>
      <c r="E220" s="63"/>
      <c r="F220" s="63" t="s">
        <v>1050</v>
      </c>
      <c r="G220" s="63"/>
      <c r="H220" s="61" t="s">
        <v>1212</v>
      </c>
      <c r="I220" s="63" t="s">
        <v>1213</v>
      </c>
      <c r="J220" s="64" t="s">
        <v>1393</v>
      </c>
      <c r="K220" s="64"/>
      <c r="L220" s="63" t="s">
        <v>1026</v>
      </c>
      <c r="M220" s="63" t="s">
        <v>1215</v>
      </c>
      <c r="N220" s="65"/>
    </row>
    <row r="221" spans="1:14" ht="20.25" customHeight="1">
      <c r="A221" s="53">
        <v>219</v>
      </c>
      <c r="B221" s="66" t="s">
        <v>256</v>
      </c>
      <c r="C221" s="66" t="s">
        <v>1564</v>
      </c>
      <c r="D221" s="66" t="s">
        <v>1378</v>
      </c>
      <c r="E221" s="69"/>
      <c r="F221" s="69" t="s">
        <v>1041</v>
      </c>
      <c r="G221" s="69"/>
      <c r="H221" s="66" t="s">
        <v>1241</v>
      </c>
      <c r="I221" s="69" t="s">
        <v>1242</v>
      </c>
      <c r="J221" s="70">
        <v>45599</v>
      </c>
      <c r="K221" s="70"/>
      <c r="L221" s="69" t="s">
        <v>1026</v>
      </c>
      <c r="M221" s="69" t="s">
        <v>15</v>
      </c>
      <c r="N221" s="71"/>
    </row>
    <row r="222" spans="1:14" ht="20.25" customHeight="1">
      <c r="A222" s="60">
        <v>220</v>
      </c>
      <c r="B222" s="61" t="s">
        <v>1565</v>
      </c>
      <c r="C222" s="61" t="s">
        <v>1566</v>
      </c>
      <c r="D222" s="61" t="s">
        <v>1166</v>
      </c>
      <c r="E222" s="63"/>
      <c r="F222" s="63" t="s">
        <v>1041</v>
      </c>
      <c r="G222" s="63"/>
      <c r="H222" s="61" t="s">
        <v>1241</v>
      </c>
      <c r="I222" s="63" t="s">
        <v>1242</v>
      </c>
      <c r="J222" s="64">
        <v>45352</v>
      </c>
      <c r="K222" s="64" t="s">
        <v>1214</v>
      </c>
      <c r="L222" s="63" t="s">
        <v>1026</v>
      </c>
      <c r="M222" s="63" t="s">
        <v>15</v>
      </c>
      <c r="N222" s="65" t="s">
        <v>1219</v>
      </c>
    </row>
    <row r="223" spans="1:14" ht="20.25" customHeight="1">
      <c r="A223" s="53">
        <v>221</v>
      </c>
      <c r="B223" s="66" t="s">
        <v>1567</v>
      </c>
      <c r="C223" s="66" t="s">
        <v>1568</v>
      </c>
      <c r="D223" s="66" t="s">
        <v>1542</v>
      </c>
      <c r="E223" s="69"/>
      <c r="F223" s="69" t="s">
        <v>1050</v>
      </c>
      <c r="G223" s="69"/>
      <c r="H223" s="66" t="s">
        <v>1081</v>
      </c>
      <c r="I223" s="69" t="s">
        <v>1277</v>
      </c>
      <c r="J223" s="70">
        <v>45242</v>
      </c>
      <c r="K223" s="70" t="s">
        <v>1569</v>
      </c>
      <c r="L223" s="69" t="s">
        <v>1202</v>
      </c>
      <c r="M223" s="69" t="s">
        <v>15</v>
      </c>
      <c r="N223" s="71"/>
    </row>
    <row r="224" spans="1:14" ht="20.25" customHeight="1">
      <c r="A224" s="60">
        <v>222</v>
      </c>
      <c r="B224" s="61" t="s">
        <v>533</v>
      </c>
      <c r="C224" s="61" t="s">
        <v>1570</v>
      </c>
      <c r="D224" s="61" t="s">
        <v>1571</v>
      </c>
      <c r="E224" s="63" t="s">
        <v>35</v>
      </c>
      <c r="F224" s="63" t="s">
        <v>1041</v>
      </c>
      <c r="G224" s="63" t="s">
        <v>1132</v>
      </c>
      <c r="H224" s="61" t="s">
        <v>1029</v>
      </c>
      <c r="I224" s="63" t="s">
        <v>792</v>
      </c>
      <c r="J224" s="64">
        <v>43926</v>
      </c>
      <c r="K224" s="64"/>
      <c r="L224" s="63" t="s">
        <v>1026</v>
      </c>
      <c r="M224" s="63" t="s">
        <v>15</v>
      </c>
      <c r="N224" s="65"/>
    </row>
    <row r="225" spans="1:14" ht="20.25" customHeight="1">
      <c r="A225" s="53">
        <v>223</v>
      </c>
      <c r="B225" s="66" t="s">
        <v>1213</v>
      </c>
      <c r="C225" s="66" t="s">
        <v>1572</v>
      </c>
      <c r="D225" s="66" t="s">
        <v>1369</v>
      </c>
      <c r="E225" s="69"/>
      <c r="F225" s="69" t="s">
        <v>1041</v>
      </c>
      <c r="G225" s="69"/>
      <c r="H225" s="66" t="s">
        <v>1322</v>
      </c>
      <c r="I225" s="69" t="s">
        <v>359</v>
      </c>
      <c r="J225" s="70">
        <v>45658</v>
      </c>
      <c r="K225" s="70"/>
      <c r="L225" s="69" t="s">
        <v>1026</v>
      </c>
      <c r="M225" s="69" t="s">
        <v>1215</v>
      </c>
      <c r="N225" s="71"/>
    </row>
    <row r="226" spans="1:14" ht="20.25" customHeight="1">
      <c r="A226" s="60">
        <v>224</v>
      </c>
      <c r="B226" s="77" t="s">
        <v>359</v>
      </c>
      <c r="C226" s="77" t="s">
        <v>1573</v>
      </c>
      <c r="D226" s="77" t="s">
        <v>1574</v>
      </c>
      <c r="E226" s="78"/>
      <c r="F226" s="78" t="s">
        <v>1574</v>
      </c>
      <c r="G226" s="78"/>
      <c r="H226" s="77"/>
      <c r="I226" s="78"/>
      <c r="J226" s="79"/>
      <c r="K226" s="79"/>
      <c r="L226" s="78" t="s">
        <v>1026</v>
      </c>
      <c r="M226" s="78" t="s">
        <v>15</v>
      </c>
      <c r="N226" s="80"/>
    </row>
    <row r="227" spans="1:14">
      <c r="A227" s="53">
        <v>225</v>
      </c>
      <c r="B227" s="77" t="s">
        <v>262</v>
      </c>
      <c r="C227" s="77" t="s">
        <v>1575</v>
      </c>
      <c r="D227" s="77" t="s">
        <v>1576</v>
      </c>
      <c r="E227" s="78" t="s">
        <v>31</v>
      </c>
      <c r="F227" s="78" t="s">
        <v>31</v>
      </c>
      <c r="G227" s="78" t="s">
        <v>31</v>
      </c>
      <c r="H227" s="77"/>
      <c r="I227" s="78"/>
      <c r="J227" s="79"/>
      <c r="K227" s="79"/>
      <c r="L227" s="78" t="s">
        <v>1026</v>
      </c>
      <c r="M227" s="78" t="s">
        <v>15</v>
      </c>
      <c r="N227" s="80"/>
    </row>
    <row r="228" spans="1:14">
      <c r="A228" s="60">
        <v>226</v>
      </c>
      <c r="B228" s="77" t="s">
        <v>554</v>
      </c>
      <c r="C228" s="77" t="s">
        <v>1577</v>
      </c>
      <c r="D228" s="77" t="s">
        <v>1578</v>
      </c>
      <c r="E228" s="69" t="s">
        <v>27</v>
      </c>
      <c r="F228" s="69" t="s">
        <v>1041</v>
      </c>
      <c r="G228" s="69" t="s">
        <v>1051</v>
      </c>
      <c r="H228" s="66" t="s">
        <v>1579</v>
      </c>
      <c r="I228" s="69" t="s">
        <v>530</v>
      </c>
      <c r="J228" s="70" t="s">
        <v>1580</v>
      </c>
      <c r="K228" s="70"/>
      <c r="L228" s="69" t="s">
        <v>1026</v>
      </c>
      <c r="M228" s="69" t="s">
        <v>15</v>
      </c>
      <c r="N228" s="80"/>
    </row>
  </sheetData>
  <autoFilter ref="A2:N228" xr:uid="{410F1D7B-7C72-43C4-A3D0-6E18B75CC02C}"/>
  <mergeCells count="1">
    <mergeCell ref="A1:N1"/>
  </mergeCells>
  <conditionalFormatting sqref="L3:L228">
    <cfRule type="containsText" dxfId="29" priority="1" operator="containsText" text="Active">
      <formula>NOT(ISERROR(SEARCH("Active",L3)))</formula>
    </cfRule>
  </conditionalFormatting>
  <conditionalFormatting sqref="L3:L228">
    <cfRule type="containsText" dxfId="28" priority="2" operator="containsText" text="Inactive">
      <formula>NOT(ISERROR(SEARCH("Inactive",L3)))</formula>
    </cfRule>
  </conditionalFormatting>
  <conditionalFormatting sqref="M3:M228">
    <cfRule type="containsText" dxfId="27" priority="3" operator="containsText" text="HCM">
      <formula>NOT(ISERROR(SEARCH("HCM",M3)))</formula>
    </cfRule>
  </conditionalFormatting>
  <conditionalFormatting sqref="M3:M228">
    <cfRule type="containsText" dxfId="26" priority="4" operator="containsText" text="HN">
      <formula>NOT(ISERROR(SEARCH("HN",M3)))</formula>
    </cfRule>
  </conditionalFormatting>
  <conditionalFormatting sqref="M3:M228">
    <cfRule type="containsText" dxfId="25" priority="5" operator="containsText" text="UAE">
      <formula>NOT(ISERROR(SEARCH("UAE",M3)))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83E5C-B426-45F0-AEFD-3469E0576034}">
  <sheetPr filterMode="1">
    <tabColor rgb="FF00B0F0"/>
  </sheetPr>
  <dimension ref="A1:K110"/>
  <sheetViews>
    <sheetView workbookViewId="0">
      <selection activeCell="Q17" sqref="Q17"/>
    </sheetView>
  </sheetViews>
  <sheetFormatPr defaultRowHeight="15"/>
  <cols>
    <col min="1" max="1" width="4.42578125" bestFit="1" customWidth="1"/>
    <col min="2" max="2" width="8.7109375" bestFit="1" customWidth="1"/>
    <col min="3" max="3" width="37.7109375" bestFit="1" customWidth="1"/>
    <col min="4" max="4" width="16.7109375" bestFit="1" customWidth="1"/>
    <col min="5" max="5" width="24" bestFit="1" customWidth="1"/>
    <col min="6" max="6" width="12.28515625" bestFit="1" customWidth="1"/>
    <col min="7" max="7" width="14.85546875" bestFit="1" customWidth="1"/>
    <col min="8" max="8" width="16.140625" bestFit="1" customWidth="1"/>
    <col min="9" max="9" width="15" bestFit="1" customWidth="1"/>
    <col min="10" max="10" width="8.85546875" bestFit="1" customWidth="1"/>
    <col min="11" max="11" width="9.85546875" bestFit="1" customWidth="1"/>
  </cols>
  <sheetData>
    <row r="1" spans="1:11">
      <c r="A1" s="36" t="s">
        <v>61</v>
      </c>
      <c r="B1" s="36" t="s">
        <v>43</v>
      </c>
      <c r="C1" s="36" t="s">
        <v>45</v>
      </c>
      <c r="D1" s="36" t="s">
        <v>68</v>
      </c>
      <c r="E1" s="36" t="s">
        <v>88</v>
      </c>
      <c r="F1" s="36" t="s">
        <v>89</v>
      </c>
      <c r="G1" s="36" t="s">
        <v>25</v>
      </c>
      <c r="H1" s="36" t="s">
        <v>64</v>
      </c>
      <c r="I1" s="36" t="s">
        <v>27</v>
      </c>
      <c r="J1" s="36" t="s">
        <v>13</v>
      </c>
      <c r="K1" s="36" t="s">
        <v>63</v>
      </c>
    </row>
    <row r="2" spans="1:11" hidden="1">
      <c r="A2" s="4" cm="1">
        <f t="array" ref="A2:A110">IFERROR(_xlfn._xlws.FILTER(Detail!A2:A532,(Detail!B2:B532="LAPTOP")*((Detail!C2:C532="In Use")+(Detail!C2:C532="In Stock")+(Detail!C2:C532="Damaged")+(Detail!C2:C532="Sold")+(Detail!C2:C532="Lost")+(Detail!C2:C532="Warranty"))*((Detail!G2:G532="HCM")+(Detail!G2:G532="HN")+(Detail!G2:G532="UAE")),""),"")</f>
        <v>1</v>
      </c>
      <c r="B2" s="4" t="str" cm="1">
        <f t="array" ref="B2:B110">IFERROR(_xlfn._xlws.FILTER(Detail!I2:I532,(Detail!B2:B532="LAPTOP")*((Detail!C2:C532="In Use")+(Detail!C2:C532="In Stock")+(Detail!C2:C532="Damaged")+(Detail!C2:C532="Sold")+(Detail!C2:C532="Lost")+(Detail!C2:C532="Warranty"))*((Detail!G2:G532="HCM")+(Detail!G2:G532="HN")+(Detail!G2:G532="UAE")),""),"")</f>
        <v>LAP0001</v>
      </c>
      <c r="C2" s="4" t="str" cm="1">
        <f t="array" ref="C2:C110">IFERROR(_xlfn._xlws.FILTER(Detail!K2:K532,(Detail!B2:B532="LAPTOP")*((Detail!C2:C532="In Use")+(Detail!C2:C532="In Stock")+(Detail!C2:C532="Damaged")+(Detail!C2:C532="Sold")+(Detail!C2:C532="Lost")+(Detail!C2:C532="Warranty"))*((Detail!G2:G532="HCM")+(Detail!G2:G532="HN")+(Detail!G2:G532="UAE")),""),"")</f>
        <v>Macbook Pro M2 16GB | 256GB</v>
      </c>
      <c r="D2" s="4" t="str" cm="1">
        <f t="array" ref="D2:D110">IFERROR(_xlfn._xlws.FILTER(Detail!P2:P532,(Detail!B2:B532="LAPTOP")*((Detail!C2:C532="In Use")+(Detail!C2:C532="In Stock")+(Detail!C2:C532="Damaged")+(Detail!C2:C532="Sold")+(Detail!C2:C532="Lost")+(Detail!C2:C532="Warranty"))*((Detail!G2:G532="HCM")+(Detail!G2:G532="HN")+(Detail!G2:G532="UAE")),""),"")</f>
        <v>GVXHT9W54J</v>
      </c>
      <c r="E2" s="4" t="str" cm="1">
        <f t="array" ref="E2:E110">IFERROR(_xlfn._xlws.FILTER(Detail!AJ2:AJ532,(Detail!B2:B532="LAPTOP")*((Detail!C2:C532="In Use")+(Detail!C2:C532="In Stock")+(Detail!C2:C532="Damaged")+(Detail!C2:C532="Sold")+(Detail!C2:C532="Lost")+(Detail!C2:C532="Warranty"))*((Detail!G2:G532="HCM")+(Detail!G2:G532="HN")+(Detail!G2:G532="UAE")),""),"")</f>
        <v>Bùi Quốc Thái</v>
      </c>
      <c r="F2" s="4" t="str" cm="1">
        <f t="array" ref="F2:F110">IFERROR(_xlfn._xlws.FILTER(Detail!AK2:AK532,(Detail!B2:B532="LAPTOP")*((Detail!C2:C532="In Use")+(Detail!C2:C532="In Stock")+(Detail!C2:C532="Damaged")+(Detail!C2:C532="Sold")+(Detail!C2:C532="Lost")+(Detail!C2:C532="Warranty"))*((Detail!G2:G532="HCM")+(Detail!G2:G532="HN")+(Detail!G2:G532="UAE")),""),"")</f>
        <v>thaibq</v>
      </c>
      <c r="G2" s="4" t="str" cm="1">
        <f t="array" ref="G2:G110">IFERROR(_xlfn._xlws.FILTER(Detail!D2:D532,(Detail!B2:B532="LAPTOP")*((Detail!C2:C532="In Use")+(Detail!C2:C532="In Stock")+(Detail!C2:C532="Damaged")+(Detail!C2:C532="Sold")+(Detail!C2:C532="Lost")+(Detail!C2:C532="Warranty"))*((Detail!G2:G532="HCM")+(Detail!G2:G532="HN")+(Detail!G2:G532="UAE")),""),"")</f>
        <v>Project</v>
      </c>
      <c r="H2" s="4" t="str" cm="1">
        <f t="array" ref="H2:H110">IFERROR(_xlfn._xlws.FILTER(Detail!E2:E532,(Detail!B2:B532="LAPTOP")*((Detail!C2:C532="In Use")+(Detail!C2:C532="In Stock")+(Detail!C2:C532="Damaged")+(Detail!C2:C532="Sold")+(Detail!C2:C532="Lost")+(Detail!C2:C532="Warranty"))*((Detail!G2:G532="HCM")+(Detail!G2:G532="HN")+(Detail!G2:G532="UAE")),""),"")</f>
        <v>Tech</v>
      </c>
      <c r="I2" s="4" t="str" cm="1">
        <f t="array" ref="I2:I110">IFERROR(_xlfn._xlws.FILTER(Detail!F2:F532,(Detail!B2:B532="LAPTOP")*((Detail!C2:C532="In Use")+(Detail!C2:C532="In Stock")+(Detail!C2:C532="Damaged")+(Detail!C2:C532="Sold")+(Detail!C2:C532="Lost")+(Detail!C2:C532="Warranty"))*((Detail!G2:G532="HCM")+(Detail!G2:G532="HN")+(Detail!G2:G532="UAE")),""),"")</f>
        <v>Venture</v>
      </c>
      <c r="J2" s="4" t="str" cm="1">
        <f t="array" ref="J2:J110">IFERROR(_xlfn._xlws.FILTER(Detail!G2:G532,(Detail!B2:B532="LAPTOP")*((Detail!C2:C532="In Use")+(Detail!C2:C532="In Stock")+(Detail!C2:C532="Damaged")+(Detail!C2:C532="Sold")+(Detail!C2:C532="Lost")+(Detail!C2:C532="Warranty"))*((Detail!G2:G532="HCM")+(Detail!G2:G532="HN")+(Detail!G2:G532="UAE")),""),"")</f>
        <v>HCM</v>
      </c>
      <c r="K2" s="4" t="str" cm="1">
        <f t="array" ref="K2:K110">IFERROR(_xlfn._xlws.FILTER(Detail!C2:C532,(Detail!B2:B532="LAPTOP")*((Detail!C2:C532="In Use")+(Detail!C2:C532="In Stock")+(Detail!C2:C532="Damaged")+(Detail!C2:C532="Sold")+(Detail!C2:C532="Lost")+(Detail!C2:C532="Warranty"))*((Detail!G2:G532="HCM")+(Detail!G2:G532="HN")+(Detail!G2:G532="UAE")),""),"")</f>
        <v>In Use</v>
      </c>
    </row>
    <row r="3" spans="1:11" hidden="1">
      <c r="A3" s="4">
        <v>4</v>
      </c>
      <c r="B3" s="4" t="str">
        <v>LAP0002</v>
      </c>
      <c r="C3" s="4" t="str">
        <v>Lenovo Thinkpad X390 i5 16GB | 256GB</v>
      </c>
      <c r="D3" s="4" t="str">
        <v>PF1FUUQ0</v>
      </c>
      <c r="E3" s="4" t="str">
        <v/>
      </c>
      <c r="F3" s="4">
        <v>0</v>
      </c>
      <c r="G3" s="4" t="str">
        <v/>
      </c>
      <c r="H3" s="4" t="str">
        <v/>
      </c>
      <c r="I3" s="4" t="str">
        <v/>
      </c>
      <c r="J3" s="4" t="str">
        <v>HCM</v>
      </c>
      <c r="K3" s="4" t="str">
        <v>In Stock</v>
      </c>
    </row>
    <row r="4" spans="1:11" hidden="1">
      <c r="A4" s="4">
        <v>7</v>
      </c>
      <c r="B4" s="4" t="str">
        <v>LAP0004</v>
      </c>
      <c r="C4" s="4" t="str">
        <v>Macbook Pro M1 16GB | 256GB</v>
      </c>
      <c r="D4" s="4" t="str">
        <v>C02HC0JVQ05N</v>
      </c>
      <c r="E4" s="4" t="str">
        <v/>
      </c>
      <c r="F4" s="4">
        <v>0</v>
      </c>
      <c r="G4" s="4" t="str">
        <v/>
      </c>
      <c r="H4" s="4" t="str">
        <v/>
      </c>
      <c r="I4" s="4" t="str">
        <v/>
      </c>
      <c r="J4" s="4" t="str">
        <v>HCM</v>
      </c>
      <c r="K4" s="4" t="str">
        <v>In Stock</v>
      </c>
    </row>
    <row r="5" spans="1:11" hidden="1">
      <c r="A5" s="4">
        <v>9</v>
      </c>
      <c r="B5" s="4" t="str">
        <v>LAP0005</v>
      </c>
      <c r="C5" s="4" t="str">
        <v>Macbook Pro M1 16GB | 256GB</v>
      </c>
      <c r="D5" s="4" t="str">
        <v>C02G12P8Q05N</v>
      </c>
      <c r="E5" s="4" t="str">
        <v>Huỳnh Thúy Diễm</v>
      </c>
      <c r="F5" s="4" t="str">
        <v>diemht</v>
      </c>
      <c r="G5" s="4" t="str">
        <v>Project</v>
      </c>
      <c r="H5" s="4" t="str">
        <v>Tech</v>
      </c>
      <c r="I5" s="4" t="str">
        <v>Venture</v>
      </c>
      <c r="J5" s="4" t="str">
        <v>HCM</v>
      </c>
      <c r="K5" s="4" t="str">
        <v>In Use</v>
      </c>
    </row>
    <row r="6" spans="1:11" hidden="1">
      <c r="A6" s="4">
        <v>11</v>
      </c>
      <c r="B6" s="4" t="str">
        <v>LAP0007</v>
      </c>
      <c r="C6" s="4" t="str">
        <v>Lenovo ThinkPad X13 i5 16GB | 256GB</v>
      </c>
      <c r="D6" s="4" t="str">
        <v>PC1MHDDG</v>
      </c>
      <c r="E6" s="4" t="str">
        <v/>
      </c>
      <c r="F6" s="4">
        <v>0</v>
      </c>
      <c r="G6" s="4" t="str">
        <v/>
      </c>
      <c r="H6" s="4" t="str">
        <v/>
      </c>
      <c r="I6" s="4" t="str">
        <v/>
      </c>
      <c r="J6" s="4" t="str">
        <v>HCM</v>
      </c>
      <c r="K6" s="4" t="str">
        <v>In Stock</v>
      </c>
    </row>
    <row r="7" spans="1:11" hidden="1">
      <c r="A7" s="4">
        <v>15</v>
      </c>
      <c r="B7" s="4" t="str">
        <v>LAP0009</v>
      </c>
      <c r="C7" s="4" t="str">
        <v>Lenovo ThinkPad X13 i5 16GB | 256GB</v>
      </c>
      <c r="D7" s="4" t="str">
        <v>PC1ZJRVM</v>
      </c>
      <c r="E7" s="4" t="str">
        <v/>
      </c>
      <c r="F7" s="4">
        <v>0</v>
      </c>
      <c r="G7" s="4" t="str">
        <v/>
      </c>
      <c r="H7" s="4" t="str">
        <v/>
      </c>
      <c r="I7" s="4" t="str">
        <v/>
      </c>
      <c r="J7" s="4" t="str">
        <v>HCM</v>
      </c>
      <c r="K7" s="4" t="str">
        <v>In Stock</v>
      </c>
    </row>
    <row r="8" spans="1:11" hidden="1">
      <c r="A8" s="4">
        <v>19</v>
      </c>
      <c r="B8" s="4" t="str">
        <v>LAP0011</v>
      </c>
      <c r="C8" s="4" t="str">
        <v>Lenovo ThinkPad T490 i5 16GB | 256GB</v>
      </c>
      <c r="D8" s="4" t="str">
        <v>PF2B20VE</v>
      </c>
      <c r="E8" s="4" t="str">
        <v>Huỳnh Nguyên Phương</v>
      </c>
      <c r="F8" s="4" t="str">
        <v>phuonghn</v>
      </c>
      <c r="G8" s="4" t="str">
        <v>Project</v>
      </c>
      <c r="H8" s="4" t="str">
        <v>Tech</v>
      </c>
      <c r="I8" s="4" t="str">
        <v>Resource Pool</v>
      </c>
      <c r="J8" s="4" t="str">
        <v>HCM</v>
      </c>
      <c r="K8" s="4" t="str">
        <v>In Use</v>
      </c>
    </row>
    <row r="9" spans="1:11">
      <c r="A9" s="4">
        <v>20</v>
      </c>
      <c r="B9" s="4" t="str">
        <v>LAP0012</v>
      </c>
      <c r="C9" s="4" t="str">
        <v>Lenovo ThinkPad T14 i5 16GB | 256GB</v>
      </c>
      <c r="D9" s="4" t="str">
        <v>PF2GP2ZD</v>
      </c>
      <c r="E9" s="4" t="str">
        <v/>
      </c>
      <c r="F9" s="4">
        <v>0</v>
      </c>
      <c r="G9" s="4" t="str">
        <v/>
      </c>
      <c r="H9" s="4" t="str">
        <v/>
      </c>
      <c r="I9" s="4" t="str">
        <v/>
      </c>
      <c r="J9" s="4" t="str">
        <v>HCM</v>
      </c>
      <c r="K9" s="4" t="str">
        <v>Damaged</v>
      </c>
    </row>
    <row r="10" spans="1:11" hidden="1">
      <c r="A10" s="4">
        <v>22</v>
      </c>
      <c r="B10" s="4" t="str">
        <v>LAP0013</v>
      </c>
      <c r="C10" s="4" t="str">
        <v>Macbook Pro M1 16GB | 256GB</v>
      </c>
      <c r="D10" s="4" t="str">
        <v>FVFHQ8MMQ05N</v>
      </c>
      <c r="E10" s="4" t="str">
        <v/>
      </c>
      <c r="F10" s="4">
        <v>0</v>
      </c>
      <c r="G10" s="4" t="str">
        <v/>
      </c>
      <c r="H10" s="4" t="str">
        <v/>
      </c>
      <c r="I10" s="4" t="str">
        <v/>
      </c>
      <c r="J10" s="4" t="str">
        <v>HCM</v>
      </c>
      <c r="K10" s="4" t="str">
        <v>In Stock</v>
      </c>
    </row>
    <row r="11" spans="1:11" hidden="1">
      <c r="A11" s="4">
        <v>24</v>
      </c>
      <c r="B11" s="4" t="str">
        <v>LAP0014</v>
      </c>
      <c r="C11" s="4" t="str">
        <v>Macbook Pro M1 16GB | 256GB</v>
      </c>
      <c r="D11" s="4" t="str">
        <v>FVFHQ8TJQ05N</v>
      </c>
      <c r="E11" s="4" t="str">
        <v/>
      </c>
      <c r="F11" s="4">
        <v>0</v>
      </c>
      <c r="G11" s="4" t="str">
        <v/>
      </c>
      <c r="H11" s="4" t="str">
        <v/>
      </c>
      <c r="I11" s="4" t="str">
        <v/>
      </c>
      <c r="J11" s="4" t="str">
        <v>HCM</v>
      </c>
      <c r="K11" s="4" t="str">
        <v>In Stock</v>
      </c>
    </row>
    <row r="12" spans="1:11" hidden="1">
      <c r="A12" s="4">
        <v>25</v>
      </c>
      <c r="B12" s="4" t="str">
        <v>LAP0015</v>
      </c>
      <c r="C12" s="4" t="str">
        <v>Lenovo ThinkPad T14 i5 16GB | 256GB</v>
      </c>
      <c r="D12" s="4" t="str">
        <v>PF2JY588</v>
      </c>
      <c r="E12" s="4" t="str">
        <v/>
      </c>
      <c r="F12" s="4">
        <v>0</v>
      </c>
      <c r="G12" s="4" t="str">
        <v/>
      </c>
      <c r="H12" s="4" t="str">
        <v/>
      </c>
      <c r="I12" s="4" t="str">
        <v/>
      </c>
      <c r="J12" s="4" t="str">
        <v>HCM</v>
      </c>
      <c r="K12" s="4" t="str">
        <v>In Stock</v>
      </c>
    </row>
    <row r="13" spans="1:11" hidden="1">
      <c r="A13" s="4">
        <v>26</v>
      </c>
      <c r="B13" s="4" t="str">
        <v>LAP0016</v>
      </c>
      <c r="C13" s="4" t="str">
        <v>Lenovo ThinkPad X13 i5 16GB | 256GB</v>
      </c>
      <c r="D13" s="4" t="str">
        <v>PC2CD0J9</v>
      </c>
      <c r="E13" s="4" t="str">
        <v>Nguyễn Quý</v>
      </c>
      <c r="F13" s="4" t="str">
        <v>quyn</v>
      </c>
      <c r="G13" s="4" t="str">
        <v>Project</v>
      </c>
      <c r="H13" s="4" t="str">
        <v>Tech</v>
      </c>
      <c r="I13" s="4" t="str">
        <v>Venture</v>
      </c>
      <c r="J13" s="4" t="str">
        <v>HCM</v>
      </c>
      <c r="K13" s="4" t="str">
        <v>In Use</v>
      </c>
    </row>
    <row r="14" spans="1:11" hidden="1">
      <c r="A14" s="4">
        <v>27</v>
      </c>
      <c r="B14" s="4" t="str">
        <v>LAP0017</v>
      </c>
      <c r="C14" s="4" t="str">
        <v>Lenovo ThinkPad T480 i5 16GB | 256GB</v>
      </c>
      <c r="D14" s="4" t="str">
        <v>PF1GA0XV</v>
      </c>
      <c r="E14" s="4" t="str">
        <v/>
      </c>
      <c r="F14" s="4">
        <v>0</v>
      </c>
      <c r="G14" s="4" t="str">
        <v/>
      </c>
      <c r="H14" s="4" t="str">
        <v/>
      </c>
      <c r="I14" s="4" t="str">
        <v/>
      </c>
      <c r="J14" s="4" t="str">
        <v>HCM</v>
      </c>
      <c r="K14" s="4" t="str">
        <v>In Stock</v>
      </c>
    </row>
    <row r="15" spans="1:11" hidden="1">
      <c r="A15" s="4">
        <v>28</v>
      </c>
      <c r="B15" s="4" t="str">
        <v>LAP0018</v>
      </c>
      <c r="C15" s="4" t="str">
        <v>Lenovo ThinkPad T14 i5 16GB | 256GB</v>
      </c>
      <c r="D15" s="4" t="str">
        <v>PF2QD6RR</v>
      </c>
      <c r="E15" s="4" t="str">
        <v>Huỳnh Nguyên Phương</v>
      </c>
      <c r="F15" s="4" t="str">
        <v>phuonghn</v>
      </c>
      <c r="G15" s="4" t="str">
        <v>Project</v>
      </c>
      <c r="H15" s="4" t="str">
        <v>Tech</v>
      </c>
      <c r="I15" s="4" t="str">
        <v>Resource Pool</v>
      </c>
      <c r="J15" s="4" t="str">
        <v>HCM</v>
      </c>
      <c r="K15" s="4" t="str">
        <v>In Use</v>
      </c>
    </row>
    <row r="16" spans="1:11" hidden="1">
      <c r="A16" s="4">
        <v>29</v>
      </c>
      <c r="B16" s="4" t="str">
        <v>LAP0019</v>
      </c>
      <c r="C16" s="4" t="str">
        <v>Lenovo ThinkPad X280 i5 16GB | 256GB</v>
      </c>
      <c r="D16" s="4" t="str">
        <v>PC0X2880</v>
      </c>
      <c r="E16" s="4" t="str">
        <v/>
      </c>
      <c r="F16" s="4">
        <v>0</v>
      </c>
      <c r="G16" s="4" t="str">
        <v/>
      </c>
      <c r="H16" s="4" t="str">
        <v/>
      </c>
      <c r="I16" s="4" t="str">
        <v/>
      </c>
      <c r="J16" s="4" t="str">
        <v>HCM</v>
      </c>
      <c r="K16" s="4" t="str">
        <v>In Stock</v>
      </c>
    </row>
    <row r="17" spans="1:11">
      <c r="A17" s="4">
        <v>30</v>
      </c>
      <c r="B17" s="4" t="str">
        <v>LAP0020</v>
      </c>
      <c r="C17" s="4" t="str">
        <v>Lenovo ThinkPad T14 i5 16GB | 256GB</v>
      </c>
      <c r="D17" s="4" t="str">
        <v>PF2JY3VW</v>
      </c>
      <c r="E17" s="4" t="str">
        <v/>
      </c>
      <c r="F17" s="4">
        <v>0</v>
      </c>
      <c r="G17" s="4" t="str">
        <v/>
      </c>
      <c r="H17" s="4" t="str">
        <v/>
      </c>
      <c r="I17" s="4" t="str">
        <v/>
      </c>
      <c r="J17" s="4" t="str">
        <v>HCM</v>
      </c>
      <c r="K17" s="4" t="str">
        <v>Damaged</v>
      </c>
    </row>
    <row r="18" spans="1:11" hidden="1">
      <c r="A18" s="4">
        <v>32</v>
      </c>
      <c r="B18" s="4" t="str">
        <v>LAP0022</v>
      </c>
      <c r="C18" s="4" t="str">
        <v>Macbook Pro M1 16GB | 256GB</v>
      </c>
      <c r="D18" s="4" t="str">
        <v>C02H70Q6Q05N</v>
      </c>
      <c r="E18" s="4" t="str">
        <v/>
      </c>
      <c r="F18" s="4">
        <v>0</v>
      </c>
      <c r="G18" s="4" t="str">
        <v/>
      </c>
      <c r="H18" s="4" t="str">
        <v/>
      </c>
      <c r="I18" s="4" t="str">
        <v/>
      </c>
      <c r="J18" s="4" t="str">
        <v>HCM</v>
      </c>
      <c r="K18" s="4" t="str">
        <v>In Stock</v>
      </c>
    </row>
    <row r="19" spans="1:11" hidden="1">
      <c r="A19" s="4">
        <v>33</v>
      </c>
      <c r="B19" s="4" t="str">
        <v>LAP0023</v>
      </c>
      <c r="C19" s="4" t="str">
        <v>Lenovo ThinkPad T14 i5 16GB | 256GB</v>
      </c>
      <c r="D19" s="4" t="str">
        <v>PF3W4343</v>
      </c>
      <c r="E19" s="4" t="str">
        <v/>
      </c>
      <c r="F19" s="4">
        <v>0</v>
      </c>
      <c r="G19" s="4" t="str">
        <v/>
      </c>
      <c r="H19" s="4" t="str">
        <v/>
      </c>
      <c r="I19" s="4" t="str">
        <v/>
      </c>
      <c r="J19" s="4" t="str">
        <v>HCM</v>
      </c>
      <c r="K19" s="4" t="str">
        <v>In Stock</v>
      </c>
    </row>
    <row r="20" spans="1:11">
      <c r="A20" s="4">
        <v>38</v>
      </c>
      <c r="B20" s="4" t="str">
        <v>LAP0025</v>
      </c>
      <c r="C20" s="4" t="str">
        <v>Lenovo ThinkPad T14 i5 16GB | 256GB</v>
      </c>
      <c r="D20" s="4" t="str">
        <v>PF2GNJE7</v>
      </c>
      <c r="E20" s="4" t="str">
        <v/>
      </c>
      <c r="F20" s="4">
        <v>0</v>
      </c>
      <c r="G20" s="4" t="str">
        <v/>
      </c>
      <c r="H20" s="4" t="str">
        <v/>
      </c>
      <c r="I20" s="4" t="str">
        <v/>
      </c>
      <c r="J20" s="4" t="str">
        <v>HCM</v>
      </c>
      <c r="K20" s="4" t="str">
        <v>Damaged</v>
      </c>
    </row>
    <row r="21" spans="1:11" hidden="1">
      <c r="A21" s="4">
        <v>40</v>
      </c>
      <c r="B21" s="4" t="str">
        <v>LAP0026</v>
      </c>
      <c r="C21" s="4" t="str">
        <v>Lenovo ThinkPad T14 i5 16GB | 256GB</v>
      </c>
      <c r="D21" s="4" t="str">
        <v>PF4TGZ8E</v>
      </c>
      <c r="E21" s="4" t="str">
        <v/>
      </c>
      <c r="F21" s="4">
        <v>0</v>
      </c>
      <c r="G21" s="4" t="str">
        <v/>
      </c>
      <c r="H21" s="4" t="str">
        <v/>
      </c>
      <c r="I21" s="4" t="str">
        <v/>
      </c>
      <c r="J21" s="4" t="str">
        <v>HCM</v>
      </c>
      <c r="K21" s="4" t="str">
        <v>In Stock</v>
      </c>
    </row>
    <row r="22" spans="1:11" hidden="1">
      <c r="A22" s="4">
        <v>41</v>
      </c>
      <c r="B22" s="4" t="str">
        <v>LAP0027</v>
      </c>
      <c r="C22" s="4" t="str">
        <v>Macbook Pro M2 16GB | 256GB</v>
      </c>
      <c r="D22" s="4" t="str">
        <v>L4DQY59FQM</v>
      </c>
      <c r="E22" s="4" t="str">
        <v>Mai Thị Cẩm Hà</v>
      </c>
      <c r="F22" s="4" t="str">
        <v>hamtc</v>
      </c>
      <c r="G22" s="4" t="str">
        <v>BO</v>
      </c>
      <c r="H22" s="4" t="str">
        <v>Business Support</v>
      </c>
      <c r="I22" s="4" t="str">
        <v>Operation Team</v>
      </c>
      <c r="J22" s="4" t="str">
        <v>HCM</v>
      </c>
      <c r="K22" s="4" t="str">
        <v>In Use</v>
      </c>
    </row>
    <row r="23" spans="1:11" hidden="1">
      <c r="A23" s="4">
        <v>43</v>
      </c>
      <c r="B23" s="4" t="str">
        <v>LAP0029</v>
      </c>
      <c r="C23" s="4" t="str">
        <v>Macbook Pro M3 16GB | 512GB</v>
      </c>
      <c r="D23" s="4" t="str">
        <v>C9VG4L2X6V</v>
      </c>
      <c r="E23" s="4" t="str">
        <v/>
      </c>
      <c r="F23" s="4">
        <v>0</v>
      </c>
      <c r="G23" s="4" t="str">
        <v/>
      </c>
      <c r="H23" s="4" t="str">
        <v/>
      </c>
      <c r="I23" s="4" t="str">
        <v/>
      </c>
      <c r="J23" s="4" t="str">
        <v>HN</v>
      </c>
      <c r="K23" s="4" t="str">
        <v>In Stock</v>
      </c>
    </row>
    <row r="24" spans="1:11" hidden="1">
      <c r="A24" s="4">
        <v>44</v>
      </c>
      <c r="B24" s="4" t="str">
        <v>LAP0030</v>
      </c>
      <c r="C24" s="4" t="str">
        <v>Macbook Pro i5 16GB | 256GB</v>
      </c>
      <c r="D24" s="4" t="str">
        <v>FVFC31E9L414</v>
      </c>
      <c r="E24" s="4" t="str">
        <v/>
      </c>
      <c r="F24" s="4">
        <v>0</v>
      </c>
      <c r="G24" s="4" t="str">
        <v/>
      </c>
      <c r="H24" s="4" t="str">
        <v/>
      </c>
      <c r="I24" s="4" t="str">
        <v/>
      </c>
      <c r="J24" s="4" t="str">
        <v>HCM</v>
      </c>
      <c r="K24" s="4" t="str">
        <v>In Stock</v>
      </c>
    </row>
    <row r="25" spans="1:11" hidden="1">
      <c r="A25" s="4">
        <v>45</v>
      </c>
      <c r="B25" s="4" t="str">
        <v>LAP0031</v>
      </c>
      <c r="C25" s="4" t="str">
        <v>Macbook Pro M1 16GB | 256GB</v>
      </c>
      <c r="D25" s="4" t="str">
        <v>FVFHQ8Q1Q05N</v>
      </c>
      <c r="E25" s="4" t="str">
        <v>Phạm Bằng</v>
      </c>
      <c r="F25" s="4" t="str">
        <v>bangp</v>
      </c>
      <c r="G25" s="4" t="str">
        <v>Project</v>
      </c>
      <c r="H25" s="4" t="str">
        <v>Data</v>
      </c>
      <c r="I25" s="4" t="str">
        <v>Resource Pool</v>
      </c>
      <c r="J25" s="4" t="str">
        <v>HCM</v>
      </c>
      <c r="K25" s="4" t="str">
        <v>In Use</v>
      </c>
    </row>
    <row r="26" spans="1:11" hidden="1">
      <c r="A26" s="4">
        <v>46</v>
      </c>
      <c r="B26" s="4" t="str">
        <v>LAP0032</v>
      </c>
      <c r="C26" s="4" t="str">
        <v>Lenovo ThinkPad T14 i5 16GB | 256GB</v>
      </c>
      <c r="D26" s="4" t="str">
        <v>PF3HLEA1</v>
      </c>
      <c r="E26" s="4" t="str">
        <v/>
      </c>
      <c r="F26" s="4">
        <v>0</v>
      </c>
      <c r="G26" s="4" t="str">
        <v/>
      </c>
      <c r="H26" s="4" t="str">
        <v/>
      </c>
      <c r="I26" s="4" t="str">
        <v/>
      </c>
      <c r="J26" s="4" t="str">
        <v>HCM</v>
      </c>
      <c r="K26" s="4" t="str">
        <v>In Stock</v>
      </c>
    </row>
    <row r="27" spans="1:11" hidden="1">
      <c r="A27" s="4">
        <v>48</v>
      </c>
      <c r="B27" s="4" t="str">
        <v>LAP0033</v>
      </c>
      <c r="C27" s="4" t="str">
        <v>Lenovo ThinkPad T14 i5 16GB | 256GB</v>
      </c>
      <c r="D27" s="4" t="str">
        <v>PF24WRQA</v>
      </c>
      <c r="E27" s="4" t="str">
        <v/>
      </c>
      <c r="F27" s="4">
        <v>0</v>
      </c>
      <c r="G27" s="4" t="str">
        <v/>
      </c>
      <c r="H27" s="4" t="str">
        <v/>
      </c>
      <c r="I27" s="4" t="str">
        <v/>
      </c>
      <c r="J27" s="4" t="str">
        <v>HCM</v>
      </c>
      <c r="K27" s="4" t="str">
        <v>In Stock</v>
      </c>
    </row>
    <row r="28" spans="1:11" hidden="1">
      <c r="A28" s="4">
        <v>49</v>
      </c>
      <c r="B28" s="4" t="str">
        <v>LAP0034</v>
      </c>
      <c r="C28" s="4" t="str">
        <v>Lenovo ThinkPad T14 i5 16GB | 256GB</v>
      </c>
      <c r="D28" s="4" t="str">
        <v>PF50YBXD</v>
      </c>
      <c r="E28" s="4" t="str">
        <v>Bùi Tuấn Huy</v>
      </c>
      <c r="F28" s="4" t="str">
        <v>huybt</v>
      </c>
      <c r="G28" s="4" t="str">
        <v>AM</v>
      </c>
      <c r="H28" s="4" t="str">
        <v>Sales</v>
      </c>
      <c r="I28" s="4" t="str">
        <v>Resource Pool</v>
      </c>
      <c r="J28" s="4" t="str">
        <v>HCM</v>
      </c>
      <c r="K28" s="4" t="str">
        <v>In Use</v>
      </c>
    </row>
    <row r="29" spans="1:11" hidden="1">
      <c r="A29" s="4">
        <v>51</v>
      </c>
      <c r="B29" s="4" t="str">
        <v>LAP0036</v>
      </c>
      <c r="C29" s="4" t="str">
        <v>Lenovo ThinkPad T14 i5 16GB | 256GB</v>
      </c>
      <c r="D29" s="4" t="str">
        <v>PF50Z44H</v>
      </c>
      <c r="E29" s="4" t="str">
        <v/>
      </c>
      <c r="F29" s="4">
        <v>0</v>
      </c>
      <c r="G29" s="4" t="str">
        <v/>
      </c>
      <c r="H29" s="4" t="str">
        <v/>
      </c>
      <c r="I29" s="4" t="str">
        <v/>
      </c>
      <c r="J29" s="4" t="str">
        <v>HCM</v>
      </c>
      <c r="K29" s="4" t="str">
        <v>In Stock</v>
      </c>
    </row>
    <row r="30" spans="1:11" hidden="1">
      <c r="A30" s="4">
        <v>52</v>
      </c>
      <c r="B30" s="4" t="str">
        <v>LAP0037</v>
      </c>
      <c r="C30" s="4" t="str">
        <v>Lenovo ThinkPad X13 i5 16GB | 256GB</v>
      </c>
      <c r="D30" s="4" t="str">
        <v>PC2CKMBD</v>
      </c>
      <c r="E30" s="4" t="str">
        <v/>
      </c>
      <c r="F30" s="4">
        <v>0</v>
      </c>
      <c r="G30" s="4" t="str">
        <v/>
      </c>
      <c r="H30" s="4" t="str">
        <v/>
      </c>
      <c r="I30" s="4" t="str">
        <v/>
      </c>
      <c r="J30" s="4" t="str">
        <v>HCM</v>
      </c>
      <c r="K30" s="4" t="str">
        <v>In Stock</v>
      </c>
    </row>
    <row r="31" spans="1:11" hidden="1">
      <c r="A31" s="4">
        <v>53</v>
      </c>
      <c r="B31" s="4" t="str">
        <v>LAP0038</v>
      </c>
      <c r="C31" s="4" t="str">
        <v>Lenovo ThinkPad T14 i5 16GB | 256GB</v>
      </c>
      <c r="D31" s="4" t="str">
        <v>PF30QSZV</v>
      </c>
      <c r="E31" s="4" t="str">
        <v/>
      </c>
      <c r="F31" s="4">
        <v>0</v>
      </c>
      <c r="G31" s="4" t="str">
        <v/>
      </c>
      <c r="H31" s="4" t="str">
        <v/>
      </c>
      <c r="I31" s="4" t="str">
        <v/>
      </c>
      <c r="J31" s="4" t="str">
        <v>HCM</v>
      </c>
      <c r="K31" s="4" t="str">
        <v>In Stock</v>
      </c>
    </row>
    <row r="32" spans="1:11" hidden="1">
      <c r="A32" s="4">
        <v>54</v>
      </c>
      <c r="B32" s="4" t="str">
        <v>LAP0039</v>
      </c>
      <c r="C32" s="4" t="str">
        <v>Lenovo ThinkPad E14 i5 16GB | 256GB</v>
      </c>
      <c r="D32" s="4" t="str">
        <v>PF3SHFA1</v>
      </c>
      <c r="E32" s="4" t="str">
        <v/>
      </c>
      <c r="F32" s="4">
        <v>0</v>
      </c>
      <c r="G32" s="4" t="str">
        <v/>
      </c>
      <c r="H32" s="4" t="str">
        <v/>
      </c>
      <c r="I32" s="4" t="str">
        <v/>
      </c>
      <c r="J32" s="4" t="str">
        <v>HCM</v>
      </c>
      <c r="K32" s="4" t="str">
        <v>In Stock</v>
      </c>
    </row>
    <row r="33" spans="1:11" hidden="1">
      <c r="A33" s="4">
        <v>56</v>
      </c>
      <c r="B33" s="4" t="str">
        <v>LAP0041</v>
      </c>
      <c r="C33" s="4" t="str">
        <v>Lenovo ThinkPad T490 i5 16GB | 256GB</v>
      </c>
      <c r="D33" s="4" t="str">
        <v>PF2B1BG0</v>
      </c>
      <c r="E33" s="4" t="str">
        <v>Võ Lê Nguyên Khang</v>
      </c>
      <c r="F33" s="4" t="str">
        <v>khangvln</v>
      </c>
      <c r="G33" s="4" t="str">
        <v>BO</v>
      </c>
      <c r="H33" s="4" t="str">
        <v>Business Support</v>
      </c>
      <c r="I33" s="4" t="str">
        <v>Operation Team</v>
      </c>
      <c r="J33" s="4" t="str">
        <v>HCM</v>
      </c>
      <c r="K33" s="4" t="str">
        <v>In Use</v>
      </c>
    </row>
    <row r="34" spans="1:11" hidden="1">
      <c r="A34" s="4">
        <v>58</v>
      </c>
      <c r="B34" s="4" t="str">
        <v>LAP0042</v>
      </c>
      <c r="C34" s="4" t="str">
        <v>Macbook Pro i5 16GB | 256GB</v>
      </c>
      <c r="D34" s="4" t="str">
        <v>FVFZN0NNL414</v>
      </c>
      <c r="E34" s="4" t="str">
        <v/>
      </c>
      <c r="F34" s="4">
        <v>0</v>
      </c>
      <c r="G34" s="4" t="str">
        <v/>
      </c>
      <c r="H34" s="4" t="str">
        <v/>
      </c>
      <c r="I34" s="4" t="str">
        <v/>
      </c>
      <c r="J34" s="4" t="str">
        <v>HCM</v>
      </c>
      <c r="K34" s="4" t="str">
        <v>In Stock</v>
      </c>
    </row>
    <row r="35" spans="1:11" hidden="1">
      <c r="A35" s="4">
        <v>61</v>
      </c>
      <c r="B35" s="4" t="str">
        <v>LAP0045</v>
      </c>
      <c r="C35" s="4" t="str">
        <v>Lenovo ThinkPad T14 i5 32GB | 256GB</v>
      </c>
      <c r="D35" s="4" t="str">
        <v>PF2W96HB</v>
      </c>
      <c r="E35" s="4" t="str">
        <v/>
      </c>
      <c r="F35" s="4">
        <v>0</v>
      </c>
      <c r="G35" s="4" t="str">
        <v/>
      </c>
      <c r="H35" s="4" t="str">
        <v/>
      </c>
      <c r="I35" s="4" t="str">
        <v/>
      </c>
      <c r="J35" s="4" t="str">
        <v>HCM</v>
      </c>
      <c r="K35" s="4" t="str">
        <v>In Stock</v>
      </c>
    </row>
    <row r="36" spans="1:11" hidden="1">
      <c r="A36" s="4">
        <v>62</v>
      </c>
      <c r="B36" s="4" t="str">
        <v>LAP0046</v>
      </c>
      <c r="C36" s="4" t="str">
        <v>Lenovo ThinkPad T14 i5 16GB | 256GB</v>
      </c>
      <c r="D36" s="4" t="str">
        <v>PF3M70BL</v>
      </c>
      <c r="E36" s="4" t="str">
        <v>Nguyễn Nhã Minh</v>
      </c>
      <c r="F36" s="4" t="str">
        <v>minhnn</v>
      </c>
      <c r="G36" s="4" t="str">
        <v>CTD</v>
      </c>
      <c r="H36" s="4" t="str">
        <v>CTD</v>
      </c>
      <c r="I36" s="4" t="str">
        <v>CTD</v>
      </c>
      <c r="J36" s="4" t="str">
        <v>HCM</v>
      </c>
      <c r="K36" s="4" t="str">
        <v>In Use</v>
      </c>
    </row>
    <row r="37" spans="1:11" hidden="1">
      <c r="A37" s="4">
        <v>63</v>
      </c>
      <c r="B37" s="4" t="str">
        <v>LAP0047</v>
      </c>
      <c r="C37" s="4" t="str">
        <v>Lenovo ThinkPad X13 i5 16GB | 256GB</v>
      </c>
      <c r="D37" s="4" t="str">
        <v>PF41B7MC</v>
      </c>
      <c r="E37" s="4" t="str">
        <v/>
      </c>
      <c r="F37" s="4">
        <v>0</v>
      </c>
      <c r="G37" s="4" t="str">
        <v/>
      </c>
      <c r="H37" s="4" t="str">
        <v/>
      </c>
      <c r="I37" s="4" t="str">
        <v/>
      </c>
      <c r="J37" s="4" t="str">
        <v>HCM</v>
      </c>
      <c r="K37" s="4" t="str">
        <v>In Stock</v>
      </c>
    </row>
    <row r="38" spans="1:11" hidden="1">
      <c r="A38" s="4">
        <v>64</v>
      </c>
      <c r="B38" s="4" t="str">
        <v>LAP0048</v>
      </c>
      <c r="C38" s="4" t="str">
        <v>Macbook Pro i5 16GB | 256GB</v>
      </c>
      <c r="D38" s="4" t="str">
        <v>FVFC32J8L414</v>
      </c>
      <c r="E38" s="4" t="str">
        <v/>
      </c>
      <c r="F38" s="4">
        <v>0</v>
      </c>
      <c r="G38" s="4" t="str">
        <v/>
      </c>
      <c r="H38" s="4" t="str">
        <v/>
      </c>
      <c r="I38" s="4" t="str">
        <v/>
      </c>
      <c r="J38" s="4" t="str">
        <v>HCM</v>
      </c>
      <c r="K38" s="4" t="str">
        <v>In Stock</v>
      </c>
    </row>
    <row r="39" spans="1:11" hidden="1">
      <c r="A39" s="4">
        <v>65</v>
      </c>
      <c r="B39" s="4" t="str">
        <v>LAP0049</v>
      </c>
      <c r="C39" s="4" t="str">
        <v>Macbook Pro M1 16GB | 256GB</v>
      </c>
      <c r="D39" s="4" t="str">
        <v>FVFHQ849Q05N</v>
      </c>
      <c r="E39" s="4" t="str">
        <v/>
      </c>
      <c r="F39" s="4">
        <v>0</v>
      </c>
      <c r="G39" s="4" t="str">
        <v/>
      </c>
      <c r="H39" s="4" t="str">
        <v/>
      </c>
      <c r="I39" s="4" t="str">
        <v/>
      </c>
      <c r="J39" s="4" t="str">
        <v>HCM</v>
      </c>
      <c r="K39" s="4" t="str">
        <v>In Stock</v>
      </c>
    </row>
    <row r="40" spans="1:11" hidden="1">
      <c r="A40" s="4">
        <v>66</v>
      </c>
      <c r="B40" s="4" t="str">
        <v>LAP0050</v>
      </c>
      <c r="C40" s="4" t="str">
        <v>Lenovo ThinkPad X13 i5 16GB | 256GB</v>
      </c>
      <c r="D40" s="4" t="str">
        <v>PC1PQEFM</v>
      </c>
      <c r="E40" s="4" t="str">
        <v/>
      </c>
      <c r="F40" s="4">
        <v>0</v>
      </c>
      <c r="G40" s="4" t="str">
        <v/>
      </c>
      <c r="H40" s="4" t="str">
        <v/>
      </c>
      <c r="I40" s="4" t="str">
        <v/>
      </c>
      <c r="J40" s="4" t="str">
        <v>HCM</v>
      </c>
      <c r="K40" s="4" t="str">
        <v>In Stock</v>
      </c>
    </row>
    <row r="41" spans="1:11" hidden="1">
      <c r="A41" s="4">
        <v>68</v>
      </c>
      <c r="B41" s="4" t="str">
        <v>LAP0052</v>
      </c>
      <c r="C41" s="4" t="str">
        <v>Lenovo ThinkPad T14 i5 16GB | 256GB</v>
      </c>
      <c r="D41" s="4" t="str">
        <v>PF2LR2H8</v>
      </c>
      <c r="E41" s="4" t="str">
        <v/>
      </c>
      <c r="F41" s="4">
        <v>0</v>
      </c>
      <c r="G41" s="4" t="str">
        <v/>
      </c>
      <c r="H41" s="4" t="str">
        <v/>
      </c>
      <c r="I41" s="4" t="str">
        <v/>
      </c>
      <c r="J41" s="4" t="str">
        <v>HCM</v>
      </c>
      <c r="K41" s="4" t="str">
        <v>In Stock</v>
      </c>
    </row>
    <row r="42" spans="1:11" hidden="1">
      <c r="A42" s="4">
        <v>69</v>
      </c>
      <c r="B42" s="4" t="str">
        <v>LAP0053</v>
      </c>
      <c r="C42" s="4" t="str">
        <v>Macbook Pro M2 16GB | 256GB</v>
      </c>
      <c r="D42" s="4" t="str">
        <v>DLJY37N2RR</v>
      </c>
      <c r="E42" s="4" t="str">
        <v>Nguyễn Quang Hoàng</v>
      </c>
      <c r="F42" s="4" t="str">
        <v>hoangnq3</v>
      </c>
      <c r="G42" s="4" t="str">
        <v>Project</v>
      </c>
      <c r="H42" s="4" t="str">
        <v>Tech</v>
      </c>
      <c r="I42" s="4" t="str">
        <v>Venture</v>
      </c>
      <c r="J42" s="4" t="str">
        <v>HCM</v>
      </c>
      <c r="K42" s="4" t="str">
        <v>In Use</v>
      </c>
    </row>
    <row r="43" spans="1:11" hidden="1">
      <c r="A43" s="4">
        <v>72</v>
      </c>
      <c r="B43" s="4" t="str">
        <v>LAP0056</v>
      </c>
      <c r="C43" s="4" t="str">
        <v>Lenovo ThinkPad T14 i5 16GB | 256GB</v>
      </c>
      <c r="D43" s="4" t="str">
        <v>PF4TFPQ2</v>
      </c>
      <c r="E43" s="4" t="str">
        <v/>
      </c>
      <c r="F43" s="4">
        <v>0</v>
      </c>
      <c r="G43" s="4" t="str">
        <v/>
      </c>
      <c r="H43" s="4" t="str">
        <v/>
      </c>
      <c r="I43" s="4" t="str">
        <v/>
      </c>
      <c r="J43" s="4" t="str">
        <v>HCM</v>
      </c>
      <c r="K43" s="4" t="str">
        <v>In Stock</v>
      </c>
    </row>
    <row r="44" spans="1:11" hidden="1">
      <c r="A44" s="4">
        <v>73</v>
      </c>
      <c r="B44" s="4" t="str">
        <v>LAP0057</v>
      </c>
      <c r="C44" s="4" t="str">
        <v>Lenovo ThinkPad X13 i5 16GB | 256GB</v>
      </c>
      <c r="D44" s="4" t="str">
        <v>PC2CD0J1</v>
      </c>
      <c r="E44" s="4" t="str">
        <v/>
      </c>
      <c r="F44" s="4">
        <v>0</v>
      </c>
      <c r="G44" s="4" t="str">
        <v/>
      </c>
      <c r="H44" s="4" t="str">
        <v/>
      </c>
      <c r="I44" s="4" t="str">
        <v/>
      </c>
      <c r="J44" s="4" t="str">
        <v>HCM</v>
      </c>
      <c r="K44" s="4" t="str">
        <v>In Stock</v>
      </c>
    </row>
    <row r="45" spans="1:11" hidden="1">
      <c r="A45" s="4">
        <v>74</v>
      </c>
      <c r="B45" s="4" t="str">
        <v>LAP0058</v>
      </c>
      <c r="C45" s="4" t="str">
        <v>Lenovo ThinkPad X13 i5 16GB | 256GB</v>
      </c>
      <c r="D45" s="4" t="str">
        <v>PFASDZXC</v>
      </c>
      <c r="E45" s="4" t="str">
        <v>Nguyễn Ngọc Nhiên</v>
      </c>
      <c r="F45" s="4" t="str">
        <v>nhiennn</v>
      </c>
      <c r="G45" s="4" t="str">
        <v>BO</v>
      </c>
      <c r="H45" s="4" t="str">
        <v>Business Support</v>
      </c>
      <c r="I45" s="4" t="str">
        <v>Operation Team</v>
      </c>
      <c r="J45" s="4" t="str">
        <v>HCM</v>
      </c>
      <c r="K45" s="4" t="str">
        <v>In Use</v>
      </c>
    </row>
    <row r="46" spans="1:11" hidden="1">
      <c r="A46" s="4">
        <v>75</v>
      </c>
      <c r="B46" s="4" t="str">
        <v>LAP0059</v>
      </c>
      <c r="C46" s="4" t="str">
        <v>Lenovo ThinkPad T14 i5 16GB | 256GB</v>
      </c>
      <c r="D46" s="4" t="str">
        <v>PF24WRQX</v>
      </c>
      <c r="E46" s="4" t="str">
        <v/>
      </c>
      <c r="F46" s="4">
        <v>0</v>
      </c>
      <c r="G46" s="4" t="str">
        <v/>
      </c>
      <c r="H46" s="4" t="str">
        <v/>
      </c>
      <c r="I46" s="4" t="str">
        <v/>
      </c>
      <c r="J46" s="4" t="str">
        <v>HCM</v>
      </c>
      <c r="K46" s="4" t="str">
        <v>In Stock</v>
      </c>
    </row>
    <row r="47" spans="1:11" hidden="1">
      <c r="A47" s="4">
        <v>76</v>
      </c>
      <c r="B47" s="4" t="str">
        <v>LAP0060</v>
      </c>
      <c r="C47" s="4" t="str">
        <v>Macbook Pro M3 16GB | 512GB</v>
      </c>
      <c r="D47" s="4" t="str">
        <v>FTQ79J1GQ9</v>
      </c>
      <c r="E47" s="4" t="str">
        <v>Đoàn Nhật Duẩn</v>
      </c>
      <c r="F47" s="4" t="str">
        <v>duandn</v>
      </c>
      <c r="G47" s="4" t="str">
        <v>Project</v>
      </c>
      <c r="H47" s="4" t="str">
        <v>Tech</v>
      </c>
      <c r="I47" s="4" t="str">
        <v>Venture</v>
      </c>
      <c r="J47" s="4" t="str">
        <v>HCM</v>
      </c>
      <c r="K47" s="4" t="str">
        <v>In Use</v>
      </c>
    </row>
    <row r="48" spans="1:11" hidden="1">
      <c r="A48" s="4">
        <v>78</v>
      </c>
      <c r="B48" s="4" t="str">
        <v>LAP0062</v>
      </c>
      <c r="C48" s="4" t="str">
        <v>Macbook Pro M2 16GB | 256GB</v>
      </c>
      <c r="D48" s="4" t="str">
        <v>YQX1W3H610</v>
      </c>
      <c r="E48" s="4" t="str">
        <v>Phạm Thị Trúc Linh</v>
      </c>
      <c r="F48" s="4" t="str">
        <v>linhptt</v>
      </c>
      <c r="G48" s="4" t="str">
        <v>Project</v>
      </c>
      <c r="H48" s="4" t="str">
        <v>Tech</v>
      </c>
      <c r="I48" s="4" t="str">
        <v>Venture</v>
      </c>
      <c r="J48" s="4" t="str">
        <v>HCM</v>
      </c>
      <c r="K48" s="4" t="str">
        <v>In Use</v>
      </c>
    </row>
    <row r="49" spans="1:11" hidden="1">
      <c r="A49" s="4">
        <v>79</v>
      </c>
      <c r="B49" s="4" t="str">
        <v>LAP0063</v>
      </c>
      <c r="C49" s="4" t="str">
        <v>Lenovo ThinkPad T14 i5 16GB | 256GB</v>
      </c>
      <c r="D49" s="4" t="str">
        <v>PF2CG3WP</v>
      </c>
      <c r="E49" s="4" t="str">
        <v/>
      </c>
      <c r="F49" s="4">
        <v>0</v>
      </c>
      <c r="G49" s="4" t="str">
        <v/>
      </c>
      <c r="H49" s="4" t="str">
        <v/>
      </c>
      <c r="I49" s="4" t="str">
        <v/>
      </c>
      <c r="J49" s="4" t="str">
        <v>HCM</v>
      </c>
      <c r="K49" s="4" t="str">
        <v>In Stock</v>
      </c>
    </row>
    <row r="50" spans="1:11" hidden="1">
      <c r="A50" s="4">
        <v>80</v>
      </c>
      <c r="B50" s="4" t="str">
        <v>LAP0064</v>
      </c>
      <c r="C50" s="4" t="str">
        <v>Macbook Pro M3 16GB | 512GB</v>
      </c>
      <c r="D50" s="4" t="str">
        <v xml:space="preserve">G7YCYYXR70 </v>
      </c>
      <c r="E50" s="4" t="str">
        <v>Nguyễn Hồ Quốc Thịnh</v>
      </c>
      <c r="F50" s="4" t="str">
        <v>thinhnhq</v>
      </c>
      <c r="G50" s="4" t="str">
        <v>Project</v>
      </c>
      <c r="H50" s="4" t="str">
        <v>Tech</v>
      </c>
      <c r="I50" s="4" t="str">
        <v>Venture</v>
      </c>
      <c r="J50" s="4" t="str">
        <v>HCM</v>
      </c>
      <c r="K50" s="4" t="str">
        <v>In Use</v>
      </c>
    </row>
    <row r="51" spans="1:11" hidden="1">
      <c r="A51" s="4">
        <v>81</v>
      </c>
      <c r="B51" s="4" t="str">
        <v>LAP0065</v>
      </c>
      <c r="C51" s="4" t="str">
        <v>Lenovo ThinkPad T14 i5 16GB | 256GB</v>
      </c>
      <c r="D51" s="4" t="str">
        <v>PF50YJQX</v>
      </c>
      <c r="E51" s="4" t="str">
        <v>Nguyễn Minh Thy</v>
      </c>
      <c r="F51" s="4" t="str">
        <v>thynm</v>
      </c>
      <c r="G51" s="4" t="str">
        <v>CTD</v>
      </c>
      <c r="H51" s="4" t="str">
        <v>CTD</v>
      </c>
      <c r="I51" s="4" t="str">
        <v>CTD</v>
      </c>
      <c r="J51" s="4" t="str">
        <v>HCM</v>
      </c>
      <c r="K51" s="4" t="str">
        <v>In Use</v>
      </c>
    </row>
    <row r="52" spans="1:11" hidden="1">
      <c r="A52" s="4">
        <v>82</v>
      </c>
      <c r="B52" s="4" t="str">
        <v>LAP0066</v>
      </c>
      <c r="C52" s="4" t="str">
        <v>Lenovo ThinkPad E14 i5 16GB | 256GB</v>
      </c>
      <c r="D52" s="4" t="str">
        <v>PF3M4L8N</v>
      </c>
      <c r="E52" s="4" t="str">
        <v>Trương Nữ Ngọc Mai</v>
      </c>
      <c r="F52" s="4" t="str">
        <v>maitnn</v>
      </c>
      <c r="G52" s="4" t="str">
        <v>BO</v>
      </c>
      <c r="H52" s="4" t="str">
        <v>Business Support</v>
      </c>
      <c r="I52" s="4" t="str">
        <v>Operation Team</v>
      </c>
      <c r="J52" s="4" t="str">
        <v>HCM</v>
      </c>
      <c r="K52" s="4" t="str">
        <v>In Use</v>
      </c>
    </row>
    <row r="53" spans="1:11" hidden="1">
      <c r="A53" s="4">
        <v>83</v>
      </c>
      <c r="B53" s="4" t="str">
        <v>LAP0067</v>
      </c>
      <c r="C53" s="4" t="str">
        <v>Lenovo ThinkPad T14 i5 16GB | 256GB</v>
      </c>
      <c r="D53" s="4" t="str">
        <v>PF3M7ZFN</v>
      </c>
      <c r="E53" s="4" t="str">
        <v/>
      </c>
      <c r="F53" s="4">
        <v>0</v>
      </c>
      <c r="G53" s="4" t="str">
        <v/>
      </c>
      <c r="H53" s="4" t="str">
        <v/>
      </c>
      <c r="I53" s="4" t="str">
        <v/>
      </c>
      <c r="J53" s="4" t="str">
        <v>HCM</v>
      </c>
      <c r="K53" s="4" t="str">
        <v>In Stock</v>
      </c>
    </row>
    <row r="54" spans="1:11" hidden="1">
      <c r="A54" s="4">
        <v>84</v>
      </c>
      <c r="B54" s="4" t="str">
        <v>LAP0068</v>
      </c>
      <c r="C54" s="4" t="str">
        <v>Lenovo ThinkPad X13 i5 16GB | 256GB</v>
      </c>
      <c r="D54" s="4" t="str">
        <v>PF2CF7TN</v>
      </c>
      <c r="E54" s="4" t="str">
        <v>Nguyễn Việt Trung</v>
      </c>
      <c r="F54" s="4" t="str">
        <v>trungnv</v>
      </c>
      <c r="G54" s="4" t="str">
        <v>BO</v>
      </c>
      <c r="H54" s="4" t="str">
        <v>Business Support</v>
      </c>
      <c r="I54" s="4" t="str">
        <v>Operation Team</v>
      </c>
      <c r="J54" s="4" t="str">
        <v>HCM</v>
      </c>
      <c r="K54" s="4" t="str">
        <v>In Stock</v>
      </c>
    </row>
    <row r="55" spans="1:11" hidden="1">
      <c r="A55" s="4">
        <v>85</v>
      </c>
      <c r="B55" s="4" t="str">
        <v>LAP0069</v>
      </c>
      <c r="C55" s="4" t="str">
        <v>Lenovo ThinkPad T14 i5 16GB | 256GB</v>
      </c>
      <c r="D55" s="4" t="str">
        <v>PF3HMEV9</v>
      </c>
      <c r="E55" s="4" t="str">
        <v>Kiết Văn</v>
      </c>
      <c r="F55" s="4" t="str">
        <v>vank</v>
      </c>
      <c r="G55" s="4">
        <v>0</v>
      </c>
      <c r="H55" s="4">
        <v>0</v>
      </c>
      <c r="I55" s="4">
        <v>0</v>
      </c>
      <c r="J55" s="4" t="str">
        <v>HCM</v>
      </c>
      <c r="K55" s="4" t="str">
        <v>Sold</v>
      </c>
    </row>
    <row r="56" spans="1:11" hidden="1">
      <c r="A56" s="4">
        <v>86</v>
      </c>
      <c r="B56" s="4" t="str">
        <v>LAP0070</v>
      </c>
      <c r="C56" s="4" t="str">
        <v>Lenovo ThinkPad T480 i5 16GB | 256GB</v>
      </c>
      <c r="D56" s="4" t="str">
        <v>PF1NEMT7</v>
      </c>
      <c r="E56" s="4" t="str">
        <v/>
      </c>
      <c r="F56" s="4">
        <v>0</v>
      </c>
      <c r="G56" s="4" t="str">
        <v/>
      </c>
      <c r="H56" s="4" t="str">
        <v/>
      </c>
      <c r="I56" s="4" t="str">
        <v/>
      </c>
      <c r="J56" s="4" t="str">
        <v>HCM</v>
      </c>
      <c r="K56" s="4" t="str">
        <v>In Stock</v>
      </c>
    </row>
    <row r="57" spans="1:11" hidden="1">
      <c r="A57" s="4">
        <v>100</v>
      </c>
      <c r="B57" s="4" t="str">
        <v>LAP0071</v>
      </c>
      <c r="C57" s="4" t="str">
        <v>Lenovo ThinkPad T490 i5 16GB | 256GB</v>
      </c>
      <c r="D57" s="4" t="str">
        <v>PF1VRCB1</v>
      </c>
      <c r="E57" s="4" t="str">
        <v/>
      </c>
      <c r="F57" s="4">
        <v>0</v>
      </c>
      <c r="G57" s="4" t="str">
        <v/>
      </c>
      <c r="H57" s="4" t="str">
        <v/>
      </c>
      <c r="I57" s="4" t="str">
        <v/>
      </c>
      <c r="J57" s="4" t="str">
        <v>HCM</v>
      </c>
      <c r="K57" s="4" t="str">
        <v>In Stock</v>
      </c>
    </row>
    <row r="58" spans="1:11" hidden="1">
      <c r="A58" s="4">
        <v>101</v>
      </c>
      <c r="B58" s="4" t="str">
        <v>LAP0072</v>
      </c>
      <c r="C58" s="4" t="str">
        <v>Macbook Pro i5 16GB | 256GB</v>
      </c>
      <c r="D58" s="4" t="str">
        <v>FVFC61XCL414</v>
      </c>
      <c r="E58" s="4" t="str">
        <v/>
      </c>
      <c r="F58" s="4">
        <v>0</v>
      </c>
      <c r="G58" s="4" t="str">
        <v/>
      </c>
      <c r="H58" s="4" t="str">
        <v/>
      </c>
      <c r="I58" s="4" t="str">
        <v/>
      </c>
      <c r="J58" s="4" t="str">
        <v>HCM</v>
      </c>
      <c r="K58" s="4" t="str">
        <v>In Stock</v>
      </c>
    </row>
    <row r="59" spans="1:11" hidden="1">
      <c r="A59" s="4">
        <v>102</v>
      </c>
      <c r="B59" s="4" t="str">
        <v>LAP0073</v>
      </c>
      <c r="C59" s="4" t="str">
        <v>Macbook Pro M1 16GB | 256GB</v>
      </c>
      <c r="D59" s="4" t="str">
        <v>C02G12P5Q05N</v>
      </c>
      <c r="E59" s="4" t="str">
        <v>Đoàn Hà Mi</v>
      </c>
      <c r="F59" s="4" t="str">
        <v>midh</v>
      </c>
      <c r="G59" s="4" t="str">
        <v>BO</v>
      </c>
      <c r="H59" s="4" t="str">
        <v>Business Support</v>
      </c>
      <c r="I59" s="4" t="str">
        <v>Operation Team</v>
      </c>
      <c r="J59" s="4" t="str">
        <v>HCM</v>
      </c>
      <c r="K59" s="4" t="str">
        <v>In Use</v>
      </c>
    </row>
    <row r="60" spans="1:11" hidden="1">
      <c r="A60" s="4">
        <v>103</v>
      </c>
      <c r="B60" s="4" t="str">
        <v>LAP0074</v>
      </c>
      <c r="C60" s="4" t="str">
        <v>Lenovo ThinkPad X13 i5 16GB | 256GB</v>
      </c>
      <c r="D60" s="4" t="str">
        <v>PC2CKMAP</v>
      </c>
      <c r="E60" s="4" t="str">
        <v>Hoàng Thị Trang</v>
      </c>
      <c r="F60" s="4" t="str">
        <v>tranght</v>
      </c>
      <c r="G60" s="4" t="str">
        <v>BO</v>
      </c>
      <c r="H60" s="4" t="str">
        <v>Business Support</v>
      </c>
      <c r="I60" s="4" t="str">
        <v>Operation Team</v>
      </c>
      <c r="J60" s="4" t="str">
        <v>HCM</v>
      </c>
      <c r="K60" s="4" t="str">
        <v>In Use</v>
      </c>
    </row>
    <row r="61" spans="1:11" hidden="1">
      <c r="A61" s="4">
        <v>104</v>
      </c>
      <c r="B61" s="4" t="str">
        <v>LAP0075</v>
      </c>
      <c r="C61" s="4" t="str">
        <v>Lenovo ThinkPad T480 i5 No RAM | 256GB</v>
      </c>
      <c r="D61" s="4" t="str">
        <v>PF1NEFQR</v>
      </c>
      <c r="E61" s="4" t="str">
        <v/>
      </c>
      <c r="F61" s="4">
        <v>0</v>
      </c>
      <c r="G61" s="4" t="str">
        <v/>
      </c>
      <c r="H61" s="4" t="str">
        <v/>
      </c>
      <c r="I61" s="4" t="str">
        <v/>
      </c>
      <c r="J61" s="4" t="str">
        <v>HCM</v>
      </c>
      <c r="K61" s="4" t="str">
        <v>In Stock</v>
      </c>
    </row>
    <row r="62" spans="1:11" hidden="1">
      <c r="A62" s="4">
        <v>106</v>
      </c>
      <c r="B62" s="4" t="str">
        <v>LAP0076</v>
      </c>
      <c r="C62" s="4" t="str">
        <v>Lenovo ThinkPad X1 carbon i7  16GB | 512GB</v>
      </c>
      <c r="D62" s="4" t="str">
        <v>PF3Z9LM6</v>
      </c>
      <c r="E62" s="4" t="str">
        <v>Gary Robert Charles Mckinnon</v>
      </c>
      <c r="F62" s="4" t="str">
        <v>garym</v>
      </c>
      <c r="G62" s="4">
        <v>0</v>
      </c>
      <c r="H62" s="4" t="str">
        <v>CEO</v>
      </c>
      <c r="I62" s="4">
        <v>0</v>
      </c>
      <c r="J62" s="4" t="str">
        <v>HCM</v>
      </c>
      <c r="K62" s="4" t="str">
        <v>Sold</v>
      </c>
    </row>
    <row r="63" spans="1:11" hidden="1">
      <c r="A63" s="4">
        <v>191</v>
      </c>
      <c r="B63" s="4" t="str">
        <v>LAP0078</v>
      </c>
      <c r="C63" s="4" t="str">
        <v>Macbook Pro M1 16GB | 256GB</v>
      </c>
      <c r="D63" s="4" t="str">
        <v>C02DW9GDQ05N</v>
      </c>
      <c r="E63" s="4" t="str">
        <v>Nguyễn Quốc Trung</v>
      </c>
      <c r="F63" s="4" t="str">
        <v>trungnq</v>
      </c>
      <c r="G63" s="4" t="str">
        <v>Undirect IT Staff</v>
      </c>
      <c r="H63" s="4" t="str">
        <v>Tech</v>
      </c>
      <c r="I63" s="4" t="str">
        <v>Odoo</v>
      </c>
      <c r="J63" s="4" t="str">
        <v>HCM</v>
      </c>
      <c r="K63" s="4" t="str">
        <v>In Use</v>
      </c>
    </row>
    <row r="64" spans="1:11">
      <c r="A64" s="4">
        <v>192</v>
      </c>
      <c r="B64" s="4" t="str">
        <v>LAP0079</v>
      </c>
      <c r="C64" s="4" t="str">
        <v>Macbook Pro M1 16GB | 256GB</v>
      </c>
      <c r="D64" s="4" t="str">
        <v>C02H72GFQ05N</v>
      </c>
      <c r="E64" s="4" t="str">
        <v/>
      </c>
      <c r="F64" s="4">
        <v>0</v>
      </c>
      <c r="G64" s="4" t="str">
        <v/>
      </c>
      <c r="H64" s="4" t="str">
        <v/>
      </c>
      <c r="I64" s="4" t="str">
        <v/>
      </c>
      <c r="J64" s="4" t="str">
        <v>HCM</v>
      </c>
      <c r="K64" s="4" t="str">
        <v>Damaged</v>
      </c>
    </row>
    <row r="65" spans="1:11" hidden="1">
      <c r="A65" s="4">
        <v>193</v>
      </c>
      <c r="B65" s="4" t="str">
        <v>LAP0080</v>
      </c>
      <c r="C65" s="4" t="str">
        <v>Macbook Pro M1 16GB | 256GB</v>
      </c>
      <c r="D65" s="4" t="str">
        <v>C02H72FHQ05N</v>
      </c>
      <c r="E65" s="4" t="str">
        <v>Nguyễn Ngọc Trinh</v>
      </c>
      <c r="F65" s="4" t="str">
        <v>trinhnn</v>
      </c>
      <c r="G65" s="4" t="str">
        <v>Undirect IT Staff</v>
      </c>
      <c r="H65" s="4" t="str">
        <v>Tech</v>
      </c>
      <c r="I65" s="4" t="str">
        <v>Odoo</v>
      </c>
      <c r="J65" s="4" t="str">
        <v>HCM</v>
      </c>
      <c r="K65" s="4" t="str">
        <v>In Stock</v>
      </c>
    </row>
    <row r="66" spans="1:11" hidden="1">
      <c r="A66" s="4">
        <v>194</v>
      </c>
      <c r="B66" s="4" t="str">
        <v>LAP0081</v>
      </c>
      <c r="C66" s="4" t="str">
        <v>Macbook Pro M1 16GB | 256GB</v>
      </c>
      <c r="D66" s="4" t="str">
        <v>C02H70QRQ05N</v>
      </c>
      <c r="E66" s="4" t="str">
        <v>Nguyễn Lê Thanh Trúc</v>
      </c>
      <c r="F66" s="4" t="str">
        <v>trucnlt</v>
      </c>
      <c r="G66" s="4" t="str">
        <v>Project</v>
      </c>
      <c r="H66" s="4" t="str">
        <v>Tech</v>
      </c>
      <c r="I66" s="4" t="str">
        <v>Resource Pool</v>
      </c>
      <c r="J66" s="4" t="str">
        <v>HCM</v>
      </c>
      <c r="K66" s="4" t="str">
        <v>In Use</v>
      </c>
    </row>
    <row r="67" spans="1:11" hidden="1">
      <c r="A67" s="4">
        <v>195</v>
      </c>
      <c r="B67" s="4" t="str">
        <v>LAP0082</v>
      </c>
      <c r="C67" s="4" t="str">
        <v>Macbook Pro Intel 16GB | 256GB</v>
      </c>
      <c r="D67" s="4" t="str">
        <v>FVFC61WWL414</v>
      </c>
      <c r="E67" s="4" t="str">
        <v/>
      </c>
      <c r="F67" s="4">
        <v>0</v>
      </c>
      <c r="G67" s="4" t="str">
        <v/>
      </c>
      <c r="H67" s="4" t="str">
        <v/>
      </c>
      <c r="I67" s="4" t="str">
        <v/>
      </c>
      <c r="J67" s="4" t="str">
        <v>HCM</v>
      </c>
      <c r="K67" s="4" t="str">
        <v>In Stock</v>
      </c>
    </row>
    <row r="68" spans="1:11" hidden="1">
      <c r="A68" s="4">
        <v>197</v>
      </c>
      <c r="B68" s="4" t="str">
        <v>LAP0084</v>
      </c>
      <c r="C68" s="4" t="str">
        <v>Macbook Pro M1 16GB | 256GB</v>
      </c>
      <c r="D68" s="4" t="str">
        <v>FVFHQ8N4Q05N</v>
      </c>
      <c r="E68" s="4" t="str">
        <v/>
      </c>
      <c r="F68" s="4">
        <v>0</v>
      </c>
      <c r="G68" s="4" t="str">
        <v/>
      </c>
      <c r="H68" s="4" t="str">
        <v/>
      </c>
      <c r="I68" s="4" t="str">
        <v/>
      </c>
      <c r="J68" s="4" t="str">
        <v>HCM</v>
      </c>
      <c r="K68" s="4" t="str">
        <v>In Stock</v>
      </c>
    </row>
    <row r="69" spans="1:11" hidden="1">
      <c r="A69" s="4">
        <v>291</v>
      </c>
      <c r="B69" s="4" t="str">
        <v>LAP0085</v>
      </c>
      <c r="C69" s="4" t="str">
        <v>Macbook Pro M2 16GB | 256GB</v>
      </c>
      <c r="D69" s="4" t="str">
        <v>YD403FQGW6</v>
      </c>
      <c r="E69" s="4" t="str">
        <v>Đào Duy Thoại</v>
      </c>
      <c r="F69" s="4" t="str">
        <v>thoaidd</v>
      </c>
      <c r="G69" s="4" t="str">
        <v>CTD</v>
      </c>
      <c r="H69" s="4" t="str">
        <v>CTD</v>
      </c>
      <c r="I69" s="4" t="str">
        <v>CTD</v>
      </c>
      <c r="J69" s="4" t="str">
        <v>HCM</v>
      </c>
      <c r="K69" s="4" t="str">
        <v>In Use</v>
      </c>
    </row>
    <row r="70" spans="1:11" hidden="1">
      <c r="A70" s="4">
        <v>292</v>
      </c>
      <c r="B70" s="4" t="str">
        <v>LAP0086</v>
      </c>
      <c r="C70" s="4" t="str">
        <v>Lenovo ThinkPad E14 i5 16GB | 256GB</v>
      </c>
      <c r="D70" s="4" t="str">
        <v>PF3S5HGW</v>
      </c>
      <c r="E70" s="4" t="str">
        <v>Nguyễn Ngọc Lân</v>
      </c>
      <c r="F70" s="4" t="str">
        <v>lannn</v>
      </c>
      <c r="G70" s="4" t="str">
        <v>Project</v>
      </c>
      <c r="H70" s="4" t="str">
        <v>Tech</v>
      </c>
      <c r="I70" s="4" t="str">
        <v>Venture</v>
      </c>
      <c r="J70" s="4" t="str">
        <v>HCM</v>
      </c>
      <c r="K70" s="4" t="str">
        <v>In Use</v>
      </c>
    </row>
    <row r="71" spans="1:11" hidden="1">
      <c r="A71" s="4">
        <v>293</v>
      </c>
      <c r="B71" s="4" t="str">
        <v>LAP0087</v>
      </c>
      <c r="C71" s="4" t="str">
        <v>Macbook Pro M1 16GB | 256GB</v>
      </c>
      <c r="D71" s="4" t="str">
        <v>C02GT1P2Q05N</v>
      </c>
      <c r="E71" s="4" t="str">
        <v/>
      </c>
      <c r="F71" s="4">
        <v>0</v>
      </c>
      <c r="G71" s="4" t="str">
        <v/>
      </c>
      <c r="H71" s="4" t="str">
        <v/>
      </c>
      <c r="I71" s="4" t="str">
        <v/>
      </c>
      <c r="J71" s="4" t="str">
        <v>HCM</v>
      </c>
      <c r="K71" s="4" t="str">
        <v>In Stock</v>
      </c>
    </row>
    <row r="72" spans="1:11" hidden="1">
      <c r="A72" s="4">
        <v>294</v>
      </c>
      <c r="B72" s="4" t="str">
        <v>LAP0088</v>
      </c>
      <c r="C72" s="4" t="str">
        <v>Lenovo ThinkPad T14 i5 16GB | 256GB</v>
      </c>
      <c r="D72" s="4" t="str">
        <v>PF3HMCM4</v>
      </c>
      <c r="E72" s="4" t="str">
        <v>Ivan</v>
      </c>
      <c r="F72" s="4" t="str">
        <v>Ivan</v>
      </c>
      <c r="G72" s="4">
        <v>0</v>
      </c>
      <c r="H72" s="4">
        <v>0</v>
      </c>
      <c r="I72" s="4">
        <v>0</v>
      </c>
      <c r="J72" s="4" t="str">
        <v>HCM</v>
      </c>
      <c r="K72" s="4" t="str">
        <v>Lost</v>
      </c>
    </row>
    <row r="73" spans="1:11" hidden="1">
      <c r="A73" s="4">
        <v>295</v>
      </c>
      <c r="B73" s="4" t="str">
        <v>LAP0089</v>
      </c>
      <c r="C73" s="4" t="str">
        <v>Lenovo ThinkPad T14 i5 16GB | 256GB</v>
      </c>
      <c r="D73" s="4" t="str">
        <v>PF4TGN3B</v>
      </c>
      <c r="E73" s="4" t="str">
        <v>Ali Mustafa</v>
      </c>
      <c r="F73" s="4" t="str">
        <v>alim</v>
      </c>
      <c r="G73" s="4">
        <v>0</v>
      </c>
      <c r="H73" s="4">
        <v>0</v>
      </c>
      <c r="I73" s="4">
        <v>0</v>
      </c>
      <c r="J73" s="4" t="str">
        <v>HCM</v>
      </c>
      <c r="K73" s="4" t="str">
        <v>Lost</v>
      </c>
    </row>
    <row r="74" spans="1:11" hidden="1">
      <c r="A74" s="4">
        <v>296</v>
      </c>
      <c r="B74" s="4" t="str">
        <v>LAP0090</v>
      </c>
      <c r="C74" s="4" t="str">
        <v>Lenovo ThinkPad T14 i5 16GB | 256GB</v>
      </c>
      <c r="D74" s="4" t="str">
        <v>PF4TFKEF</v>
      </c>
      <c r="E74" s="4" t="str">
        <v>Trần Gia Ân</v>
      </c>
      <c r="F74" s="4" t="str">
        <v>antg</v>
      </c>
      <c r="G74" s="4" t="str">
        <v>CTD</v>
      </c>
      <c r="H74" s="4" t="str">
        <v>CTD</v>
      </c>
      <c r="I74" s="4" t="str">
        <v>CTD</v>
      </c>
      <c r="J74" s="4" t="str">
        <v>HCM</v>
      </c>
      <c r="K74" s="4" t="str">
        <v>In Use</v>
      </c>
    </row>
    <row r="75" spans="1:11" hidden="1">
      <c r="A75" s="4">
        <v>315</v>
      </c>
      <c r="B75" s="4" t="str">
        <v>LAP0091</v>
      </c>
      <c r="C75" s="4" t="str">
        <v>Macbook Pro M4 16GB | 512GB</v>
      </c>
      <c r="D75" s="4" t="str">
        <v>SKVWYWVVP79</v>
      </c>
      <c r="E75" s="4" t="str">
        <v/>
      </c>
      <c r="F75" s="4">
        <v>0</v>
      </c>
      <c r="G75" s="4" t="str">
        <v/>
      </c>
      <c r="H75" s="4" t="str">
        <v/>
      </c>
      <c r="I75" s="4" t="str">
        <v/>
      </c>
      <c r="J75" s="4" t="str">
        <v>HCM</v>
      </c>
      <c r="K75" s="4" t="str">
        <v>Warranty</v>
      </c>
    </row>
    <row r="76" spans="1:11" hidden="1">
      <c r="A76" s="4">
        <v>319</v>
      </c>
      <c r="B76" s="4" t="str">
        <v>LAP0095</v>
      </c>
      <c r="C76" s="4" t="str">
        <v>Macbook Pro M4 16GB | 512GB</v>
      </c>
      <c r="D76" s="4" t="str">
        <v>SCVY94FHJ97</v>
      </c>
      <c r="E76" s="4" t="str">
        <v>Dương Phạm Thành Công</v>
      </c>
      <c r="F76" s="4" t="str">
        <v>congdpt</v>
      </c>
      <c r="G76" s="4" t="str">
        <v>Undirect IT Staff</v>
      </c>
      <c r="H76" s="4" t="str">
        <v>Tech</v>
      </c>
      <c r="I76" s="4" t="str">
        <v>Odoo</v>
      </c>
      <c r="J76" s="4" t="str">
        <v>HCM</v>
      </c>
      <c r="K76" s="4" t="str">
        <v>In Use</v>
      </c>
    </row>
    <row r="77" spans="1:11" hidden="1">
      <c r="A77" s="4">
        <v>320</v>
      </c>
      <c r="B77" s="4" t="str">
        <v>LAP0096</v>
      </c>
      <c r="C77" s="4" t="str">
        <v>Macbook Pro M4 16GB | 512GB</v>
      </c>
      <c r="D77" s="4" t="str">
        <v>SHQXVQ73MFJ</v>
      </c>
      <c r="E77" s="4" t="str">
        <v>Nguyễn Ngọc Trinh</v>
      </c>
      <c r="F77" s="4" t="str">
        <v>trinhnn</v>
      </c>
      <c r="G77" s="4" t="str">
        <v>Undirect IT Staff</v>
      </c>
      <c r="H77" s="4" t="str">
        <v>Tech</v>
      </c>
      <c r="I77" s="4" t="str">
        <v>Odoo</v>
      </c>
      <c r="J77" s="4" t="str">
        <v>HCM</v>
      </c>
      <c r="K77" s="4" t="str">
        <v>In Use</v>
      </c>
    </row>
    <row r="78" spans="1:11" hidden="1">
      <c r="A78" s="4">
        <v>321</v>
      </c>
      <c r="B78" s="4" t="str">
        <v>LAP0097</v>
      </c>
      <c r="C78" s="4" t="str">
        <v>Macbook Pro M4 16GB | 512GB</v>
      </c>
      <c r="D78" s="4" t="str">
        <v>SF7FL62XW9F</v>
      </c>
      <c r="E78" s="4" t="str">
        <v>Trịnh Minh Toàn</v>
      </c>
      <c r="F78" s="4" t="str">
        <v>toantm3</v>
      </c>
      <c r="G78" s="4" t="str">
        <v>Project</v>
      </c>
      <c r="H78" s="4" t="str">
        <v>Tech</v>
      </c>
      <c r="I78" s="4" t="str">
        <v>Venture</v>
      </c>
      <c r="J78" s="4" t="str">
        <v>HCM</v>
      </c>
      <c r="K78" s="4" t="str">
        <v>In Use</v>
      </c>
    </row>
    <row r="79" spans="1:11" hidden="1">
      <c r="A79" s="4">
        <v>323</v>
      </c>
      <c r="B79" s="4" t="str">
        <v>LAP0099</v>
      </c>
      <c r="C79" s="4" t="str">
        <v>Macbook Pro M4 16GB | 512GB</v>
      </c>
      <c r="D79" s="4" t="str">
        <v>SD4RQM4JX7D</v>
      </c>
      <c r="E79" s="4" t="str">
        <v>Phùng Thanh Huy</v>
      </c>
      <c r="F79" s="4" t="str">
        <v>huypt3</v>
      </c>
      <c r="G79" s="4" t="str">
        <v>Project</v>
      </c>
      <c r="H79" s="4" t="str">
        <v>Tech</v>
      </c>
      <c r="I79" s="4" t="str">
        <v>Venture</v>
      </c>
      <c r="J79" s="4" t="str">
        <v>HCM</v>
      </c>
      <c r="K79" s="4" t="str">
        <v>In Use</v>
      </c>
    </row>
    <row r="80" spans="1:11" hidden="1">
      <c r="A80" s="4">
        <v>324</v>
      </c>
      <c r="B80" s="4" t="str">
        <v>LAP0100</v>
      </c>
      <c r="C80" s="4" t="str">
        <v>Macbook Pro M4 16GB | 512GB</v>
      </c>
      <c r="D80" s="4" t="str">
        <v>SG9159NH25G</v>
      </c>
      <c r="E80" s="4" t="str">
        <v>Ngô Khánh Vy</v>
      </c>
      <c r="F80" s="4" t="str">
        <v>vynk2</v>
      </c>
      <c r="G80" s="4" t="str">
        <v>Project</v>
      </c>
      <c r="H80" s="4" t="str">
        <v>Tech</v>
      </c>
      <c r="I80" s="4" t="str">
        <v>Venture</v>
      </c>
      <c r="J80" s="4" t="str">
        <v>HCM</v>
      </c>
      <c r="K80" s="4" t="str">
        <v>In Use</v>
      </c>
    </row>
    <row r="81" spans="1:11" hidden="1">
      <c r="A81" s="4">
        <v>325</v>
      </c>
      <c r="B81" s="4" t="str">
        <v>LAP0101</v>
      </c>
      <c r="C81" s="4" t="str">
        <v>Macbook Pro M4 16GB | 512GB</v>
      </c>
      <c r="D81" s="4" t="str">
        <v>SD00NC3F0Y0</v>
      </c>
      <c r="E81" s="4" t="str">
        <v>Trần Hoàng Anh</v>
      </c>
      <c r="F81" s="4" t="str">
        <v>anhth</v>
      </c>
      <c r="G81" s="4" t="str">
        <v>Project</v>
      </c>
      <c r="H81" s="4" t="str">
        <v>Data</v>
      </c>
      <c r="I81" s="4" t="str">
        <v>Venture</v>
      </c>
      <c r="J81" s="4" t="str">
        <v>HCM</v>
      </c>
      <c r="K81" s="4" t="str">
        <v>In Use</v>
      </c>
    </row>
    <row r="82" spans="1:11" hidden="1">
      <c r="A82" s="4">
        <v>326</v>
      </c>
      <c r="B82" s="4" t="str">
        <v>LAP0102</v>
      </c>
      <c r="C82" s="4" t="str">
        <v>Macbook Pro M4 16GB | 512GB</v>
      </c>
      <c r="D82" s="4" t="str">
        <v>SCLGQ5W5QDH</v>
      </c>
      <c r="E82" s="4" t="str">
        <v>Đặng Thành Thái</v>
      </c>
      <c r="F82" s="4" t="str">
        <v>thaidt</v>
      </c>
      <c r="G82" s="4" t="str">
        <v>Undirect IT Staff</v>
      </c>
      <c r="H82" s="4" t="str">
        <v>Tech</v>
      </c>
      <c r="I82" s="4" t="str">
        <v>Odoo</v>
      </c>
      <c r="J82" s="4" t="str">
        <v>HCM</v>
      </c>
      <c r="K82" s="4" t="str">
        <v>In Use</v>
      </c>
    </row>
    <row r="83" spans="1:11" hidden="1">
      <c r="A83" s="4">
        <v>327</v>
      </c>
      <c r="B83" s="4" t="str">
        <v>LAP0103</v>
      </c>
      <c r="C83" s="4" t="str">
        <v>Macbook Pro M4 16GB | 512GB</v>
      </c>
      <c r="D83" s="4" t="str">
        <v>SMQYTXVHY39</v>
      </c>
      <c r="E83" s="4" t="str">
        <v>Nguyễn Quý</v>
      </c>
      <c r="F83" s="4" t="str">
        <v>quyn</v>
      </c>
      <c r="G83" s="4" t="str">
        <v>Project</v>
      </c>
      <c r="H83" s="4" t="str">
        <v>Tech</v>
      </c>
      <c r="I83" s="4" t="str">
        <v>Venture</v>
      </c>
      <c r="J83" s="4" t="str">
        <v>HCM</v>
      </c>
      <c r="K83" s="4" t="str">
        <v>In Use</v>
      </c>
    </row>
    <row r="84" spans="1:11" hidden="1">
      <c r="A84" s="4">
        <v>333</v>
      </c>
      <c r="B84" s="4" t="str">
        <v>LAP0109</v>
      </c>
      <c r="C84" s="4" t="str">
        <v>Macbook Pro M4 16GB | 512GB</v>
      </c>
      <c r="D84" s="4" t="str">
        <v>SLDXG3DD2LY</v>
      </c>
      <c r="E84" s="4" t="str">
        <v>Võ Thành Nhơn</v>
      </c>
      <c r="F84" s="4" t="str">
        <v>nhonvt</v>
      </c>
      <c r="G84" s="4" t="str">
        <v>Project</v>
      </c>
      <c r="H84" s="4" t="str">
        <v>Tech</v>
      </c>
      <c r="I84" s="4" t="str">
        <v>Venture</v>
      </c>
      <c r="J84" s="4" t="str">
        <v>HCM</v>
      </c>
      <c r="K84" s="4" t="str">
        <v>In Use</v>
      </c>
    </row>
    <row r="85" spans="1:11" hidden="1">
      <c r="A85" s="4">
        <v>334</v>
      </c>
      <c r="B85" s="4" t="str">
        <v>LAP0110</v>
      </c>
      <c r="C85" s="4" t="str">
        <v>Macbook Pro M4 16GB | 512GB</v>
      </c>
      <c r="D85" s="4" t="str">
        <v>SJ9WVM6XCXM</v>
      </c>
      <c r="E85" s="4" t="str">
        <v/>
      </c>
      <c r="F85" s="4">
        <v>0</v>
      </c>
      <c r="G85" s="4" t="str">
        <v/>
      </c>
      <c r="H85" s="4" t="str">
        <v/>
      </c>
      <c r="I85" s="4" t="str">
        <v/>
      </c>
      <c r="J85" s="4" t="str">
        <v>HCM</v>
      </c>
      <c r="K85" s="4" t="str">
        <v>Warranty</v>
      </c>
    </row>
    <row r="86" spans="1:11" hidden="1">
      <c r="A86" s="4">
        <v>336</v>
      </c>
      <c r="B86" s="4" t="str">
        <v>LAP0112</v>
      </c>
      <c r="C86" s="4" t="str">
        <v>Macbook Pro M4 24GB |  1TB</v>
      </c>
      <c r="D86" s="4" t="str">
        <v>SJ6D370RF9L</v>
      </c>
      <c r="E86" s="4" t="str">
        <v>Đinh Vũ Tiến</v>
      </c>
      <c r="F86" s="4" t="str">
        <v>tiendv2</v>
      </c>
      <c r="G86" s="4" t="str">
        <v>BO</v>
      </c>
      <c r="H86" s="4" t="str">
        <v>Marketing</v>
      </c>
      <c r="I86" s="4" t="str">
        <v>Operation Team</v>
      </c>
      <c r="J86" s="4" t="str">
        <v>HCM</v>
      </c>
      <c r="K86" s="4" t="str">
        <v>In Use</v>
      </c>
    </row>
    <row r="87" spans="1:11" hidden="1">
      <c r="A87" s="4">
        <v>340</v>
      </c>
      <c r="B87" s="4" t="str">
        <v>LAP0116</v>
      </c>
      <c r="C87" s="4" t="str">
        <v>Macbook Pro M4 16GB | 512GB</v>
      </c>
      <c r="D87" s="4" t="str">
        <v>SL2P00X9GJ6</v>
      </c>
      <c r="E87" s="4" t="str">
        <v>Lại Thế Cường</v>
      </c>
      <c r="F87" s="4" t="str">
        <v>cuonglt8</v>
      </c>
      <c r="G87" s="4" t="str">
        <v>Project</v>
      </c>
      <c r="H87" s="4" t="str">
        <v>Tech</v>
      </c>
      <c r="I87" s="4" t="str">
        <v>Venture</v>
      </c>
      <c r="J87" s="4" t="str">
        <v>HCM</v>
      </c>
      <c r="K87" s="4" t="str">
        <v>In Use</v>
      </c>
    </row>
    <row r="88" spans="1:11" hidden="1">
      <c r="A88" s="4">
        <v>341</v>
      </c>
      <c r="B88" s="4" t="str">
        <v>LAP0117</v>
      </c>
      <c r="C88" s="4" t="str">
        <v>Macbook Pro M4 16GB | 512GB</v>
      </c>
      <c r="D88" s="4" t="str">
        <v>SCW59VQ0QTR</v>
      </c>
      <c r="E88" s="4" t="str">
        <v>Nguyễn Hoàng Tâm</v>
      </c>
      <c r="F88" s="4" t="str">
        <v>tamnh8</v>
      </c>
      <c r="G88" s="4" t="str">
        <v>Project</v>
      </c>
      <c r="H88" s="4" t="str">
        <v>Tech</v>
      </c>
      <c r="I88" s="4" t="str">
        <v>Venture</v>
      </c>
      <c r="J88" s="4" t="str">
        <v>HCM</v>
      </c>
      <c r="K88" s="4" t="str">
        <v>In Use</v>
      </c>
    </row>
    <row r="89" spans="1:11" hidden="1">
      <c r="A89" s="4">
        <v>342</v>
      </c>
      <c r="B89" s="4" t="str">
        <v>LAP0118</v>
      </c>
      <c r="C89" s="4" t="str">
        <v>Macbook Pro M4 16GB | 512GB</v>
      </c>
      <c r="D89" s="4" t="str">
        <v>SGHXPF2JQQW</v>
      </c>
      <c r="E89" s="4" t="str">
        <v>Nguyễn Trung Kiên</v>
      </c>
      <c r="F89" s="4" t="str">
        <v>kiennt8</v>
      </c>
      <c r="G89" s="4" t="str">
        <v>Project</v>
      </c>
      <c r="H89" s="4" t="str">
        <v>Data</v>
      </c>
      <c r="I89" s="4" t="str">
        <v>Venture</v>
      </c>
      <c r="J89" s="4" t="str">
        <v>HN</v>
      </c>
      <c r="K89" s="4" t="str">
        <v>In Use</v>
      </c>
    </row>
    <row r="90" spans="1:11" hidden="1">
      <c r="A90" s="4">
        <v>343</v>
      </c>
      <c r="B90" s="4" t="str">
        <v>LAP0119</v>
      </c>
      <c r="C90" s="4" t="str">
        <v>Macbook Pro M4 16GB | 512GB</v>
      </c>
      <c r="D90" s="4" t="str">
        <v>SHYX7M72MR6</v>
      </c>
      <c r="E90" s="4" t="str">
        <v>Lê Cao Long Nhật</v>
      </c>
      <c r="F90" s="4" t="str">
        <v>nhatlcl</v>
      </c>
      <c r="G90" s="4" t="str">
        <v>Project</v>
      </c>
      <c r="H90" s="4" t="str">
        <v>Tech</v>
      </c>
      <c r="I90" s="4" t="str">
        <v>Venture</v>
      </c>
      <c r="J90" s="4" t="str">
        <v>HCM</v>
      </c>
      <c r="K90" s="4" t="str">
        <v>In Use</v>
      </c>
    </row>
    <row r="91" spans="1:11" hidden="1">
      <c r="A91" s="4">
        <v>344</v>
      </c>
      <c r="B91" s="4" t="str">
        <v>LAP0120</v>
      </c>
      <c r="C91" s="4" t="str">
        <v>Macbook Pro M4 16GB | 512GB</v>
      </c>
      <c r="D91" s="4" t="str">
        <v>SK99963QMGW</v>
      </c>
      <c r="E91" s="4" t="str">
        <v>Nguyễn Văn Bình</v>
      </c>
      <c r="F91" s="4" t="str">
        <v>binhnv5</v>
      </c>
      <c r="G91" s="4" t="str">
        <v>Project</v>
      </c>
      <c r="H91" s="4" t="str">
        <v>Tech</v>
      </c>
      <c r="I91" s="4" t="str">
        <v>Venture</v>
      </c>
      <c r="J91" s="4" t="str">
        <v>HCM</v>
      </c>
      <c r="K91" s="4" t="str">
        <v>In Use</v>
      </c>
    </row>
    <row r="92" spans="1:11" hidden="1">
      <c r="A92" s="4">
        <v>345</v>
      </c>
      <c r="B92" s="4" t="str">
        <v>LAP0121</v>
      </c>
      <c r="C92" s="4" t="str">
        <v>Macbook Pro M4 16GB | 512GB</v>
      </c>
      <c r="D92" s="4" t="str">
        <v>SJ12KTW6DKL</v>
      </c>
      <c r="E92" s="4" t="str">
        <v>Nguyễn Thiện Nhân</v>
      </c>
      <c r="F92" s="4" t="str">
        <v>nhannt</v>
      </c>
      <c r="G92" s="4" t="str">
        <v>Project</v>
      </c>
      <c r="H92" s="4" t="str">
        <v>Tech</v>
      </c>
      <c r="I92" s="4" t="str">
        <v>Resource Pool</v>
      </c>
      <c r="J92" s="4" t="str">
        <v>HCM</v>
      </c>
      <c r="K92" s="4" t="str">
        <v>In Use</v>
      </c>
    </row>
    <row r="93" spans="1:11" hidden="1">
      <c r="A93" s="4">
        <v>349</v>
      </c>
      <c r="B93" s="4" t="str">
        <v>LAP0125</v>
      </c>
      <c r="C93" s="4" t="str">
        <v>Macbook Pro M4 16GB | 512GB</v>
      </c>
      <c r="D93" s="4" t="str">
        <v>L7G57MMFPM</v>
      </c>
      <c r="E93" s="4" t="str">
        <v>Đoàn Hải Nam</v>
      </c>
      <c r="F93" s="4" t="str">
        <v>namdh02</v>
      </c>
      <c r="G93" s="4" t="str">
        <v>CTD</v>
      </c>
      <c r="H93" s="4" t="str">
        <v>CTD</v>
      </c>
      <c r="I93" s="4" t="str">
        <v>CTD</v>
      </c>
      <c r="J93" s="4" t="str">
        <v>HCM</v>
      </c>
      <c r="K93" s="4" t="str">
        <v>In Use</v>
      </c>
    </row>
    <row r="94" spans="1:11" hidden="1">
      <c r="A94" s="4">
        <v>350</v>
      </c>
      <c r="B94" s="4" t="str">
        <v>LAP0126</v>
      </c>
      <c r="C94" s="4" t="str">
        <v>Macbook Pro M4 24GB |  1TB</v>
      </c>
      <c r="D94" s="4" t="str">
        <v>HD2H0W34WG</v>
      </c>
      <c r="E94" s="4" t="str">
        <v>Nguyễn Viết Khải</v>
      </c>
      <c r="F94" s="4" t="str">
        <v>khainv</v>
      </c>
      <c r="G94" s="4" t="str">
        <v>Undirect IT Staff</v>
      </c>
      <c r="H94" s="4" t="str">
        <v>Tech</v>
      </c>
      <c r="I94" s="4" t="str">
        <v>Operation Team</v>
      </c>
      <c r="J94" s="4" t="str">
        <v>HCM</v>
      </c>
      <c r="K94" s="4" t="str">
        <v>In Stock</v>
      </c>
    </row>
    <row r="95" spans="1:11" hidden="1">
      <c r="A95" s="4">
        <v>509</v>
      </c>
      <c r="B95" s="4" t="str">
        <v>LAP0132</v>
      </c>
      <c r="C95" s="4" t="str">
        <v>Lenovo ThinkPad T14 i7 16GB | 512GB</v>
      </c>
      <c r="D95" s="4" t="str">
        <v>PF5K4CZ8</v>
      </c>
      <c r="E95" s="4" t="str">
        <v>Lê Quý Vân Anh</v>
      </c>
      <c r="F95" s="4" t="str">
        <v>anhlqv</v>
      </c>
      <c r="G95" s="4" t="str">
        <v>BO</v>
      </c>
      <c r="H95" s="4" t="str">
        <v>Business Support</v>
      </c>
      <c r="I95" s="4" t="str">
        <v>Operation Team</v>
      </c>
      <c r="J95" s="4" t="str">
        <v>HCM</v>
      </c>
      <c r="K95" s="4" t="str">
        <v>In Stock</v>
      </c>
    </row>
    <row r="96" spans="1:11" hidden="1">
      <c r="A96" s="4">
        <v>510</v>
      </c>
      <c r="B96" s="4" t="str">
        <v>LAP0133</v>
      </c>
      <c r="C96" s="4" t="str">
        <v>Lenovo ThinkPad T14 i7 16GB | 512GB</v>
      </c>
      <c r="D96" s="4" t="str">
        <v>PF5K4D0J</v>
      </c>
      <c r="E96" s="4" t="str">
        <v>Lê Thị Kim Anh</v>
      </c>
      <c r="F96" s="4" t="str">
        <v>anhltk</v>
      </c>
      <c r="G96" s="4" t="str">
        <v>BO</v>
      </c>
      <c r="H96" s="4" t="str">
        <v>Business Support</v>
      </c>
      <c r="I96" s="4" t="str">
        <v>Operation Team</v>
      </c>
      <c r="J96" s="4" t="str">
        <v>HCM</v>
      </c>
      <c r="K96" s="4" t="str">
        <v>In Stock</v>
      </c>
    </row>
    <row r="97" spans="1:11" hidden="1">
      <c r="A97" s="4">
        <v>511</v>
      </c>
      <c r="B97" s="4" t="str">
        <v>LAP0134</v>
      </c>
      <c r="C97" s="4" t="str">
        <v>Lenovo ThinkPad T14 i7 16GB | 512GB</v>
      </c>
      <c r="D97" s="4" t="str">
        <v>PF5K4D1L</v>
      </c>
      <c r="E97" s="4" t="str">
        <v>IT Dept CTD</v>
      </c>
      <c r="F97" s="4" t="str">
        <v>IT</v>
      </c>
      <c r="G97" s="4" t="str">
        <v>CTD</v>
      </c>
      <c r="H97" s="4" t="str">
        <v>CTD</v>
      </c>
      <c r="I97" s="4" t="str">
        <v>CTD</v>
      </c>
      <c r="J97" s="4" t="str">
        <v>HCM</v>
      </c>
      <c r="K97" s="4" t="str">
        <v>In Use</v>
      </c>
    </row>
    <row r="98" spans="1:11" hidden="1">
      <c r="A98" s="4">
        <v>512</v>
      </c>
      <c r="B98" s="4" t="str">
        <v>LAP0135</v>
      </c>
      <c r="C98" s="4" t="str">
        <v>Lenovo ThinkPad T14 i7 16GB | 512GB</v>
      </c>
      <c r="D98" s="4" t="str">
        <v>PF5K4D2K</v>
      </c>
      <c r="E98" s="4" t="str">
        <v>Đoàn Hà Mi</v>
      </c>
      <c r="F98" s="4" t="str">
        <v>midh</v>
      </c>
      <c r="G98" s="4" t="str">
        <v>BO</v>
      </c>
      <c r="H98" s="4" t="str">
        <v>Business Support</v>
      </c>
      <c r="I98" s="4" t="str">
        <v>Operation Team</v>
      </c>
      <c r="J98" s="4" t="str">
        <v>HCM</v>
      </c>
      <c r="K98" s="4" t="str">
        <v>In Use</v>
      </c>
    </row>
    <row r="99" spans="1:11" hidden="1">
      <c r="A99" s="4">
        <v>513</v>
      </c>
      <c r="B99" s="4" t="str">
        <v>LAP0136</v>
      </c>
      <c r="C99" s="4" t="str">
        <v>Lenovo ThinkPad T14 i7 16GB | 512GB</v>
      </c>
      <c r="D99" s="4" t="str">
        <v>PF5K4D48</v>
      </c>
      <c r="E99" s="4" t="str">
        <v/>
      </c>
      <c r="F99" s="4">
        <v>0</v>
      </c>
      <c r="G99" s="4" t="str">
        <v/>
      </c>
      <c r="H99" s="4" t="str">
        <v/>
      </c>
      <c r="I99" s="4" t="str">
        <v/>
      </c>
      <c r="J99" s="4" t="str">
        <v>HCM</v>
      </c>
      <c r="K99" s="4" t="str">
        <v>In Stock</v>
      </c>
    </row>
    <row r="100" spans="1:11" hidden="1">
      <c r="A100" s="4">
        <v>514</v>
      </c>
      <c r="B100" s="4" t="str">
        <v>LAP0137</v>
      </c>
      <c r="C100" s="4" t="str">
        <v>Lenovo ThinkPad T14 i7 16GB | 512GB</v>
      </c>
      <c r="D100" s="4" t="str">
        <v>PF5K4D5G</v>
      </c>
      <c r="E100" s="4" t="str">
        <v>Hoàng Thị Trang</v>
      </c>
      <c r="F100" s="4" t="str">
        <v>tranght</v>
      </c>
      <c r="G100" s="4" t="str">
        <v>BO</v>
      </c>
      <c r="H100" s="4" t="str">
        <v>Business Support</v>
      </c>
      <c r="I100" s="4" t="str">
        <v>Operation Team</v>
      </c>
      <c r="J100" s="4" t="str">
        <v>HCM</v>
      </c>
      <c r="K100" s="4" t="str">
        <v>In Use</v>
      </c>
    </row>
    <row r="101" spans="1:11" hidden="1">
      <c r="A101" s="4">
        <v>515</v>
      </c>
      <c r="B101" s="4" t="str">
        <v>LAP0138</v>
      </c>
      <c r="C101" s="4" t="str">
        <v>Lenovo ThinkPad T14 i7 16GB | 512GB</v>
      </c>
      <c r="D101" s="4" t="str">
        <v>PF5K6B5J</v>
      </c>
      <c r="E101" s="4" t="str">
        <v/>
      </c>
      <c r="F101" s="4">
        <v>0</v>
      </c>
      <c r="G101" s="4" t="str">
        <v/>
      </c>
      <c r="H101" s="4" t="str">
        <v/>
      </c>
      <c r="I101" s="4" t="str">
        <v/>
      </c>
      <c r="J101" s="4" t="str">
        <v>HCM</v>
      </c>
      <c r="K101" s="4" t="str">
        <v>In Stock</v>
      </c>
    </row>
    <row r="102" spans="1:11" hidden="1">
      <c r="A102" s="4">
        <v>516</v>
      </c>
      <c r="B102" s="4" t="str">
        <v>LAP0139</v>
      </c>
      <c r="C102" s="4" t="str">
        <v>Lenovo ThinkPad T14 i7 16GB | 512GB</v>
      </c>
      <c r="D102" s="4" t="str">
        <v>PF5K6B67</v>
      </c>
      <c r="E102" s="4" t="str">
        <v/>
      </c>
      <c r="F102" s="4">
        <v>0</v>
      </c>
      <c r="G102" s="4" t="str">
        <v/>
      </c>
      <c r="H102" s="4" t="str">
        <v/>
      </c>
      <c r="I102" s="4" t="str">
        <v/>
      </c>
      <c r="J102" s="4" t="str">
        <v>HCM</v>
      </c>
      <c r="K102" s="4" t="str">
        <v>In Stock</v>
      </c>
    </row>
    <row r="103" spans="1:11" hidden="1">
      <c r="A103" s="4">
        <v>517</v>
      </c>
      <c r="B103" s="4" t="str">
        <v>LAP0140</v>
      </c>
      <c r="C103" s="4" t="str">
        <v>Lenovo ThinkPad T14 i7 16GB | 512GB</v>
      </c>
      <c r="D103" s="4" t="str">
        <v>PF5K6B7C</v>
      </c>
      <c r="E103" s="4" t="str">
        <v/>
      </c>
      <c r="F103" s="4">
        <v>0</v>
      </c>
      <c r="G103" s="4" t="str">
        <v/>
      </c>
      <c r="H103" s="4" t="str">
        <v/>
      </c>
      <c r="I103" s="4" t="str">
        <v/>
      </c>
      <c r="J103" s="4" t="str">
        <v>HCM</v>
      </c>
      <c r="K103" s="4" t="str">
        <v>In Stock</v>
      </c>
    </row>
    <row r="104" spans="1:11" hidden="1">
      <c r="A104" s="4">
        <v>519</v>
      </c>
      <c r="B104" s="4" t="str">
        <v>LAP0142</v>
      </c>
      <c r="C104" s="4" t="str">
        <v>Lenovo ThinkPad T14 i7 32GB | 512GB</v>
      </c>
      <c r="D104" s="4" t="str">
        <v>PF5K3PQN</v>
      </c>
      <c r="E104" s="4" t="str">
        <v/>
      </c>
      <c r="F104" s="4">
        <v>0</v>
      </c>
      <c r="G104" s="4" t="str">
        <v/>
      </c>
      <c r="H104" s="4" t="str">
        <v/>
      </c>
      <c r="I104" s="4" t="str">
        <v/>
      </c>
      <c r="J104" s="4" t="str">
        <v>HCM</v>
      </c>
      <c r="K104" s="4" t="str">
        <v>In Stock</v>
      </c>
    </row>
    <row r="105" spans="1:11" hidden="1">
      <c r="A105" s="49">
        <v>521</v>
      </c>
      <c r="B105" s="49" t="str">
        <v>LAP0144</v>
      </c>
      <c r="C105" s="49" t="str">
        <v>Lenovo ThinkPad T14 i7 32GB | 512GB</v>
      </c>
      <c r="D105" s="49" t="str">
        <v>PF5K3SF5</v>
      </c>
      <c r="E105" s="49" t="str">
        <v/>
      </c>
      <c r="F105" s="49">
        <v>0</v>
      </c>
      <c r="G105" s="49" t="str">
        <v/>
      </c>
      <c r="H105" s="49" t="str">
        <v/>
      </c>
      <c r="I105" s="49" t="str">
        <v/>
      </c>
      <c r="J105" s="49" t="str">
        <v>HCM</v>
      </c>
      <c r="K105" s="49" t="str">
        <v>In Stock</v>
      </c>
    </row>
    <row r="106" spans="1:11" hidden="1">
      <c r="A106" s="4">
        <v>522</v>
      </c>
      <c r="B106" s="4" t="str">
        <v>LAP0145</v>
      </c>
      <c r="C106" s="4" t="str">
        <v>Lenovo ThinkPad T14 i7 32GB | 512GB</v>
      </c>
      <c r="D106" s="4" t="str">
        <v>PF5K3SFQ</v>
      </c>
      <c r="E106" s="4" t="str">
        <v/>
      </c>
      <c r="F106" s="4">
        <v>0</v>
      </c>
      <c r="G106" s="4" t="str">
        <v/>
      </c>
      <c r="H106" s="4" t="str">
        <v/>
      </c>
      <c r="I106" s="4" t="str">
        <v/>
      </c>
      <c r="J106" s="4" t="str">
        <v>HCM</v>
      </c>
      <c r="K106" s="4" t="str">
        <v>In Stock</v>
      </c>
    </row>
    <row r="107" spans="1:11" hidden="1">
      <c r="A107" s="4">
        <v>523</v>
      </c>
      <c r="B107" s="4" t="str">
        <v>LAP0146</v>
      </c>
      <c r="C107" s="4" t="str">
        <v>Lenovo ThinkPad T14 i7 32GB | 512GB</v>
      </c>
      <c r="D107" s="4" t="str">
        <v>PF5K3SJ0</v>
      </c>
      <c r="E107" s="4" t="str">
        <v>Hồ Ngọc Danh</v>
      </c>
      <c r="F107" s="4" t="str">
        <v>danhhn</v>
      </c>
      <c r="G107" s="4" t="str">
        <v>Project</v>
      </c>
      <c r="H107" s="4" t="str">
        <v>Tech</v>
      </c>
      <c r="I107" s="4" t="str">
        <v>Venture</v>
      </c>
      <c r="J107" s="4" t="str">
        <v>HCM</v>
      </c>
      <c r="K107" s="4" t="str">
        <v>In Use</v>
      </c>
    </row>
    <row r="108" spans="1:11" hidden="1">
      <c r="A108" s="4">
        <v>524</v>
      </c>
      <c r="B108" s="4" t="str">
        <v>LAP0147</v>
      </c>
      <c r="C108" s="4" t="str">
        <v>Lenovo ThinkPad T14 i7 32GB | 512GB</v>
      </c>
      <c r="D108" s="4" t="str">
        <v>PF5K3SJJ</v>
      </c>
      <c r="E108" s="4" t="str">
        <v/>
      </c>
      <c r="F108" s="4">
        <v>0</v>
      </c>
      <c r="G108" s="4" t="str">
        <v/>
      </c>
      <c r="H108" s="4" t="str">
        <v/>
      </c>
      <c r="I108" s="4" t="str">
        <v/>
      </c>
      <c r="J108" s="4" t="str">
        <v>HCM</v>
      </c>
      <c r="K108" s="4" t="str">
        <v>In Stock</v>
      </c>
    </row>
    <row r="109" spans="1:11" hidden="1">
      <c r="A109" s="49">
        <v>526</v>
      </c>
      <c r="B109" s="49" t="str">
        <v>LAP0149</v>
      </c>
      <c r="C109" s="49" t="str">
        <v>Lenovo ThinkPad T14 i7 32GB | 512GB</v>
      </c>
      <c r="D109" s="49" t="str">
        <v>PF5K5AX0</v>
      </c>
      <c r="E109" s="49" t="str">
        <v>Nguyễn Viết Khải</v>
      </c>
      <c r="F109" s="49" t="str">
        <v>khainv</v>
      </c>
      <c r="G109" s="49" t="str">
        <v>Undirect IT Staff</v>
      </c>
      <c r="H109" s="49" t="str">
        <v>Tech</v>
      </c>
      <c r="I109" s="49" t="str">
        <v>Operation Team</v>
      </c>
      <c r="J109" s="49" t="str">
        <v>HCM</v>
      </c>
      <c r="K109" s="49" t="str">
        <v>In Use</v>
      </c>
    </row>
    <row r="110" spans="1:11" hidden="1">
      <c r="A110" s="4">
        <v>527</v>
      </c>
      <c r="B110" s="4" t="str">
        <v>LAP0150</v>
      </c>
      <c r="C110" s="4" t="str">
        <v>Lenovo ThinkPad T14 i7 32GB | 512GB</v>
      </c>
      <c r="D110" s="4" t="str">
        <v>PF5K5AY8</v>
      </c>
      <c r="E110" s="4" t="str">
        <v>Nguyễn Thị My Sa</v>
      </c>
      <c r="F110" s="4" t="str">
        <v>santm</v>
      </c>
      <c r="G110" s="4" t="str">
        <v>CTD</v>
      </c>
      <c r="H110" s="4" t="str">
        <v>CTD</v>
      </c>
      <c r="I110" s="4" t="str">
        <v>CTD</v>
      </c>
      <c r="J110" s="4" t="str">
        <v>HCM</v>
      </c>
      <c r="K110" s="4" t="str">
        <v>In Use</v>
      </c>
    </row>
  </sheetData>
  <autoFilter ref="A1:K110" xr:uid="{00783E5C-B426-45F0-AEFD-3469E0576034}">
    <filterColumn colId="10">
      <filters>
        <filter val="Damaged"/>
      </filters>
    </filterColumn>
  </autoFilter>
  <conditionalFormatting sqref="A2:K500">
    <cfRule type="expression" dxfId="24" priority="1">
      <formula>$K2="In Stock"</formula>
    </cfRule>
  </conditionalFormatting>
  <conditionalFormatting sqref="A2:K500">
    <cfRule type="expression" dxfId="23" priority="2">
      <formula>$K2="In Use"</formula>
    </cfRule>
  </conditionalFormatting>
  <conditionalFormatting sqref="A2:K500">
    <cfRule type="expression" dxfId="22" priority="3">
      <formula>$K2="Damaged"</formula>
    </cfRule>
  </conditionalFormatting>
  <conditionalFormatting sqref="A2:K500">
    <cfRule type="expression" dxfId="21" priority="4">
      <formula>$K2="Sold"</formula>
    </cfRule>
  </conditionalFormatting>
  <conditionalFormatting sqref="A2:K500">
    <cfRule type="expression" dxfId="20" priority="5">
      <formula>$K2="Lost"</formula>
    </cfRule>
  </conditionalFormatting>
  <conditionalFormatting sqref="A2:K532">
    <cfRule type="expression" dxfId="19" priority="6" stopIfTrue="1">
      <formula>$K2="Warranty"</formula>
    </cfRule>
  </conditionalFormatting>
  <dataValidations count="1">
    <dataValidation type="list" allowBlank="1" showInputMessage="1" showErrorMessage="1" errorTitle="Invalid Condition" error="Please select a condition from the drop-down list." sqref="K2:K110" xr:uid="{8316AE18-0F99-4442-A919-8A8A7941DD92}">
      <formula1>"In Use,In Stock,Lost,Low Perf,Damaged,Warranty"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DA564-5337-4359-88B9-A726C9A136F9}">
  <sheetPr filterMode="1">
    <tabColor rgb="FF0070C0"/>
  </sheetPr>
  <dimension ref="A1:K69"/>
  <sheetViews>
    <sheetView workbookViewId="0">
      <selection activeCell="K3" sqref="K3"/>
    </sheetView>
  </sheetViews>
  <sheetFormatPr defaultRowHeight="15"/>
  <cols>
    <col min="1" max="1" width="4.42578125" bestFit="1" customWidth="1"/>
    <col min="2" max="2" width="9.85546875" bestFit="1" customWidth="1"/>
    <col min="3" max="3" width="30.7109375" bestFit="1" customWidth="1"/>
    <col min="4" max="4" width="10.7109375" bestFit="1" customWidth="1"/>
    <col min="5" max="5" width="24" bestFit="1" customWidth="1"/>
    <col min="6" max="6" width="12.28515625" bestFit="1" customWidth="1"/>
    <col min="7" max="7" width="14.85546875" bestFit="1" customWidth="1"/>
    <col min="8" max="8" width="16.140625" bestFit="1" customWidth="1"/>
    <col min="9" max="9" width="15" bestFit="1" customWidth="1"/>
    <col min="10" max="10" width="8.85546875" bestFit="1" customWidth="1"/>
    <col min="11" max="11" width="9.85546875" bestFit="1" customWidth="1"/>
  </cols>
  <sheetData>
    <row r="1" spans="1:11">
      <c r="A1" s="36" t="s">
        <v>61</v>
      </c>
      <c r="B1" s="36" t="s">
        <v>43</v>
      </c>
      <c r="C1" s="36" t="s">
        <v>45</v>
      </c>
      <c r="D1" s="36" t="s">
        <v>68</v>
      </c>
      <c r="E1" s="36" t="s">
        <v>88</v>
      </c>
      <c r="F1" s="36" t="s">
        <v>89</v>
      </c>
      <c r="G1" s="36" t="s">
        <v>25</v>
      </c>
      <c r="H1" s="36" t="s">
        <v>64</v>
      </c>
      <c r="I1" s="36" t="s">
        <v>27</v>
      </c>
      <c r="J1" s="36" t="s">
        <v>13</v>
      </c>
      <c r="K1" s="36" t="s">
        <v>63</v>
      </c>
    </row>
    <row r="2" spans="1:11" hidden="1">
      <c r="A2" s="4" cm="1">
        <f t="array" ref="A2:A69">IFERROR(_xlfn._xlws.FILTER(Detail!A2:A532,(Detail!B2:B532="MONITOR")*((Detail!C2:C532="In Use")+(Detail!C2:C532="In Stock")+(Detail!C2:C532="Damaged")+(Detail!C2:C532="Sold")+(Detail!C2:C532="Lost")+(Detail!C2:C532="Warranty"))*((Detail!G2:G532="HCM")+(Detail!G2:G532="HN")),""),"")</f>
        <v>2</v>
      </c>
      <c r="B2" s="4" t="str" cm="1">
        <f t="array" ref="B2:B69">IFERROR(_xlfn._xlws.FILTER(Detail!I2:I532,(Detail!B2:B532="MONITOR")*((Detail!C2:C532="In Use")+(Detail!C2:C532="In Stock")+(Detail!C2:C532="Damaged")+(Detail!C2:C532="Sold")+(Detail!C2:C532="Lost")+(Detail!C2:C532="Warranty"))*((Detail!G2:G532="HCM")+(Detail!G2:G532="HN")),""),"")</f>
        <v>MON0001</v>
      </c>
      <c r="C2" s="4" t="str" cm="1">
        <f t="array" ref="C2:C69">IFERROR(_xlfn._xlws.FILTER(Detail!K2:K532,(Detail!B2:B532="MONITOR")*((Detail!C2:C532="In Use")+(Detail!C2:C532="In Stock")+(Detail!C2:C532="Damaged")+(Detail!C2:C532="Sold")+(Detail!C2:C532="Lost")+(Detail!C2:C532="Warranty"))*((Detail!G2:G532="HCM")+(Detail!G2:G532="HN")),""),"")</f>
        <v>Dell P2425H 24 inches</v>
      </c>
      <c r="D2" s="4" t="str" cm="1">
        <f t="array" ref="D2:D69">IFERROR(_xlfn._xlws.FILTER(Detail!P2:P532,(Detail!B2:B532="MONITOR")*((Detail!C2:C532="In Use")+(Detail!C2:C532="In Stock")+(Detail!C2:C532="Damaged")+(Detail!C2:C532="Sold")+(Detail!C2:C532="Lost")+(Detail!C2:C532="Warranty"))*((Detail!G2:G532="HCM")+(Detail!G2:G532="HN")),""),"")</f>
        <v>331PK34</v>
      </c>
      <c r="E2" s="4" t="str" cm="1">
        <f t="array" ref="E2:E69">IFERROR(_xlfn._xlws.FILTER(Detail!AJ2:AJ532,(Detail!B2:B532="MONITOR")*((Detail!C2:C532="In Use")+(Detail!C2:C532="In Stock")+(Detail!C2:C532="Damaged")+(Detail!C2:C532="Sold")+(Detail!C2:C532="Lost")+(Detail!C2:C532="Warranty"))*((Detail!G2:G532="HCM")+(Detail!G2:G532="HN")),""),"")</f>
        <v>Bùi Quốc Thái</v>
      </c>
      <c r="F2" s="4" t="str" cm="1">
        <f t="array" ref="F2:F69">IFERROR(_xlfn._xlws.FILTER(Detail!AK2:AK532,(Detail!B2:B532="MONITOR")*((Detail!C2:C532="In Use")+(Detail!C2:C532="In Stock")+(Detail!C2:C532="Damaged")+(Detail!C2:C532="Sold")+(Detail!C2:C532="Lost")+(Detail!C2:C532="Warranty"))*((Detail!G2:G532="HCM")+(Detail!G2:G532="HN")),""),"")</f>
        <v>thaibq</v>
      </c>
      <c r="G2" s="4" t="str" cm="1">
        <f t="array" ref="G2:G69">IFERROR(_xlfn._xlws.FILTER(Detail!D2:D532,(Detail!B2:B532="MONITOR")*((Detail!C2:C532="In Use")+(Detail!C2:C532="In Stock")+(Detail!C2:C532="Damaged")+(Detail!C2:C532="Sold")+(Detail!C2:C532="Lost")+(Detail!C2:C532="Warranty"))*((Detail!G2:G532="HCM")+(Detail!G2:G532="HN")),""),"")</f>
        <v>Project</v>
      </c>
      <c r="H2" s="4" t="str" cm="1">
        <f t="array" ref="H2:H69">IFERROR(_xlfn._xlws.FILTER(Detail!E2:E532,(Detail!B2:B532="MONITOR")*((Detail!C2:C532="In Use")+(Detail!C2:C532="In Stock")+(Detail!C2:C532="Damaged")+(Detail!C2:C532="Sold")+(Detail!C2:C532="Lost")+(Detail!C2:C532="Warranty"))*((Detail!G2:G532="HCM")+(Detail!G2:G532="HN")),""),"")</f>
        <v>Tech</v>
      </c>
      <c r="I2" s="4" t="str" cm="1">
        <f t="array" ref="I2:I69">IFERROR(_xlfn._xlws.FILTER(Detail!F2:F532,(Detail!B2:B532="MONITOR")*((Detail!C2:C532="In Use")+(Detail!C2:C532="In Stock")+(Detail!C2:C532="Damaged")+(Detail!C2:C532="Sold")+(Detail!C2:C532="Lost")+(Detail!C2:C532="Warranty"))*((Detail!G2:G532="HCM")+(Detail!G2:G532="HN")),""),"")</f>
        <v>Venture</v>
      </c>
      <c r="J2" s="4" t="str" cm="1">
        <f t="array" ref="J2:J69">IFERROR(_xlfn._xlws.FILTER(Detail!G2:G532,(Detail!B2:B532="MONITOR")*((Detail!C2:C532="In Use")+(Detail!C2:C532="In Stock")+(Detail!C2:C532="Damaged")+(Detail!C2:C532="Sold")+(Detail!C2:C532="Lost")+(Detail!C2:C532="Warranty"))*((Detail!G2:G532="HCM")+(Detail!G2:G532="HN")),""),"")</f>
        <v>HCM</v>
      </c>
      <c r="K2" s="4" t="str" cm="1">
        <f t="array" ref="K2:K69">IFERROR(_xlfn._xlws.FILTER(Detail!C2:C532,(Detail!B2:B532="MONITOR")*((Detail!C2:C532="In Use")+(Detail!C2:C532="In Stock")+(Detail!C2:C532="Damaged")+(Detail!C2:C532="Sold")+(Detail!C2:C532="Lost")+(Detail!C2:C532="Warranty"))*((Detail!G2:G532="HCM")+(Detail!G2:G532="HN")),""),"")</f>
        <v>In Use</v>
      </c>
    </row>
    <row r="3" spans="1:11" hidden="1">
      <c r="A3" s="4">
        <v>109</v>
      </c>
      <c r="B3" s="4" t="str">
        <v>MON0003</v>
      </c>
      <c r="C3" s="4" t="str">
        <v>Dell P2425H 24 inches</v>
      </c>
      <c r="D3" s="4" t="str">
        <v xml:space="preserve">CF68104 </v>
      </c>
      <c r="E3" s="4" t="str">
        <v/>
      </c>
      <c r="F3" s="4">
        <v>0</v>
      </c>
      <c r="G3" s="4" t="str">
        <v/>
      </c>
      <c r="H3" s="4" t="str">
        <v/>
      </c>
      <c r="I3" s="4" t="str">
        <v/>
      </c>
      <c r="J3" s="4" t="str">
        <v>HCM</v>
      </c>
      <c r="K3" s="4" t="str">
        <v>In Stock</v>
      </c>
    </row>
    <row r="4" spans="1:11" hidden="1">
      <c r="A4" s="4">
        <v>110</v>
      </c>
      <c r="B4" s="4" t="str">
        <v>MON0004</v>
      </c>
      <c r="C4" s="4" t="str">
        <v>Dell P2422H 24 inches</v>
      </c>
      <c r="D4" s="4" t="str">
        <v xml:space="preserve">DY4B0K3 </v>
      </c>
      <c r="E4" s="4" t="str">
        <v>Huỳnh Nguyên Phương</v>
      </c>
      <c r="F4" s="4" t="str">
        <v>phuonghn</v>
      </c>
      <c r="G4" s="4" t="str">
        <v>Project</v>
      </c>
      <c r="H4" s="4" t="str">
        <v>Tech</v>
      </c>
      <c r="I4" s="4" t="str">
        <v>Resource Pool</v>
      </c>
      <c r="J4" s="4" t="str">
        <v>HCM</v>
      </c>
      <c r="K4" s="4" t="str">
        <v>In Use</v>
      </c>
    </row>
    <row r="5" spans="1:11" hidden="1">
      <c r="A5" s="4">
        <v>111</v>
      </c>
      <c r="B5" s="4" t="str">
        <v>MON0005</v>
      </c>
      <c r="C5" s="4" t="str">
        <v>Dell P2422H 24 inches</v>
      </c>
      <c r="D5" s="4" t="str">
        <v>95J38M3</v>
      </c>
      <c r="E5" s="4" t="str">
        <v>Trần Hoàng Anh</v>
      </c>
      <c r="F5" s="4" t="str">
        <v>anhth</v>
      </c>
      <c r="G5" s="4" t="str">
        <v>Project</v>
      </c>
      <c r="H5" s="4" t="str">
        <v>Data</v>
      </c>
      <c r="I5" s="4" t="str">
        <v>Venture</v>
      </c>
      <c r="J5" s="4" t="str">
        <v>HCM</v>
      </c>
      <c r="K5" s="4" t="str">
        <v>In Use</v>
      </c>
    </row>
    <row r="6" spans="1:11" hidden="1">
      <c r="A6" s="4">
        <v>112</v>
      </c>
      <c r="B6" s="4" t="str">
        <v>MON0006</v>
      </c>
      <c r="C6" s="4" t="str">
        <v>Dell P2422H 24 inches</v>
      </c>
      <c r="D6" s="4" t="str">
        <v xml:space="preserve">438T8M3 </v>
      </c>
      <c r="E6" s="4" t="str">
        <v>IT Dept CTD</v>
      </c>
      <c r="F6" s="4" t="str">
        <v>IT</v>
      </c>
      <c r="G6" s="4" t="str">
        <v>CTD</v>
      </c>
      <c r="H6" s="4" t="str">
        <v>CTD</v>
      </c>
      <c r="I6" s="4" t="str">
        <v>CTD</v>
      </c>
      <c r="J6" s="4" t="str">
        <v>HCM</v>
      </c>
      <c r="K6" s="4" t="str">
        <v>In Use</v>
      </c>
    </row>
    <row r="7" spans="1:11" hidden="1">
      <c r="A7" s="4">
        <v>113</v>
      </c>
      <c r="B7" s="4" t="str">
        <v>MON0007</v>
      </c>
      <c r="C7" s="4" t="str">
        <v>Dell P2422H 24 inches</v>
      </c>
      <c r="D7" s="4" t="str">
        <v>FKW90K3</v>
      </c>
      <c r="E7" s="4" t="str">
        <v>IT Dept CTD</v>
      </c>
      <c r="F7" s="4" t="str">
        <v>IT</v>
      </c>
      <c r="G7" s="4" t="str">
        <v>CTD</v>
      </c>
      <c r="H7" s="4" t="str">
        <v>CTD</v>
      </c>
      <c r="I7" s="4" t="str">
        <v>CTD</v>
      </c>
      <c r="J7" s="4" t="str">
        <v>HCM</v>
      </c>
      <c r="K7" s="4" t="str">
        <v>In Use</v>
      </c>
    </row>
    <row r="8" spans="1:11" hidden="1">
      <c r="A8" s="4">
        <v>115</v>
      </c>
      <c r="B8" s="4" t="str">
        <v>MON0009</v>
      </c>
      <c r="C8" s="4" t="str">
        <v>Dell Ultrasharp U2520D 25 inches</v>
      </c>
      <c r="D8" s="4" t="str">
        <v xml:space="preserve">6JS9923 </v>
      </c>
      <c r="E8" s="4" t="str">
        <v>Trịnh Minh Toàn</v>
      </c>
      <c r="F8" s="4" t="str">
        <v>toantm3</v>
      </c>
      <c r="G8" s="4" t="str">
        <v>Project</v>
      </c>
      <c r="H8" s="4" t="str">
        <v>Tech</v>
      </c>
      <c r="I8" s="4" t="str">
        <v>Venture</v>
      </c>
      <c r="J8" s="4" t="str">
        <v>HCM</v>
      </c>
      <c r="K8" s="4" t="str">
        <v>In Use</v>
      </c>
    </row>
    <row r="9" spans="1:11" hidden="1">
      <c r="A9" s="4">
        <v>124</v>
      </c>
      <c r="B9" s="4" t="str">
        <v>MON0018</v>
      </c>
      <c r="C9" s="4" t="str">
        <v>Dell Ultrasharp U2520D 25 inches</v>
      </c>
      <c r="D9" s="4" t="str">
        <v>DNQJ923</v>
      </c>
      <c r="E9" s="4" t="str">
        <v>Nguyễn Hồ Quốc Thịnh</v>
      </c>
      <c r="F9" s="4" t="str">
        <v>thinhnhq</v>
      </c>
      <c r="G9" s="4" t="str">
        <v>Project</v>
      </c>
      <c r="H9" s="4" t="str">
        <v>Tech</v>
      </c>
      <c r="I9" s="4" t="str">
        <v>Venture</v>
      </c>
      <c r="J9" s="4" t="str">
        <v>HCM</v>
      </c>
      <c r="K9" s="4" t="str">
        <v>In Use</v>
      </c>
    </row>
    <row r="10" spans="1:11" hidden="1">
      <c r="A10" s="4">
        <v>126</v>
      </c>
      <c r="B10" s="4" t="str">
        <v>MON0020</v>
      </c>
      <c r="C10" s="4" t="str">
        <v>Dell Ultrasharp U2520D 25 inches</v>
      </c>
      <c r="D10" s="4" t="str">
        <v xml:space="preserve">4GQJ923 </v>
      </c>
      <c r="E10" s="4" t="str">
        <v>Đoàn Nhật Duẩn</v>
      </c>
      <c r="F10" s="4" t="str">
        <v>duandn</v>
      </c>
      <c r="G10" s="4" t="str">
        <v>Project</v>
      </c>
      <c r="H10" s="4" t="str">
        <v>Tech</v>
      </c>
      <c r="I10" s="4" t="str">
        <v>Venture</v>
      </c>
      <c r="J10" s="4" t="str">
        <v>HCM</v>
      </c>
      <c r="K10" s="4" t="str">
        <v>In Use</v>
      </c>
    </row>
    <row r="11" spans="1:11" hidden="1">
      <c r="A11" s="4">
        <v>130</v>
      </c>
      <c r="B11" s="4" t="str">
        <v>MON0024</v>
      </c>
      <c r="C11" s="4" t="str">
        <v>Dell Ultrasharp U2520D 25 inches</v>
      </c>
      <c r="D11" s="4" t="str">
        <v xml:space="preserve">JHQJ923 </v>
      </c>
      <c r="E11" s="4" t="str">
        <v>Võ Lê Nguyên Khang</v>
      </c>
      <c r="F11" s="4" t="str">
        <v>khangvln</v>
      </c>
      <c r="G11" s="4" t="str">
        <v>BO</v>
      </c>
      <c r="H11" s="4" t="str">
        <v>Business Support</v>
      </c>
      <c r="I11" s="4" t="str">
        <v>Operation Team</v>
      </c>
      <c r="J11" s="4" t="str">
        <v>HCM</v>
      </c>
      <c r="K11" s="4" t="str">
        <v>In Use</v>
      </c>
    </row>
    <row r="12" spans="1:11" hidden="1">
      <c r="A12" s="4">
        <v>131</v>
      </c>
      <c r="B12" s="4" t="str">
        <v>MON0025</v>
      </c>
      <c r="C12" s="4" t="str">
        <v>Dell Ultrasharp U2520D 25 inches</v>
      </c>
      <c r="D12" s="4" t="str">
        <v xml:space="preserve">BXQJ923 </v>
      </c>
      <c r="E12" s="4" t="str">
        <v>Phùng Thanh Huy</v>
      </c>
      <c r="F12" s="4" t="str">
        <v>huypt3</v>
      </c>
      <c r="G12" s="4" t="str">
        <v>Project</v>
      </c>
      <c r="H12" s="4" t="str">
        <v>Tech</v>
      </c>
      <c r="I12" s="4" t="str">
        <v>Venture</v>
      </c>
      <c r="J12" s="4" t="str">
        <v>HCM</v>
      </c>
      <c r="K12" s="4" t="str">
        <v>In Use</v>
      </c>
    </row>
    <row r="13" spans="1:11" hidden="1">
      <c r="A13" s="4">
        <v>132</v>
      </c>
      <c r="B13" s="4" t="str">
        <v>MON0026</v>
      </c>
      <c r="C13" s="4" t="str">
        <v>Dell Ultrasharp U2520D 25 inches</v>
      </c>
      <c r="D13" s="4" t="str">
        <v xml:space="preserve">5YQJ923 </v>
      </c>
      <c r="E13" s="4" t="str">
        <v>Lê Cao Long Nhật</v>
      </c>
      <c r="F13" s="4" t="str">
        <v>nhatlcl</v>
      </c>
      <c r="G13" s="4" t="str">
        <v>Project</v>
      </c>
      <c r="H13" s="4" t="str">
        <v>Tech</v>
      </c>
      <c r="I13" s="4" t="str">
        <v>Venture</v>
      </c>
      <c r="J13" s="4" t="str">
        <v>HCM</v>
      </c>
      <c r="K13" s="4" t="str">
        <v>In Use</v>
      </c>
    </row>
    <row r="14" spans="1:11" hidden="1">
      <c r="A14" s="4">
        <v>134</v>
      </c>
      <c r="B14" s="4" t="str">
        <v>MON0028</v>
      </c>
      <c r="C14" s="4" t="str">
        <v>Dell Ultrasharp U2520D 25 inches</v>
      </c>
      <c r="D14" s="4" t="str">
        <v xml:space="preserve">2HQJ923 </v>
      </c>
      <c r="E14" s="4" t="str">
        <v>Nguyễn Viết Khải</v>
      </c>
      <c r="F14" s="4" t="str">
        <v>khainv</v>
      </c>
      <c r="G14" s="4" t="str">
        <v>Undirect IT Staff</v>
      </c>
      <c r="H14" s="4" t="str">
        <v>Tech</v>
      </c>
      <c r="I14" s="4" t="str">
        <v>Operation Team</v>
      </c>
      <c r="J14" s="4" t="str">
        <v>HCM</v>
      </c>
      <c r="K14" s="4" t="str">
        <v>In Use</v>
      </c>
    </row>
    <row r="15" spans="1:11" hidden="1">
      <c r="A15" s="4">
        <v>135</v>
      </c>
      <c r="B15" s="4" t="str">
        <v>MON0029</v>
      </c>
      <c r="C15" s="4" t="str">
        <v>Dell Ultrasharp U2520D 25 inches</v>
      </c>
      <c r="D15" s="4" t="str">
        <v xml:space="preserve">DDQJ923 </v>
      </c>
      <c r="E15" s="4" t="str">
        <v>Nguyễn Thiện Nhân</v>
      </c>
      <c r="F15" s="4" t="str">
        <v>nhannt</v>
      </c>
      <c r="G15" s="4" t="str">
        <v>Project</v>
      </c>
      <c r="H15" s="4" t="str">
        <v>Tech</v>
      </c>
      <c r="I15" s="4" t="str">
        <v>Resource Pool</v>
      </c>
      <c r="J15" s="4" t="str">
        <v>HCM</v>
      </c>
      <c r="K15" s="4" t="str">
        <v>In Use</v>
      </c>
    </row>
    <row r="16" spans="1:11" hidden="1">
      <c r="A16" s="4">
        <v>136</v>
      </c>
      <c r="B16" s="4" t="str">
        <v>MON0030</v>
      </c>
      <c r="C16" s="4" t="str">
        <v>Dell P2425H 24 inches</v>
      </c>
      <c r="D16" s="4" t="str">
        <v xml:space="preserve">1G88104 </v>
      </c>
      <c r="E16" s="4" t="str">
        <v>IT Dept CTD</v>
      </c>
      <c r="F16" s="4" t="str">
        <v>IT</v>
      </c>
      <c r="G16" s="4" t="str">
        <v>CTD</v>
      </c>
      <c r="H16" s="4" t="str">
        <v>CTD</v>
      </c>
      <c r="I16" s="4" t="str">
        <v>CTD</v>
      </c>
      <c r="J16" s="4" t="str">
        <v>HCM</v>
      </c>
      <c r="K16" s="4" t="str">
        <v>In Use</v>
      </c>
    </row>
    <row r="17" spans="1:11" hidden="1">
      <c r="A17" s="4">
        <v>137</v>
      </c>
      <c r="B17" s="4" t="str">
        <v>MON0031</v>
      </c>
      <c r="C17" s="4" t="str">
        <v>Dell P2425H 24 inches</v>
      </c>
      <c r="D17" s="4" t="str">
        <v xml:space="preserve">HK68104 </v>
      </c>
      <c r="E17" s="4" t="str">
        <v>IT Dept CTD</v>
      </c>
      <c r="F17" s="4" t="str">
        <v>IT</v>
      </c>
      <c r="G17" s="4" t="str">
        <v>CTD</v>
      </c>
      <c r="H17" s="4" t="str">
        <v>CTD</v>
      </c>
      <c r="I17" s="4" t="str">
        <v>CTD</v>
      </c>
      <c r="J17" s="4" t="str">
        <v>HCM</v>
      </c>
      <c r="K17" s="4" t="str">
        <v>In Use</v>
      </c>
    </row>
    <row r="18" spans="1:11" hidden="1">
      <c r="A18" s="4">
        <v>138</v>
      </c>
      <c r="B18" s="4" t="str">
        <v>MON0032</v>
      </c>
      <c r="C18" s="4" t="str">
        <v>Dell P2425H 24 inches</v>
      </c>
      <c r="D18" s="4" t="str">
        <v xml:space="preserve">FR78104 </v>
      </c>
      <c r="E18" s="4" t="str">
        <v>Phạm Bằng</v>
      </c>
      <c r="F18" s="4" t="str">
        <v>bangp</v>
      </c>
      <c r="G18" s="4" t="str">
        <v>Project</v>
      </c>
      <c r="H18" s="4" t="str">
        <v>Data</v>
      </c>
      <c r="I18" s="4" t="str">
        <v>Resource Pool</v>
      </c>
      <c r="J18" s="4" t="str">
        <v>HCM</v>
      </c>
      <c r="K18" s="4" t="str">
        <v>In Use</v>
      </c>
    </row>
    <row r="19" spans="1:11" hidden="1">
      <c r="A19" s="4">
        <v>139</v>
      </c>
      <c r="B19" s="4" t="str">
        <v>MON0033</v>
      </c>
      <c r="C19" s="4" t="str">
        <v>Dell P2425H 24 inches</v>
      </c>
      <c r="D19" s="4" t="str">
        <v xml:space="preserve">HB78104 </v>
      </c>
      <c r="E19" s="4" t="str">
        <v>IT Dept CTD</v>
      </c>
      <c r="F19" s="4" t="str">
        <v>IT</v>
      </c>
      <c r="G19" s="4" t="str">
        <v>CTD</v>
      </c>
      <c r="H19" s="4" t="str">
        <v>CTD</v>
      </c>
      <c r="I19" s="4" t="str">
        <v>CTD</v>
      </c>
      <c r="J19" s="4" t="str">
        <v>HCM</v>
      </c>
      <c r="K19" s="4" t="str">
        <v>In Use</v>
      </c>
    </row>
    <row r="20" spans="1:11" hidden="1">
      <c r="A20" s="4">
        <v>140</v>
      </c>
      <c r="B20" s="4" t="str">
        <v>MON0034</v>
      </c>
      <c r="C20" s="4" t="str">
        <v>Dell P2425H 24 inches</v>
      </c>
      <c r="D20" s="4" t="str">
        <v xml:space="preserve">B598104 </v>
      </c>
      <c r="E20" s="4" t="str">
        <v>P.Datacenter F9</v>
      </c>
      <c r="F20" s="4" t="str">
        <v>server</v>
      </c>
      <c r="G20" s="4" t="str">
        <v>CTD</v>
      </c>
      <c r="H20" s="4" t="str">
        <v>CTD</v>
      </c>
      <c r="I20" s="4" t="str">
        <v>CTD</v>
      </c>
      <c r="J20" s="4" t="str">
        <v>HCM</v>
      </c>
      <c r="K20" s="4" t="str">
        <v>In Use</v>
      </c>
    </row>
    <row r="21" spans="1:11" hidden="1">
      <c r="A21" s="4">
        <v>141</v>
      </c>
      <c r="B21" s="4" t="str">
        <v>MON0035</v>
      </c>
      <c r="C21" s="4" t="str">
        <v>Dell P2425H 24 inches</v>
      </c>
      <c r="D21" s="4" t="str">
        <v xml:space="preserve">7S78104 </v>
      </c>
      <c r="E21" s="4" t="str">
        <v>Trịnh Minh Toàn</v>
      </c>
      <c r="F21" s="4" t="str">
        <v>toantm3</v>
      </c>
      <c r="G21" s="4" t="str">
        <v>Project</v>
      </c>
      <c r="H21" s="4" t="str">
        <v>Tech</v>
      </c>
      <c r="I21" s="4" t="str">
        <v>Venture</v>
      </c>
      <c r="J21" s="4" t="str">
        <v>HCM</v>
      </c>
      <c r="K21" s="4" t="str">
        <v>In Use</v>
      </c>
    </row>
    <row r="22" spans="1:11" hidden="1">
      <c r="A22" s="4">
        <v>142</v>
      </c>
      <c r="B22" s="4" t="str">
        <v>MON0036</v>
      </c>
      <c r="C22" s="4" t="str">
        <v>Dell P2425H 24 inches</v>
      </c>
      <c r="D22" s="4" t="str">
        <v xml:space="preserve">CB88104 </v>
      </c>
      <c r="E22" s="4" t="str">
        <v>Nguyễn Văn Bình</v>
      </c>
      <c r="F22" s="4" t="str">
        <v>binhnv5</v>
      </c>
      <c r="G22" s="4" t="str">
        <v>Project</v>
      </c>
      <c r="H22" s="4" t="str">
        <v>Tech</v>
      </c>
      <c r="I22" s="4" t="str">
        <v>Venture</v>
      </c>
      <c r="J22" s="4" t="str">
        <v>HCM</v>
      </c>
      <c r="K22" s="4" t="str">
        <v>In Use</v>
      </c>
    </row>
    <row r="23" spans="1:11" hidden="1">
      <c r="A23" s="4">
        <v>143</v>
      </c>
      <c r="B23" s="4" t="str">
        <v>MON0037</v>
      </c>
      <c r="C23" s="4" t="str">
        <v>Dell P2425H 24 inches</v>
      </c>
      <c r="D23" s="4" t="str">
        <v xml:space="preserve">4S78104 </v>
      </c>
      <c r="E23" s="4" t="str">
        <v>Trần Gia Ân</v>
      </c>
      <c r="F23" s="4" t="str">
        <v>antg</v>
      </c>
      <c r="G23" s="4" t="str">
        <v>CTD</v>
      </c>
      <c r="H23" s="4" t="str">
        <v>CTD</v>
      </c>
      <c r="I23" s="4" t="str">
        <v>CTD</v>
      </c>
      <c r="J23" s="4" t="str">
        <v>HCM</v>
      </c>
      <c r="K23" s="4" t="str">
        <v>In Use</v>
      </c>
    </row>
    <row r="24" spans="1:11" hidden="1">
      <c r="A24" s="4">
        <v>145</v>
      </c>
      <c r="B24" s="4" t="str">
        <v>MON0039</v>
      </c>
      <c r="C24" s="4" t="str">
        <v>Dell P2425H 24 inches</v>
      </c>
      <c r="D24" s="4" t="str">
        <v>FF68104</v>
      </c>
      <c r="E24" s="4" t="str">
        <v>Mai Thị Cẩm Hà</v>
      </c>
      <c r="F24" s="4" t="str">
        <v>hamtc</v>
      </c>
      <c r="G24" s="4" t="str">
        <v>BO</v>
      </c>
      <c r="H24" s="4" t="str">
        <v>Business Support</v>
      </c>
      <c r="I24" s="4" t="str">
        <v>Operation Team</v>
      </c>
      <c r="J24" s="4" t="str">
        <v>HCM</v>
      </c>
      <c r="K24" s="4" t="str">
        <v>In Use</v>
      </c>
    </row>
    <row r="25" spans="1:11" hidden="1">
      <c r="A25" s="4">
        <v>146</v>
      </c>
      <c r="B25" s="4" t="str">
        <v>MON0040</v>
      </c>
      <c r="C25" s="4" t="str">
        <v>Dell P2425H 24 inches</v>
      </c>
      <c r="D25" s="4" t="str">
        <v>DC78104</v>
      </c>
      <c r="E25" s="4" t="str">
        <v>Nguyễn Ngọc Trinh</v>
      </c>
      <c r="F25" s="4" t="str">
        <v>trinhnn</v>
      </c>
      <c r="G25" s="4" t="str">
        <v>Undirect IT Staff</v>
      </c>
      <c r="H25" s="4" t="str">
        <v>Tech</v>
      </c>
      <c r="I25" s="4" t="str">
        <v>Odoo</v>
      </c>
      <c r="J25" s="4" t="str">
        <v>HCM</v>
      </c>
      <c r="K25" s="4" t="str">
        <v>In Use</v>
      </c>
    </row>
    <row r="26" spans="1:11" hidden="1">
      <c r="A26" s="4">
        <v>149</v>
      </c>
      <c r="B26" s="4" t="str">
        <v>MON0043</v>
      </c>
      <c r="C26" s="4" t="str">
        <v>Dell P2425H 24 inches</v>
      </c>
      <c r="D26" s="4" t="str">
        <v>3K9QK34</v>
      </c>
      <c r="E26" s="4" t="str">
        <v>Huỳnh Thúy Diễm</v>
      </c>
      <c r="F26" s="4" t="str">
        <v>diemht</v>
      </c>
      <c r="G26" s="4" t="str">
        <v>Project</v>
      </c>
      <c r="H26" s="4" t="str">
        <v>Tech</v>
      </c>
      <c r="I26" s="4" t="str">
        <v>Venture</v>
      </c>
      <c r="J26" s="4" t="str">
        <v>HCM</v>
      </c>
      <c r="K26" s="4" t="str">
        <v>In Use</v>
      </c>
    </row>
    <row r="27" spans="1:11" hidden="1">
      <c r="A27" s="4">
        <v>150</v>
      </c>
      <c r="B27" s="4" t="str">
        <v>MON0044</v>
      </c>
      <c r="C27" s="4" t="str">
        <v>Dell P2425H 24 inches</v>
      </c>
      <c r="D27" s="4" t="str">
        <v xml:space="preserve">2W82L34 </v>
      </c>
      <c r="E27" s="4" t="str">
        <v/>
      </c>
      <c r="F27" s="4">
        <v>0</v>
      </c>
      <c r="G27" s="4" t="str">
        <v/>
      </c>
      <c r="H27" s="4" t="str">
        <v/>
      </c>
      <c r="I27" s="4" t="str">
        <v/>
      </c>
      <c r="J27" s="4" t="str">
        <v>HCM</v>
      </c>
      <c r="K27" s="4" t="str">
        <v>In Stock</v>
      </c>
    </row>
    <row r="28" spans="1:11" hidden="1">
      <c r="A28" s="4">
        <v>151</v>
      </c>
      <c r="B28" s="4" t="str">
        <v>MON0045</v>
      </c>
      <c r="C28" s="4" t="str">
        <v>Dell P2425H 24 inches</v>
      </c>
      <c r="D28" s="4" t="str">
        <v xml:space="preserve">2WRPK34 </v>
      </c>
      <c r="E28" s="4" t="str">
        <v/>
      </c>
      <c r="F28" s="4">
        <v>0</v>
      </c>
      <c r="G28" s="4" t="str">
        <v/>
      </c>
      <c r="H28" s="4" t="str">
        <v/>
      </c>
      <c r="I28" s="4" t="str">
        <v/>
      </c>
      <c r="J28" s="4" t="str">
        <v>HCM</v>
      </c>
      <c r="K28" s="4" t="str">
        <v>In Stock</v>
      </c>
    </row>
    <row r="29" spans="1:11" hidden="1">
      <c r="A29" s="4">
        <v>153</v>
      </c>
      <c r="B29" s="4" t="str">
        <v>MON0047</v>
      </c>
      <c r="C29" s="4" t="str">
        <v>Dell P2425H 24 inches</v>
      </c>
      <c r="D29" s="4" t="str">
        <v xml:space="preserve">31F2L34 </v>
      </c>
      <c r="E29" s="4" t="str">
        <v/>
      </c>
      <c r="F29" s="4">
        <v>0</v>
      </c>
      <c r="G29" s="4" t="str">
        <v/>
      </c>
      <c r="H29" s="4" t="str">
        <v/>
      </c>
      <c r="I29" s="4" t="str">
        <v/>
      </c>
      <c r="J29" s="4" t="str">
        <v>HCM</v>
      </c>
      <c r="K29" s="4" t="str">
        <v>In Stock</v>
      </c>
    </row>
    <row r="30" spans="1:11" hidden="1">
      <c r="A30" s="4">
        <v>154</v>
      </c>
      <c r="B30" s="4" t="str">
        <v>MON0048</v>
      </c>
      <c r="C30" s="4" t="str">
        <v>Dell P2425H 24 inches</v>
      </c>
      <c r="D30" s="4" t="str">
        <v xml:space="preserve">32RNK34 </v>
      </c>
      <c r="E30" s="4" t="str">
        <v>Nguyễn Thị My Sa</v>
      </c>
      <c r="F30" s="4" t="str">
        <v>santm</v>
      </c>
      <c r="G30" s="4" t="str">
        <v>CTD</v>
      </c>
      <c r="H30" s="4" t="str">
        <v>CTD</v>
      </c>
      <c r="I30" s="4" t="str">
        <v>CTD</v>
      </c>
      <c r="J30" s="4" t="str">
        <v>HCM</v>
      </c>
      <c r="K30" s="4" t="str">
        <v>In Use</v>
      </c>
    </row>
    <row r="31" spans="1:11" hidden="1">
      <c r="A31" s="4">
        <v>155</v>
      </c>
      <c r="B31" s="4" t="str">
        <v>MON0050</v>
      </c>
      <c r="C31" s="4" t="str">
        <v>Dell P2425H 24 inches</v>
      </c>
      <c r="D31" s="4" t="str">
        <v xml:space="preserve">33VPK34 </v>
      </c>
      <c r="E31" s="4" t="str">
        <v>Đoàn Hà Mi</v>
      </c>
      <c r="F31" s="4" t="str">
        <v>midh</v>
      </c>
      <c r="G31" s="4" t="str">
        <v>BO</v>
      </c>
      <c r="H31" s="4" t="str">
        <v>Business Support</v>
      </c>
      <c r="I31" s="4" t="str">
        <v>Operation Team</v>
      </c>
      <c r="J31" s="4" t="str">
        <v>HCM</v>
      </c>
      <c r="K31" s="4" t="str">
        <v>In Use</v>
      </c>
    </row>
    <row r="32" spans="1:11" hidden="1">
      <c r="A32" s="4">
        <v>157</v>
      </c>
      <c r="B32" s="4" t="str">
        <v>MON0052</v>
      </c>
      <c r="C32" s="4" t="str">
        <v>Dell P2425H 24 inches</v>
      </c>
      <c r="D32" s="4" t="str">
        <v>8BF2L34</v>
      </c>
      <c r="E32" s="4" t="str">
        <v>Phạm Thị Trúc Linh</v>
      </c>
      <c r="F32" s="4" t="str">
        <v>linhptt</v>
      </c>
      <c r="G32" s="4" t="str">
        <v>Project</v>
      </c>
      <c r="H32" s="4" t="str">
        <v>Tech</v>
      </c>
      <c r="I32" s="4" t="str">
        <v>Venture</v>
      </c>
      <c r="J32" s="4" t="str">
        <v>HCM</v>
      </c>
      <c r="K32" s="4" t="str">
        <v>In Use</v>
      </c>
    </row>
    <row r="33" spans="1:11" hidden="1">
      <c r="A33" s="4">
        <v>159</v>
      </c>
      <c r="B33" s="4" t="str">
        <v>MON0054</v>
      </c>
      <c r="C33" s="4" t="str">
        <v>Dell P2217H 22 inches</v>
      </c>
      <c r="D33" s="4" t="str">
        <v>5Y4SLB2</v>
      </c>
      <c r="E33" s="4" t="str">
        <v>Nguyễn Ngọc Trinh</v>
      </c>
      <c r="F33" s="4" t="str">
        <v>trinhnn</v>
      </c>
      <c r="G33" s="4" t="str">
        <v>Undirect IT Staff</v>
      </c>
      <c r="H33" s="4" t="str">
        <v>Tech</v>
      </c>
      <c r="I33" s="4" t="str">
        <v>Odoo</v>
      </c>
      <c r="J33" s="4" t="str">
        <v>HCM</v>
      </c>
      <c r="K33" s="4" t="str">
        <v>In Stock</v>
      </c>
    </row>
    <row r="34" spans="1:11" hidden="1">
      <c r="A34" s="4">
        <v>160</v>
      </c>
      <c r="B34" s="4" t="str">
        <v>MON0055</v>
      </c>
      <c r="C34" s="4" t="str">
        <v>Dell P2217H 22 inches</v>
      </c>
      <c r="D34" s="4" t="str">
        <v>8Y4SLB2</v>
      </c>
      <c r="E34" s="4" t="str">
        <v/>
      </c>
      <c r="F34" s="4">
        <v>0</v>
      </c>
      <c r="G34" s="4" t="str">
        <v/>
      </c>
      <c r="H34" s="4" t="str">
        <v/>
      </c>
      <c r="I34" s="4" t="str">
        <v/>
      </c>
      <c r="J34" s="4" t="str">
        <v>HCM</v>
      </c>
      <c r="K34" s="4" t="str">
        <v>In Stock</v>
      </c>
    </row>
    <row r="35" spans="1:11" hidden="1">
      <c r="A35" s="4">
        <v>161</v>
      </c>
      <c r="B35" s="4" t="str">
        <v>MON0056</v>
      </c>
      <c r="C35" s="4" t="str">
        <v>Dell P2422H 24 inches</v>
      </c>
      <c r="D35" s="4" t="str">
        <v xml:space="preserve">2PY90K3 </v>
      </c>
      <c r="E35" s="4" t="str">
        <v>Đặng Thành Thái</v>
      </c>
      <c r="F35" s="4" t="str">
        <v>thaidt</v>
      </c>
      <c r="G35" s="4" t="str">
        <v>Undirect IT Staff</v>
      </c>
      <c r="H35" s="4" t="str">
        <v>Tech</v>
      </c>
      <c r="I35" s="4" t="str">
        <v>Odoo</v>
      </c>
      <c r="J35" s="4" t="str">
        <v>HCM</v>
      </c>
      <c r="K35" s="4" t="str">
        <v>In Use</v>
      </c>
    </row>
    <row r="36" spans="1:11" hidden="1">
      <c r="A36" s="4">
        <v>162</v>
      </c>
      <c r="B36" s="4" t="str">
        <v>MON0057</v>
      </c>
      <c r="C36" s="4" t="str">
        <v>Dell P2422H 24 inches</v>
      </c>
      <c r="D36" s="4" t="str">
        <v xml:space="preserve">6GY90K3 </v>
      </c>
      <c r="E36" s="4" t="str">
        <v>Nguyễn Quốc Trung</v>
      </c>
      <c r="F36" s="4" t="str">
        <v>trungnq</v>
      </c>
      <c r="G36" s="4" t="str">
        <v>Undirect IT Staff</v>
      </c>
      <c r="H36" s="4" t="str">
        <v>Tech</v>
      </c>
      <c r="I36" s="4" t="str">
        <v>Odoo</v>
      </c>
      <c r="J36" s="4" t="str">
        <v>HCM</v>
      </c>
      <c r="K36" s="4" t="str">
        <v>In Use</v>
      </c>
    </row>
    <row r="37" spans="1:11" hidden="1">
      <c r="A37" s="4">
        <v>163</v>
      </c>
      <c r="B37" s="4" t="str">
        <v>MON0058</v>
      </c>
      <c r="C37" s="4" t="str">
        <v>Dell P2422H 24 inches</v>
      </c>
      <c r="D37" s="4" t="str">
        <v>8M4B0K3</v>
      </c>
      <c r="E37" s="4" t="str">
        <v>Nguyễn Quý</v>
      </c>
      <c r="F37" s="4" t="str">
        <v>quyn</v>
      </c>
      <c r="G37" s="4" t="str">
        <v>Project</v>
      </c>
      <c r="H37" s="4" t="str">
        <v>Tech</v>
      </c>
      <c r="I37" s="4" t="str">
        <v>Venture</v>
      </c>
      <c r="J37" s="4" t="str">
        <v>HCM</v>
      </c>
      <c r="K37" s="4" t="str">
        <v>In Use</v>
      </c>
    </row>
    <row r="38" spans="1:11" hidden="1">
      <c r="A38" s="4">
        <v>166</v>
      </c>
      <c r="B38" s="4" t="str">
        <v>MON0061</v>
      </c>
      <c r="C38" s="4" t="str">
        <v>Dell P2422H 24 inches</v>
      </c>
      <c r="D38" s="4" t="str">
        <v>3TDH7N3</v>
      </c>
      <c r="E38" s="4" t="str">
        <v>Nguyễn Nhã Minh</v>
      </c>
      <c r="F38" s="4" t="str">
        <v>minhnn</v>
      </c>
      <c r="G38" s="4" t="str">
        <v>CTD</v>
      </c>
      <c r="H38" s="4" t="str">
        <v>CTD</v>
      </c>
      <c r="I38" s="4" t="str">
        <v>CTD</v>
      </c>
      <c r="J38" s="4" t="str">
        <v>HCM</v>
      </c>
      <c r="K38" s="4" t="str">
        <v>In Use</v>
      </c>
    </row>
    <row r="39" spans="1:11" hidden="1">
      <c r="A39" s="4">
        <v>167</v>
      </c>
      <c r="B39" s="4" t="str">
        <v>MON0062</v>
      </c>
      <c r="C39" s="4" t="str">
        <v>Dell P2219H 22 inches</v>
      </c>
      <c r="D39" s="4" t="str">
        <v>27GRV23</v>
      </c>
      <c r="E39" s="4" t="str">
        <v>Trương Nữ Ngọc Mai</v>
      </c>
      <c r="F39" s="4" t="str">
        <v>maitnn</v>
      </c>
      <c r="G39" s="4" t="str">
        <v>BO</v>
      </c>
      <c r="H39" s="4" t="str">
        <v>Business Support</v>
      </c>
      <c r="I39" s="4" t="str">
        <v>Operation Team</v>
      </c>
      <c r="J39" s="4" t="str">
        <v>HCM</v>
      </c>
      <c r="K39" s="4" t="str">
        <v>In Use</v>
      </c>
    </row>
    <row r="40" spans="1:11" hidden="1">
      <c r="A40" s="4">
        <v>171</v>
      </c>
      <c r="B40" s="4" t="str">
        <v>MON0066</v>
      </c>
      <c r="C40" s="4" t="str">
        <v>Dell P2422H 24 inches</v>
      </c>
      <c r="D40" s="4" t="str">
        <v>67SJMQ3</v>
      </c>
      <c r="E40" s="4" t="str">
        <v>Phùng Thanh Huy</v>
      </c>
      <c r="F40" s="4" t="str">
        <v>huypt3</v>
      </c>
      <c r="G40" s="4" t="str">
        <v>Project</v>
      </c>
      <c r="H40" s="4" t="str">
        <v>Tech</v>
      </c>
      <c r="I40" s="4" t="str">
        <v>Venture</v>
      </c>
      <c r="J40" s="4" t="str">
        <v>HCM</v>
      </c>
      <c r="K40" s="4" t="str">
        <v>In Use</v>
      </c>
    </row>
    <row r="41" spans="1:11" hidden="1">
      <c r="A41" s="4">
        <v>173</v>
      </c>
      <c r="B41" s="4" t="str">
        <v>MON0068</v>
      </c>
      <c r="C41" s="4" t="str">
        <v>Dell P2422H 24 inches</v>
      </c>
      <c r="D41" s="4" t="str">
        <v>7R1QDQ3</v>
      </c>
      <c r="E41" s="4" t="str">
        <v>Nguyễn Hoàng Tâm</v>
      </c>
      <c r="F41" s="4" t="str">
        <v>tamnh8</v>
      </c>
      <c r="G41" s="4" t="str">
        <v>Project</v>
      </c>
      <c r="H41" s="4" t="str">
        <v>Tech</v>
      </c>
      <c r="I41" s="4" t="str">
        <v>Venture</v>
      </c>
      <c r="J41" s="4" t="str">
        <v>HCM</v>
      </c>
      <c r="K41" s="4" t="str">
        <v>In Use</v>
      </c>
    </row>
    <row r="42" spans="1:11" hidden="1">
      <c r="A42" s="4">
        <v>174</v>
      </c>
      <c r="B42" s="4" t="str">
        <v>MON0069</v>
      </c>
      <c r="C42" s="4" t="str">
        <v>Dell P2422H 24 inches</v>
      </c>
      <c r="D42" s="4" t="str">
        <v>89J38M3</v>
      </c>
      <c r="E42" s="4" t="str">
        <v>Hoàng Thị Trang</v>
      </c>
      <c r="F42" s="4" t="str">
        <v>tranght</v>
      </c>
      <c r="G42" s="4" t="str">
        <v>BO</v>
      </c>
      <c r="H42" s="4" t="str">
        <v>Business Support</v>
      </c>
      <c r="I42" s="4" t="str">
        <v>Operation Team</v>
      </c>
      <c r="J42" s="4" t="str">
        <v>HCM</v>
      </c>
      <c r="K42" s="4" t="str">
        <v>In Use</v>
      </c>
    </row>
    <row r="43" spans="1:11" hidden="1">
      <c r="A43" s="4">
        <v>175</v>
      </c>
      <c r="B43" s="4" t="str">
        <v>MON0070</v>
      </c>
      <c r="C43" s="4" t="str">
        <v>Dell P2217H 22 inches</v>
      </c>
      <c r="D43" s="4" t="str">
        <v>8DY5FJ2</v>
      </c>
      <c r="E43" s="4" t="str">
        <v/>
      </c>
      <c r="F43" s="4">
        <v>0</v>
      </c>
      <c r="G43" s="4" t="str">
        <v/>
      </c>
      <c r="H43" s="4" t="str">
        <v/>
      </c>
      <c r="I43" s="4" t="str">
        <v/>
      </c>
      <c r="J43" s="4" t="str">
        <v>HCM</v>
      </c>
      <c r="K43" s="4" t="str">
        <v>In Stock</v>
      </c>
    </row>
    <row r="44" spans="1:11" hidden="1">
      <c r="A44" s="4">
        <v>176</v>
      </c>
      <c r="B44" s="4" t="str">
        <v>MON0071</v>
      </c>
      <c r="C44" s="4" t="str">
        <v>Dell P2422H 24 inches</v>
      </c>
      <c r="D44" s="4" t="str">
        <v>B7FB0K3</v>
      </c>
      <c r="E44" s="4" t="str">
        <v>Ngô Khánh Vy</v>
      </c>
      <c r="F44" s="4" t="str">
        <v>vynk2</v>
      </c>
      <c r="G44" s="4" t="str">
        <v>Project</v>
      </c>
      <c r="H44" s="4" t="str">
        <v>Tech</v>
      </c>
      <c r="I44" s="4" t="str">
        <v>Venture</v>
      </c>
      <c r="J44" s="4" t="str">
        <v>HCM</v>
      </c>
      <c r="K44" s="4" t="str">
        <v>In Use</v>
      </c>
    </row>
    <row r="45" spans="1:11" hidden="1">
      <c r="A45" s="4">
        <v>177</v>
      </c>
      <c r="B45" s="4" t="str">
        <v>MON0072</v>
      </c>
      <c r="C45" s="4" t="str">
        <v>Dell P2219H 22 inches</v>
      </c>
      <c r="D45" s="4" t="str">
        <v>BHCN6W2</v>
      </c>
      <c r="E45" s="4" t="str">
        <v>Dương Phạm Thành Công</v>
      </c>
      <c r="F45" s="4" t="str">
        <v>congdpt</v>
      </c>
      <c r="G45" s="4" t="str">
        <v>Undirect IT Staff</v>
      </c>
      <c r="H45" s="4" t="str">
        <v>Tech</v>
      </c>
      <c r="I45" s="4" t="str">
        <v>Odoo</v>
      </c>
      <c r="J45" s="4" t="str">
        <v>HCM</v>
      </c>
      <c r="K45" s="4" t="str">
        <v>In Use</v>
      </c>
    </row>
    <row r="46" spans="1:11" hidden="1">
      <c r="A46" s="4">
        <v>179</v>
      </c>
      <c r="B46" s="4" t="str">
        <v>MON0074</v>
      </c>
      <c r="C46" s="4" t="str">
        <v>Dell Ultrasharp U2520D 25 inches</v>
      </c>
      <c r="D46" s="4" t="str">
        <v>BOTT823</v>
      </c>
      <c r="E46" s="4" t="str">
        <v>Lại Thế Cường</v>
      </c>
      <c r="F46" s="4" t="str">
        <v>cuonglt8</v>
      </c>
      <c r="G46" s="4" t="str">
        <v>Project</v>
      </c>
      <c r="H46" s="4" t="str">
        <v>Tech</v>
      </c>
      <c r="I46" s="4" t="str">
        <v>Venture</v>
      </c>
      <c r="J46" s="4" t="str">
        <v>HCM</v>
      </c>
      <c r="K46" s="4" t="str">
        <v>In Use</v>
      </c>
    </row>
    <row r="47" spans="1:11" hidden="1">
      <c r="A47" s="4">
        <v>180</v>
      </c>
      <c r="B47" s="4" t="str">
        <v>MON0075</v>
      </c>
      <c r="C47" s="4" t="str">
        <v>Dell P2419H 24 inches</v>
      </c>
      <c r="D47" s="4" t="str">
        <v>DLHKF53</v>
      </c>
      <c r="E47" s="4" t="str">
        <v/>
      </c>
      <c r="F47" s="4">
        <v>0</v>
      </c>
      <c r="G47" s="4" t="str">
        <v/>
      </c>
      <c r="H47" s="4" t="str">
        <v/>
      </c>
      <c r="I47" s="4" t="str">
        <v/>
      </c>
      <c r="J47" s="4" t="str">
        <v>HCM</v>
      </c>
      <c r="K47" s="4" t="str">
        <v>In Stock</v>
      </c>
    </row>
    <row r="48" spans="1:11" hidden="1">
      <c r="A48" s="4">
        <v>181</v>
      </c>
      <c r="B48" s="4" t="str">
        <v>MON0076</v>
      </c>
      <c r="C48" s="4" t="str">
        <v>Dell P2217H 22 inches</v>
      </c>
      <c r="D48" s="4" t="str">
        <v>DWQBGN2</v>
      </c>
      <c r="E48" s="4" t="str">
        <v>Nguyễn Ngọc Nhiên</v>
      </c>
      <c r="F48" s="4" t="str">
        <v>nhiennn</v>
      </c>
      <c r="G48" s="4" t="str">
        <v>BO</v>
      </c>
      <c r="H48" s="4" t="str">
        <v>Business Support</v>
      </c>
      <c r="I48" s="4" t="str">
        <v>Operation Team</v>
      </c>
      <c r="J48" s="4" t="str">
        <v>HCM</v>
      </c>
      <c r="K48" s="4" t="str">
        <v>In Use</v>
      </c>
    </row>
    <row r="49" spans="1:11" hidden="1">
      <c r="A49" s="4">
        <v>182</v>
      </c>
      <c r="B49" s="4" t="str">
        <v>MON0077</v>
      </c>
      <c r="C49" s="4" t="str">
        <v>Dell Ultrasharp U2520D 25 inches</v>
      </c>
      <c r="D49" s="4" t="str">
        <v>G89Q823</v>
      </c>
      <c r="E49" s="4" t="str">
        <v>Võ Thành Nhơn</v>
      </c>
      <c r="F49" s="4" t="str">
        <v>nhonvt</v>
      </c>
      <c r="G49" s="4" t="str">
        <v>Project</v>
      </c>
      <c r="H49" s="4" t="str">
        <v>Tech</v>
      </c>
      <c r="I49" s="4" t="str">
        <v>Venture</v>
      </c>
      <c r="J49" s="4" t="str">
        <v>HCM</v>
      </c>
      <c r="K49" s="4" t="str">
        <v>In Use</v>
      </c>
    </row>
    <row r="50" spans="1:11" hidden="1">
      <c r="A50" s="4">
        <v>183</v>
      </c>
      <c r="B50" s="4" t="str">
        <v>MON0078</v>
      </c>
      <c r="C50" s="4" t="str">
        <v>Dell P2217H 22 inches</v>
      </c>
      <c r="D50" s="4" t="str">
        <v>GBTTTL2</v>
      </c>
      <c r="E50" s="4" t="str">
        <v>Nguyễn Quý</v>
      </c>
      <c r="F50" s="4" t="str">
        <v>quyn</v>
      </c>
      <c r="G50" s="4" t="str">
        <v>Project</v>
      </c>
      <c r="H50" s="4" t="str">
        <v>Tech</v>
      </c>
      <c r="I50" s="4" t="str">
        <v>Venture</v>
      </c>
      <c r="J50" s="4" t="str">
        <v>HCM</v>
      </c>
      <c r="K50" s="4" t="str">
        <v>In Use</v>
      </c>
    </row>
    <row r="51" spans="1:11" hidden="1">
      <c r="A51" s="4">
        <v>184</v>
      </c>
      <c r="B51" s="4" t="str">
        <v>MON0079</v>
      </c>
      <c r="C51" s="4" t="str">
        <v>Dell P2217H 22 inches</v>
      </c>
      <c r="D51" s="4" t="str">
        <v>J7VTTL2</v>
      </c>
      <c r="E51" s="4" t="str">
        <v/>
      </c>
      <c r="F51" s="4">
        <v>0</v>
      </c>
      <c r="G51" s="4" t="str">
        <v/>
      </c>
      <c r="H51" s="4" t="str">
        <v/>
      </c>
      <c r="I51" s="4" t="str">
        <v/>
      </c>
      <c r="J51" s="4" t="str">
        <v>HCM</v>
      </c>
      <c r="K51" s="4" t="str">
        <v>In Stock</v>
      </c>
    </row>
    <row r="52" spans="1:11" hidden="1">
      <c r="A52" s="4">
        <v>185</v>
      </c>
      <c r="B52" s="4" t="str">
        <v>MON0080</v>
      </c>
      <c r="C52" s="4" t="str">
        <v>Dell P2217H 22 inches</v>
      </c>
      <c r="D52" s="4" t="str">
        <v>JHSTTL2</v>
      </c>
      <c r="E52" s="4" t="str">
        <v/>
      </c>
      <c r="F52" s="4">
        <v>0</v>
      </c>
      <c r="G52" s="4" t="str">
        <v/>
      </c>
      <c r="H52" s="4" t="str">
        <v/>
      </c>
      <c r="I52" s="4" t="str">
        <v/>
      </c>
      <c r="J52" s="4" t="str">
        <v>HCM</v>
      </c>
      <c r="K52" s="4" t="str">
        <v>In Stock</v>
      </c>
    </row>
    <row r="53" spans="1:11" hidden="1">
      <c r="A53" s="4">
        <v>186</v>
      </c>
      <c r="B53" s="4" t="str">
        <v>MON0081</v>
      </c>
      <c r="C53" s="4" t="str">
        <v>Dell P2425H 24 inches</v>
      </c>
      <c r="D53" s="4" t="str">
        <v>GZB3944</v>
      </c>
      <c r="E53" s="4" t="str">
        <v>Nguyễn Ngọc Lân</v>
      </c>
      <c r="F53" s="4" t="str">
        <v>lannn</v>
      </c>
      <c r="G53" s="4" t="str">
        <v>Project</v>
      </c>
      <c r="H53" s="4" t="str">
        <v>Tech</v>
      </c>
      <c r="I53" s="4" t="str">
        <v>Venture</v>
      </c>
      <c r="J53" s="4" t="str">
        <v>HCM</v>
      </c>
      <c r="K53" s="4" t="str">
        <v>In Use</v>
      </c>
    </row>
    <row r="54" spans="1:11" hidden="1">
      <c r="A54" s="4">
        <v>187</v>
      </c>
      <c r="B54" s="4" t="str">
        <v>MON0082</v>
      </c>
      <c r="C54" s="4" t="str">
        <v>Dell P2219H 22 inches</v>
      </c>
      <c r="D54" s="4" t="str">
        <v>HF3QPP2</v>
      </c>
      <c r="E54" s="4" t="str">
        <v>Trịnh Minh Toàn</v>
      </c>
      <c r="F54" s="4" t="str">
        <v>toantm3</v>
      </c>
      <c r="G54" s="4" t="str">
        <v>Project</v>
      </c>
      <c r="H54" s="4" t="str">
        <v>Tech</v>
      </c>
      <c r="I54" s="4" t="str">
        <v>Venture</v>
      </c>
      <c r="J54" s="4" t="str">
        <v>HCM</v>
      </c>
      <c r="K54" s="4" t="str">
        <v>In Use</v>
      </c>
    </row>
    <row r="55" spans="1:11" hidden="1">
      <c r="A55" s="4">
        <v>188</v>
      </c>
      <c r="B55" s="4" t="str">
        <v>MON0083</v>
      </c>
      <c r="C55" s="4" t="str">
        <v>Dell Ultrasharp U2518D 25 inches</v>
      </c>
      <c r="D55" s="4" t="str">
        <v>9J0HPS2</v>
      </c>
      <c r="E55" s="4" t="str">
        <v>Bùi Tuấn Huy</v>
      </c>
      <c r="F55" s="4" t="str">
        <v>huybt</v>
      </c>
      <c r="G55" s="4" t="str">
        <v>AM</v>
      </c>
      <c r="H55" s="4" t="str">
        <v>Sales</v>
      </c>
      <c r="I55" s="4" t="str">
        <v>Resource Pool</v>
      </c>
      <c r="J55" s="4" t="str">
        <v>HCM</v>
      </c>
      <c r="K55" s="4" t="str">
        <v>In Use</v>
      </c>
    </row>
    <row r="56" spans="1:11" hidden="1">
      <c r="A56" s="4">
        <v>198</v>
      </c>
      <c r="B56" s="4" t="str">
        <v>MON0085</v>
      </c>
      <c r="C56" s="4" t="str">
        <v>Dell Ultrasharp U2520D 25 inches</v>
      </c>
      <c r="D56" s="4" t="str">
        <v>6QQJ923</v>
      </c>
      <c r="E56" s="4" t="str">
        <v/>
      </c>
      <c r="F56" s="4">
        <v>0</v>
      </c>
      <c r="G56" s="4" t="str">
        <v/>
      </c>
      <c r="H56" s="4" t="str">
        <v/>
      </c>
      <c r="I56" s="4" t="str">
        <v/>
      </c>
      <c r="J56" s="4" t="str">
        <v>HCM</v>
      </c>
      <c r="K56" s="4" t="str">
        <v>Damaged</v>
      </c>
    </row>
    <row r="57" spans="1:11" hidden="1">
      <c r="A57" s="4">
        <v>200</v>
      </c>
      <c r="B57" s="4" t="str">
        <v>MON0087</v>
      </c>
      <c r="C57" s="4" t="str">
        <v>Dell P2417H 24 inches</v>
      </c>
      <c r="D57" s="4" t="str">
        <v>HNYN372</v>
      </c>
      <c r="E57" s="4" t="str">
        <v/>
      </c>
      <c r="F57" s="4">
        <v>0</v>
      </c>
      <c r="G57" s="4" t="str">
        <v/>
      </c>
      <c r="H57" s="4" t="str">
        <v/>
      </c>
      <c r="I57" s="4" t="str">
        <v/>
      </c>
      <c r="J57" s="4" t="str">
        <v>HN</v>
      </c>
      <c r="K57" s="4" t="str">
        <v>In Stock</v>
      </c>
    </row>
    <row r="58" spans="1:11" hidden="1">
      <c r="A58" s="4">
        <v>201</v>
      </c>
      <c r="B58" s="4" t="str">
        <v>MON0088</v>
      </c>
      <c r="C58" s="4" t="str">
        <v>Dell P2217H 22 inches</v>
      </c>
      <c r="D58" s="4" t="str">
        <v>FTG8L82</v>
      </c>
      <c r="E58" s="4" t="str">
        <v/>
      </c>
      <c r="F58" s="4">
        <v>0</v>
      </c>
      <c r="G58" s="4" t="str">
        <v/>
      </c>
      <c r="H58" s="4" t="str">
        <v/>
      </c>
      <c r="I58" s="4" t="str">
        <v/>
      </c>
      <c r="J58" s="4" t="str">
        <v>HN</v>
      </c>
      <c r="K58" s="4" t="str">
        <v>In Stock</v>
      </c>
    </row>
    <row r="59" spans="1:11" hidden="1">
      <c r="A59" s="4">
        <v>202</v>
      </c>
      <c r="B59" s="4" t="str">
        <v>MON0089</v>
      </c>
      <c r="C59" s="4" t="str">
        <v>Dell P2217H 22 inches</v>
      </c>
      <c r="D59" s="4" t="str">
        <v>1HTTTL2</v>
      </c>
      <c r="E59" s="4" t="str">
        <v/>
      </c>
      <c r="F59" s="4">
        <v>0</v>
      </c>
      <c r="G59" s="4" t="str">
        <v/>
      </c>
      <c r="H59" s="4" t="str">
        <v/>
      </c>
      <c r="I59" s="4" t="str">
        <v/>
      </c>
      <c r="J59" s="4" t="str">
        <v>HN</v>
      </c>
      <c r="K59" s="4" t="str">
        <v>In Stock</v>
      </c>
    </row>
    <row r="60" spans="1:11" hidden="1">
      <c r="A60" s="4">
        <v>386</v>
      </c>
      <c r="B60" s="4" t="str">
        <v>MON0097</v>
      </c>
      <c r="C60" s="4" t="str">
        <v>Dell P2425H 24 inches</v>
      </c>
      <c r="D60" s="4" t="str">
        <v>622VY74</v>
      </c>
      <c r="E60" s="4" t="str">
        <v/>
      </c>
      <c r="F60" s="4">
        <v>0</v>
      </c>
      <c r="G60" s="4" t="str">
        <v/>
      </c>
      <c r="H60" s="4" t="str">
        <v/>
      </c>
      <c r="I60" s="4" t="str">
        <v/>
      </c>
      <c r="J60" s="4" t="str">
        <v>HCM</v>
      </c>
      <c r="K60" s="4" t="str">
        <v>In Stock</v>
      </c>
    </row>
    <row r="61" spans="1:11" hidden="1">
      <c r="A61" s="4">
        <v>392</v>
      </c>
      <c r="B61" s="4" t="str">
        <v>MON0103</v>
      </c>
      <c r="C61" s="4" t="str">
        <v>Dell P2425H 24 inches</v>
      </c>
      <c r="D61" s="4" t="str">
        <v>J22VY74</v>
      </c>
      <c r="E61" s="4" t="str">
        <v/>
      </c>
      <c r="F61" s="4">
        <v>0</v>
      </c>
      <c r="G61" s="4" t="str">
        <v/>
      </c>
      <c r="H61" s="4" t="str">
        <v/>
      </c>
      <c r="I61" s="4" t="str">
        <v/>
      </c>
      <c r="J61" s="4" t="str">
        <v>HCM</v>
      </c>
      <c r="K61" s="4" t="str">
        <v>In Stock</v>
      </c>
    </row>
    <row r="62" spans="1:11" hidden="1">
      <c r="A62" s="4">
        <v>420</v>
      </c>
      <c r="B62" s="4" t="str">
        <v>MON0131</v>
      </c>
      <c r="C62" s="4" t="str">
        <v>Dell P2425H 24 inches</v>
      </c>
      <c r="D62" s="4" t="str">
        <v>F9JZK34</v>
      </c>
      <c r="E62" s="4" t="str">
        <v/>
      </c>
      <c r="F62" s="4">
        <v>0</v>
      </c>
      <c r="G62" s="4" t="str">
        <v/>
      </c>
      <c r="H62" s="4" t="str">
        <v/>
      </c>
      <c r="I62" s="4" t="str">
        <v/>
      </c>
      <c r="J62" s="4" t="str">
        <v>HCM</v>
      </c>
      <c r="K62" s="4" t="str">
        <v>In Stock</v>
      </c>
    </row>
    <row r="63" spans="1:11" hidden="1">
      <c r="A63" s="4">
        <v>424</v>
      </c>
      <c r="B63" s="4" t="str">
        <v>MON0135</v>
      </c>
      <c r="C63" s="4" t="str">
        <v>Dell P2425H 24 inches</v>
      </c>
      <c r="D63" s="4" t="str">
        <v>35Y1874</v>
      </c>
      <c r="E63" s="4" t="str">
        <v/>
      </c>
      <c r="F63" s="4">
        <v>0</v>
      </c>
      <c r="G63" s="4" t="str">
        <v/>
      </c>
      <c r="H63" s="4" t="str">
        <v/>
      </c>
      <c r="I63" s="4" t="str">
        <v/>
      </c>
      <c r="J63" s="4" t="str">
        <v>HCM</v>
      </c>
      <c r="K63" s="4" t="str">
        <v>In Stock</v>
      </c>
    </row>
    <row r="64" spans="1:11" hidden="1">
      <c r="A64" s="4">
        <v>425</v>
      </c>
      <c r="B64" s="4" t="str">
        <v>MON0136</v>
      </c>
      <c r="C64" s="4" t="str">
        <v>Dell P2425H 24 inches</v>
      </c>
      <c r="D64" s="4" t="str">
        <v>G22VY74</v>
      </c>
      <c r="E64" s="4" t="str">
        <v/>
      </c>
      <c r="F64" s="4">
        <v>0</v>
      </c>
      <c r="G64" s="4" t="str">
        <v/>
      </c>
      <c r="H64" s="4" t="str">
        <v/>
      </c>
      <c r="I64" s="4" t="str">
        <v/>
      </c>
      <c r="J64" s="4" t="str">
        <v>HCM</v>
      </c>
      <c r="K64" s="4" t="str">
        <v>In Stock</v>
      </c>
    </row>
    <row r="65" spans="1:11" hidden="1">
      <c r="A65" s="4">
        <v>431</v>
      </c>
      <c r="B65" s="4" t="str">
        <v>MON0142</v>
      </c>
      <c r="C65" s="4" t="str">
        <v>Dell P2425H 24 inches</v>
      </c>
      <c r="D65" s="4" t="str">
        <v>GB2SK34</v>
      </c>
      <c r="E65" s="4" t="str">
        <v/>
      </c>
      <c r="F65" s="4">
        <v>0</v>
      </c>
      <c r="G65" s="4" t="str">
        <v/>
      </c>
      <c r="H65" s="4" t="str">
        <v/>
      </c>
      <c r="I65" s="4" t="str">
        <v/>
      </c>
      <c r="J65" s="4" t="str">
        <v>HCM</v>
      </c>
      <c r="K65" s="4" t="str">
        <v>In Stock</v>
      </c>
    </row>
    <row r="66" spans="1:11" hidden="1">
      <c r="A66" s="4">
        <v>432</v>
      </c>
      <c r="B66" s="4" t="str">
        <v>MON0143</v>
      </c>
      <c r="C66" s="4" t="str">
        <v>Dell P2425H 24 inches</v>
      </c>
      <c r="D66" s="4" t="str">
        <v>F6TQK34</v>
      </c>
      <c r="E66" s="4" t="str">
        <v/>
      </c>
      <c r="F66" s="4">
        <v>0</v>
      </c>
      <c r="G66" s="4" t="str">
        <v/>
      </c>
      <c r="H66" s="4" t="str">
        <v/>
      </c>
      <c r="I66" s="4" t="str">
        <v/>
      </c>
      <c r="J66" s="4" t="str">
        <v>HCM</v>
      </c>
      <c r="K66" s="4" t="str">
        <v>In Stock</v>
      </c>
    </row>
    <row r="67" spans="1:11" hidden="1">
      <c r="A67" s="4">
        <v>435</v>
      </c>
      <c r="B67" s="4" t="str">
        <v>MON0146</v>
      </c>
      <c r="C67" s="4" t="str">
        <v>Dell P2425H 24 inches</v>
      </c>
      <c r="D67" s="4" t="str">
        <v>CTRYK34</v>
      </c>
      <c r="E67" s="4" t="str">
        <v/>
      </c>
      <c r="F67" s="4">
        <v>0</v>
      </c>
      <c r="G67" s="4" t="str">
        <v/>
      </c>
      <c r="H67" s="4" t="str">
        <v/>
      </c>
      <c r="I67" s="4" t="str">
        <v/>
      </c>
      <c r="J67" s="4" t="str">
        <v>HCM</v>
      </c>
      <c r="K67" s="4" t="str">
        <v>In Stock</v>
      </c>
    </row>
    <row r="68" spans="1:11">
      <c r="A68" s="4">
        <v>437</v>
      </c>
      <c r="B68" s="4" t="str">
        <v>MON0148</v>
      </c>
      <c r="C68" s="4" t="str">
        <v>Dell U2723QE 27 inches</v>
      </c>
      <c r="D68" s="4" t="str">
        <v>D2HP734</v>
      </c>
      <c r="E68" s="4" t="str">
        <v>Đào Duy Thoại</v>
      </c>
      <c r="F68" s="4" t="str">
        <v>thoaidd</v>
      </c>
      <c r="G68" s="4" t="str">
        <v>CTD</v>
      </c>
      <c r="H68" s="4" t="str">
        <v>CTD</v>
      </c>
      <c r="I68" s="4" t="str">
        <v>CTD</v>
      </c>
      <c r="J68" s="4" t="str">
        <v>HCM</v>
      </c>
      <c r="K68" s="4" t="str">
        <v>In Use</v>
      </c>
    </row>
    <row r="69" spans="1:11">
      <c r="A69" s="4">
        <v>438</v>
      </c>
      <c r="B69" s="4" t="str">
        <v>MON0149</v>
      </c>
      <c r="C69" s="4" t="str">
        <v>Dell U2723QE 27 inches</v>
      </c>
      <c r="D69" s="4" t="str">
        <v>B16Y734</v>
      </c>
      <c r="E69" s="4" t="str">
        <v>Đinh Vũ Tiến</v>
      </c>
      <c r="F69" s="4" t="str">
        <v>tiendv2</v>
      </c>
      <c r="G69" s="4" t="str">
        <v>BO</v>
      </c>
      <c r="H69" s="4" t="str">
        <v>Marketing</v>
      </c>
      <c r="I69" s="4" t="str">
        <v>Operation Team</v>
      </c>
      <c r="J69" s="4" t="str">
        <v>HCM</v>
      </c>
      <c r="K69" s="4" t="str">
        <v>In Use</v>
      </c>
    </row>
  </sheetData>
  <autoFilter ref="A1:K69" xr:uid="{A86DA564-5337-4359-88B9-A726C9A136F9}">
    <filterColumn colId="2">
      <filters>
        <filter val="Dell U2723QE 27 inches"/>
      </filters>
    </filterColumn>
  </autoFilter>
  <conditionalFormatting sqref="A2:K100">
    <cfRule type="expression" dxfId="18" priority="1">
      <formula>$K2="In Stock"</formula>
    </cfRule>
  </conditionalFormatting>
  <conditionalFormatting sqref="A2:K100">
    <cfRule type="expression" dxfId="17" priority="2">
      <formula>$K2="In Use"</formula>
    </cfRule>
  </conditionalFormatting>
  <conditionalFormatting sqref="A2:K100">
    <cfRule type="expression" dxfId="16" priority="3">
      <formula>$K2="Damaged"</formula>
    </cfRule>
  </conditionalFormatting>
  <conditionalFormatting sqref="A2:K532">
    <cfRule type="expression" dxfId="15" priority="4" stopIfTrue="1">
      <formula>$K2="Warranty"</formula>
    </cfRule>
  </conditionalFormatting>
  <dataValidations count="1">
    <dataValidation type="list" allowBlank="1" showInputMessage="1" showErrorMessage="1" errorTitle="Invalid Condition" error="Please select a condition from the drop-down list." sqref="K2:K69" xr:uid="{29A0C9AA-E534-486B-95E9-1A958DBE3857}">
      <formula1>"In Use,In Stock,Lost,Low Perf,Damaged,Warranty"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7E877-891A-475F-95B7-4E78A117CE64}">
  <sheetPr>
    <tabColor theme="7"/>
  </sheetPr>
  <dimension ref="A1:K15"/>
  <sheetViews>
    <sheetView workbookViewId="0">
      <selection activeCell="E21" sqref="E21"/>
    </sheetView>
  </sheetViews>
  <sheetFormatPr defaultRowHeight="15"/>
  <cols>
    <col min="1" max="1" width="4.42578125" customWidth="1"/>
    <col min="2" max="2" width="8.7109375" customWidth="1"/>
    <col min="3" max="3" width="37.7109375" style="108" customWidth="1"/>
    <col min="4" max="4" width="20" bestFit="1" customWidth="1"/>
    <col min="5" max="5" width="24" customWidth="1"/>
    <col min="6" max="6" width="12.28515625" customWidth="1"/>
    <col min="7" max="7" width="14.85546875" customWidth="1"/>
    <col min="8" max="8" width="16.140625" customWidth="1"/>
    <col min="9" max="9" width="15" customWidth="1"/>
    <col min="10" max="10" width="8.85546875" customWidth="1"/>
    <col min="11" max="11" width="9.85546875" customWidth="1"/>
  </cols>
  <sheetData>
    <row r="1" spans="1:11" ht="15" customHeight="1">
      <c r="A1" s="36" t="s">
        <v>61</v>
      </c>
      <c r="B1" s="36" t="s">
        <v>43</v>
      </c>
      <c r="C1" s="36" t="s">
        <v>45</v>
      </c>
      <c r="D1" s="36" t="s">
        <v>68</v>
      </c>
      <c r="E1" s="36" t="s">
        <v>88</v>
      </c>
      <c r="F1" s="36" t="s">
        <v>89</v>
      </c>
      <c r="G1" s="36" t="s">
        <v>25</v>
      </c>
      <c r="H1" s="36" t="s">
        <v>64</v>
      </c>
      <c r="I1" s="36" t="s">
        <v>27</v>
      </c>
      <c r="J1" s="36" t="s">
        <v>13</v>
      </c>
      <c r="K1" s="36" t="s">
        <v>63</v>
      </c>
    </row>
    <row r="2" spans="1:11" ht="15" customHeight="1">
      <c r="A2" s="110" cm="1">
        <f t="array" ref="A2:A15">IFERROR(_xlfn.VSTACK(_xlfn._xlws.FILTER(Detail!A2:A532,(Detail!B2:B532="IPAD")*((Detail!C2:C532="In Use")+(Detail!C2:C532="In Stock")+(Detail!C2:C532="Damaged")+(Detail!C2:C532="Sold")+(Detail!C2:C532="Lost")+(Detail!C2:C532="Warranty"))*((Detail!G2:G532="HCM")+(Detail!G2:G532="HN")),""),_xlfn._xlws.FILTER(Detail!A2:A532,(Detail!B2:B532="SMARTPHONE")*((Detail!C2:C532="In Use")+(Detail!C2:C532="In Stock")+(Detail!C2:C532="Damaged")+(Detail!C2:C532="Sold")+(Detail!C2:C532="Lost")+(Detail!C2:C532="Warranty"))*((Detail!G2:G532="HCM")+(Detail!G2:G532="HN")),""),_xlfn._xlws.FILTER(Detail!A2:A532,(Detail!B2:B532="PRINTER")*((Detail!C2:C532="In Use")+(Detail!C2:C532="In Stock")+(Detail!C2:C532="Damaged")+(Detail!C2:C532="Sold")+(Detail!C2:C532="Lost")+(Detail!C2:C532="Warranty"))*((Detail!G2:G532="HCM")+(Detail!G2:G532="HN")),""),_xlfn._xlws.FILTER(Detail!A2:A532,(Detail!B2:B532="ROUTER")*((Detail!C2:C532="In Use")+(Detail!C2:C532="In Stock")+(Detail!C2:C532="Damaged")+(Detail!C2:C532="Sold")+(Detail!C2:C532="Lost")+(Detail!C2:C532="Warranty"))*((Detail!G2:G532="HCM")+(Detail!G2:G532="HN")),""),_xlfn._xlws.FILTER(Detail!A2:A532,(Detail!B2:B532="CPU")*((Detail!C2:C532="In Use")+(Detail!C2:C532="In Stock")+(Detail!C2:C532="Damaged")+(Detail!C2:C532="Sold")+(Detail!C2:C532="Lost")+(Detail!C2:C532="Warranty"))*((Detail!G2:G532="HCM")+(Detail!G2:G532="HN")),"")),"")</f>
        <v>311</v>
      </c>
      <c r="B2" s="110" t="str" cm="1">
        <f t="array" ref="B2:B15">IFERROR(_xlfn.VSTACK(_xlfn._xlws.FILTER(Detail!I2:I532,(Detail!B2:B532="IPAD")*((Detail!C2:C532="In Use")+(Detail!C2:C532="In Stock")+(Detail!C2:C532="Damaged")+(Detail!C2:C532="Sold")+(Detail!C2:C532="Lost")+(Detail!C2:C532="Warranty"))*((Detail!G2:G532="HCM")+(Detail!G2:G532="HN")),""),_xlfn._xlws.FILTER(Detail!I2:I532,(Detail!B2:B532="SMARTPHONE")*((Detail!C2:C532="In Use")+(Detail!C2:C532="In Stock")+(Detail!C2:C532="Damaged")+(Detail!C2:C532="Sold")+(Detail!C2:C532="Lost")+(Detail!C2:C532="Warranty"))*((Detail!G2:G532="HCM")+(Detail!G2:G532="HN")),""),_xlfn._xlws.FILTER(Detail!I2:I532,(Detail!B2:B532="PRINTER")*((Detail!C2:C532="In Use")+(Detail!C2:C532="In Stock")+(Detail!C2:C532="Damaged")+(Detail!C2:C532="Sold")+(Detail!C2:C532="Lost")+(Detail!C2:C532="Warranty"))*((Detail!G2:G532="HCM")+(Detail!G2:G532="HN")),""),_xlfn._xlws.FILTER(Detail!I2:I532,(Detail!B2:B532="ROUTER")*((Detail!C2:C532="In Use")+(Detail!C2:C532="In Stock")+(Detail!C2:C532="Damaged")+(Detail!C2:C532="Sold")+(Detail!C2:C532="Lost")+(Detail!C2:C532="Warranty"))*((Detail!G2:G532="HCM")+(Detail!G2:G532="HN")),""),_xlfn._xlws.FILTER(Detail!I2:I532,(Detail!B2:B532="CPU")*((Detail!C2:C532="In Use")+(Detail!C2:C532="In Stock")+(Detail!C2:C532="Damaged")+(Detail!C2:C532="Sold")+(Detail!C2:C532="Lost")+(Detail!C2:C532="Warranty"))*((Detail!G2:G532="HCM")+(Detail!G2:G532="HN")),"")),"")</f>
        <v>IPAD0001</v>
      </c>
      <c r="C2" s="110" t="str" cm="1">
        <f t="array" ref="C2:C15">IFERROR(_xlfn.VSTACK(_xlfn._xlws.FILTER(Detail!K2:K532,(Detail!B2:B532="IPAD")*((Detail!C2:C532="In Use")+(Detail!C2:C532="In Stock")+(Detail!C2:C532="Damaged")+(Detail!C2:C532="Sold")+(Detail!C2:C532="Lost")+(Detail!C2:C532="Warranty"))*((Detail!G2:G532="HCM")+(Detail!G2:G532="HN")),""),_xlfn._xlws.FILTER(Detail!K2:K532,(Detail!B2:B532="SMARTPHONE")*((Detail!C2:C532="In Use")+(Detail!C2:C532="In Stock")+(Detail!C2:C532="Damaged")+(Detail!C2:C532="Sold")+(Detail!C2:C532="Lost")+(Detail!C2:C532="Warranty"))*((Detail!G2:G532="HCM")+(Detail!G2:G532="HN")),""),_xlfn._xlws.FILTER(Detail!K2:K532,(Detail!B2:B532="PRINTER")*((Detail!C2:C532="In Use")+(Detail!C2:C532="In Stock")+(Detail!C2:C532="Damaged")+(Detail!C2:C532="Sold")+(Detail!C2:C532="Lost")+(Detail!C2:C532="Warranty"))*((Detail!G2:G532="HCM")+(Detail!G2:G532="HN")),""),_xlfn._xlws.FILTER(Detail!K2:K532,(Detail!B2:B532="ROUTER")*((Detail!C2:C532="In Use")+(Detail!C2:C532="In Stock")+(Detail!C2:C532="Damaged")+(Detail!C2:C532="Sold")+(Detail!C2:C532="Lost")+(Detail!C2:C532="Warranty"))*((Detail!G2:G532="HCM")+(Detail!G2:G532="HN")),""),_xlfn._xlws.FILTER(Detail!K2:K532,(Detail!B2:B532="CPU")*((Detail!C2:C532="In Use")+(Detail!C2:C532="In Stock")+(Detail!C2:C532="Damaged")+(Detail!C2:C532="Sold")+(Detail!C2:C532="Lost")+(Detail!C2:C532="Warranty"))*((Detail!G2:G532="HCM")+(Detail!G2:G532="HN")),"")),"")</f>
        <v>iPad Mini 6 Cellular</v>
      </c>
      <c r="D2" s="110" t="str" cm="1">
        <f t="array" ref="D2:D15">IFERROR(_xlfn.VSTACK(_xlfn._xlws.FILTER(Detail!P2:P532,(Detail!B2:B532="IPAD")*((Detail!C2:C532="In Use")+(Detail!C2:C532="In Stock")+(Detail!C2:C532="Damaged")+(Detail!C2:C532="Sold")+(Detail!C2:C532="Lost")+(Detail!C2:C532="Warranty"))*((Detail!G2:G532="HCM")+(Detail!G2:G532="HN")),""),_xlfn._xlws.FILTER(Detail!P2:P532,(Detail!B2:B532="SMARTPHONE")*((Detail!C2:C532="In Use")+(Detail!C2:C532="In Stock")+(Detail!C2:C532="Damaged")+(Detail!C2:C532="Sold")+(Detail!C2:C532="Lost")+(Detail!C2:C532="Warranty"))*((Detail!G2:G532="HCM")+(Detail!G2:G532="HN")),""),_xlfn._xlws.FILTER(Detail!P2:P532,(Detail!B2:B532="PRINTER")*((Detail!C2:C532="In Use")+(Detail!C2:C532="In Stock")+(Detail!C2:C532="Damaged")+(Detail!C2:C532="Sold")+(Detail!C2:C532="Lost")+(Detail!C2:C532="Warranty"))*((Detail!G2:G532="HCM")+(Detail!G2:G532="HN")),""),_xlfn._xlws.FILTER(Detail!P2:P532,(Detail!B2:B532="ROUTER")*((Detail!C2:C532="In Use")+(Detail!C2:C532="In Stock")+(Detail!C2:C532="Damaged")+(Detail!C2:C532="Sold")+(Detail!C2:C532="Lost")+(Detail!C2:C532="Warranty"))*((Detail!G2:G532="HCM")+(Detail!G2:G532="HN")),""),_xlfn._xlws.FILTER(Detail!P2:P532,(Detail!B2:B532="CPU")*((Detail!C2:C532="In Use")+(Detail!C2:C532="In Stock")+(Detail!C2:C532="Damaged")+(Detail!C2:C532="Sold")+(Detail!C2:C532="Lost")+(Detail!C2:C532="Warranty"))*((Detail!G2:G532="HCM")+(Detail!G2:G532="HN")),"")),"")</f>
        <v>NMXRK6LFPM</v>
      </c>
      <c r="E2" s="110" t="str" cm="1">
        <f t="array" ref="E2:E15">IFERROR(_xlfn.VSTACK(_xlfn._xlws.FILTER(Detail!AJ2:AJ532,(Detail!B2:B532="IPAD")*((Detail!C2:C532="In Use")+(Detail!C2:C532="In Stock")+(Detail!C2:C532="Damaged")+(Detail!C2:C532="Sold")+(Detail!C2:C532="Lost")+(Detail!C2:C532="Warranty"))*((Detail!G2:G532="HCM")+(Detail!G2:G532="HN")),""),_xlfn._xlws.FILTER(Detail!AJ2:AJ532,(Detail!B2:B532="SMARTPHONE")*((Detail!C2:C532="In Use")+(Detail!C2:C532="In Stock")+(Detail!C2:C532="Damaged")+(Detail!C2:C532="Sold")+(Detail!C2:C532="Lost")+(Detail!C2:C532="Warranty"))*((Detail!G2:G532="HCM")+(Detail!G2:G532="HN")),""),_xlfn._xlws.FILTER(Detail!AJ2:AJ532,(Detail!B2:B532="PRINTER")*((Detail!C2:C532="In Use")+(Detail!C2:C532="In Stock")+(Detail!C2:C532="Damaged")+(Detail!C2:C532="Sold")+(Detail!C2:C532="Lost")+(Detail!C2:C532="Warranty"))*((Detail!G2:G532="HCM")+(Detail!G2:G532="HN")),""),_xlfn._xlws.FILTER(Detail!AJ2:AJ532,(Detail!B2:B532="ROUTER")*((Detail!C2:C532="In Use")+(Detail!C2:C532="In Stock")+(Detail!C2:C532="Damaged")+(Detail!C2:C532="Sold")+(Detail!C2:C532="Lost")+(Detail!C2:C532="Warranty"))*((Detail!G2:G532="HCM")+(Detail!G2:G532="HN")),""),_xlfn._xlws.FILTER(Detail!AJ2:AJ532,(Detail!B2:B532="CPU")*((Detail!C2:C532="In Use")+(Detail!C2:C532="In Stock")+(Detail!C2:C532="Damaged")+(Detail!C2:C532="Sold")+(Detail!C2:C532="Lost")+(Detail!C2:C532="Warranty"))*((Detail!G2:G532="HCM")+(Detail!G2:G532="HN")),"")),"")</f>
        <v>Nguyễn Quý</v>
      </c>
      <c r="F2" s="110" t="str" cm="1">
        <f t="array" ref="F2:F15">IFERROR(_xlfn.VSTACK(_xlfn._xlws.FILTER(Detail!AK2:AK532,(Detail!B2:B532="IPAD")*((Detail!C2:C532="In Use")+(Detail!C2:C532="In Stock")+(Detail!C2:C532="Damaged")+(Detail!C2:C532="Sold")+(Detail!C2:C532="Lost")+(Detail!C2:C532="Warranty"))*((Detail!G2:G532="HCM")+(Detail!G2:G532="HN")),""),_xlfn._xlws.FILTER(Detail!AK2:AK532,(Detail!B2:B532="SMARTPHONE")*((Detail!C2:C532="In Use")+(Detail!C2:C532="In Stock")+(Detail!C2:C532="Damaged")+(Detail!C2:C532="Sold")+(Detail!C2:C532="Lost")+(Detail!C2:C532="Warranty"))*((Detail!G2:G532="HCM")+(Detail!G2:G532="HN")),""),_xlfn._xlws.FILTER(Detail!AK2:AK532,(Detail!B2:B532="PRINTER")*((Detail!C2:C532="In Use")+(Detail!C2:C532="In Stock")+(Detail!C2:C532="Damaged")+(Detail!C2:C532="Sold")+(Detail!C2:C532="Lost")+(Detail!C2:C532="Warranty"))*((Detail!G2:G532="HCM")+(Detail!G2:G532="HN")),""),_xlfn._xlws.FILTER(Detail!AK2:AK532,(Detail!B2:B532="ROUTER")*((Detail!C2:C532="In Use")+(Detail!C2:C532="In Stock")+(Detail!C2:C532="Damaged")+(Detail!C2:C532="Sold")+(Detail!C2:C532="Lost")+(Detail!C2:C532="Warranty"))*((Detail!G2:G532="HCM")+(Detail!G2:G532="HN")),""),_xlfn._xlws.FILTER(Detail!AK2:AK532,(Detail!B2:B532="CPU")*((Detail!C2:C532="In Use")+(Detail!C2:C532="In Stock")+(Detail!C2:C532="Damaged")+(Detail!C2:C532="Sold")+(Detail!C2:C532="Lost")+(Detail!C2:C532="Warranty"))*((Detail!G2:G532="HCM")+(Detail!G2:G532="HN")),"")),"")</f>
        <v>quyn</v>
      </c>
      <c r="G2" s="110" t="str" cm="1">
        <f t="array" ref="G2:G15">IFERROR(_xlfn.VSTACK(_xlfn._xlws.FILTER(Detail!D2:D532,(Detail!B2:B532="IPAD")*((Detail!C2:C532="In Use")+(Detail!C2:C532="In Stock")+(Detail!C2:C532="Damaged")+(Detail!C2:C532="Sold")+(Detail!C2:C532="Lost")+(Detail!C2:C532="Warranty"))*((Detail!G2:G532="HCM")+(Detail!G2:G532="HN")),""),_xlfn._xlws.FILTER(Detail!D2:D532,(Detail!B2:B532="SMARTPHONE")*((Detail!C2:C532="In Use")+(Detail!C2:C532="In Stock")+(Detail!C2:C532="Damaged")+(Detail!C2:C532="Sold")+(Detail!C2:C532="Lost")+(Detail!C2:C532="Warranty"))*((Detail!G2:G532="HCM")+(Detail!G2:G532="HN")),""),_xlfn._xlws.FILTER(Detail!D2:D532,(Detail!B2:B532="PRINTER")*((Detail!C2:C532="In Use")+(Detail!C2:C532="In Stock")+(Detail!C2:C532="Damaged")+(Detail!C2:C532="Sold")+(Detail!C2:C532="Lost")+(Detail!C2:C532="Warranty"))*((Detail!G2:G532="HCM")+(Detail!G2:G532="HN")),""),_xlfn._xlws.FILTER(Detail!D2:D532,(Detail!B2:B532="ROUTER")*((Detail!C2:C532="In Use")+(Detail!C2:C532="In Stock")+(Detail!C2:C532="Damaged")+(Detail!C2:C532="Sold")+(Detail!C2:C532="Lost")+(Detail!C2:C532="Warranty"))*((Detail!G2:G532="HCM")+(Detail!G2:G532="HN")),""),_xlfn._xlws.FILTER(Detail!D2:D532,(Detail!B2:B532="CPU")*((Detail!C2:C532="In Use")+(Detail!C2:C532="In Stock")+(Detail!C2:C532="Damaged")+(Detail!C2:C532="Sold")+(Detail!C2:C532="Lost")+(Detail!C2:C532="Warranty"))*((Detail!G2:G532="HCM")+(Detail!G2:G532="HN")),"")),"")</f>
        <v>Project</v>
      </c>
      <c r="H2" s="110" t="str" cm="1">
        <f t="array" ref="H2:H15">IFERROR(_xlfn.VSTACK(_xlfn._xlws.FILTER(Detail!E2:E532,(Detail!B2:B532="IPAD")*((Detail!C2:C532="In Use")+(Detail!C2:C532="In Stock")+(Detail!C2:C532="Damaged")+(Detail!C2:C532="Sold")+(Detail!C2:C532="Lost")+(Detail!C2:C532="Warranty"))*((Detail!G2:G532="HCM")+(Detail!G2:G532="HN")),""),_xlfn._xlws.FILTER(Detail!E2:E532,(Detail!B2:B532="SMARTPHONE")*((Detail!C2:C532="In Use")+(Detail!C2:C532="In Stock")+(Detail!C2:C532="Damaged")+(Detail!C2:C532="Sold")+(Detail!C2:C532="Lost")+(Detail!C2:C532="Warranty"))*((Detail!G2:G532="HCM")+(Detail!G2:G532="HN")),""),_xlfn._xlws.FILTER(Detail!E2:E532,(Detail!B2:B532="PRINTER")*((Detail!C2:C532="In Use")+(Detail!C2:C532="In Stock")+(Detail!C2:C532="Damaged")+(Detail!C2:C532="Sold")+(Detail!C2:C532="Lost")+(Detail!C2:C532="Warranty"))*((Detail!G2:G532="HCM")+(Detail!G2:G532="HN")),""),_xlfn._xlws.FILTER(Detail!E2:E532,(Detail!B2:B532="ROUTER")*((Detail!C2:C532="In Use")+(Detail!C2:C532="In Stock")+(Detail!C2:C532="Damaged")+(Detail!C2:C532="Sold")+(Detail!C2:C532="Lost")+(Detail!C2:C532="Warranty"))*((Detail!G2:G532="HCM")+(Detail!G2:G532="HN")),""),_xlfn._xlws.FILTER(Detail!E2:E532,(Detail!B2:B532="CPU")*((Detail!C2:C532="In Use")+(Detail!C2:C532="In Stock")+(Detail!C2:C532="Damaged")+(Detail!C2:C532="Sold")+(Detail!C2:C532="Lost")+(Detail!C2:C532="Warranty"))*((Detail!G2:G532="HCM")+(Detail!G2:G532="HN")),"")),"")</f>
        <v>Tech</v>
      </c>
      <c r="I2" s="110" t="str" cm="1">
        <f t="array" ref="I2:I15">IFERROR(_xlfn.VSTACK(_xlfn._xlws.FILTER(Detail!F2:F532,(Detail!B2:B532="IPAD")*((Detail!C2:C532="In Use")+(Detail!C2:C532="In Stock")+(Detail!C2:C532="Damaged")+(Detail!C2:C532="Sold")+(Detail!C2:C532="Lost")+(Detail!C2:C532="Warranty"))*((Detail!G2:G532="HCM")+(Detail!G2:G532="HN")),""),_xlfn._xlws.FILTER(Detail!F2:F532,(Detail!B2:B532="SMARTPHONE")*((Detail!C2:C532="In Use")+(Detail!C2:C532="In Stock")+(Detail!C2:C532="Damaged")+(Detail!C2:C532="Sold")+(Detail!C2:C532="Lost")+(Detail!C2:C532="Warranty"))*((Detail!G2:G532="HCM")+(Detail!G2:G532="HN")),""),_xlfn._xlws.FILTER(Detail!F2:F532,(Detail!B2:B532="PRINTER")*((Detail!C2:C532="In Use")+(Detail!C2:C532="In Stock")+(Detail!C2:C532="Damaged")+(Detail!C2:C532="Sold")+(Detail!C2:C532="Lost")+(Detail!C2:C532="Warranty"))*((Detail!G2:G532="HCM")+(Detail!G2:G532="HN")),""),_xlfn._xlws.FILTER(Detail!F2:F532,(Detail!B2:B532="ROUTER")*((Detail!C2:C532="In Use")+(Detail!C2:C532="In Stock")+(Detail!C2:C532="Damaged")+(Detail!C2:C532="Sold")+(Detail!C2:C532="Lost")+(Detail!C2:C532="Warranty"))*((Detail!G2:G532="HCM")+(Detail!G2:G532="HN")),""),_xlfn._xlws.FILTER(Detail!F2:F532,(Detail!B2:B532="CPU")*((Detail!C2:C532="In Use")+(Detail!C2:C532="In Stock")+(Detail!C2:C532="Damaged")+(Detail!C2:C532="Sold")+(Detail!C2:C532="Lost")+(Detail!C2:C532="Warranty"))*((Detail!G2:G532="HCM")+(Detail!G2:G532="HN")),"")),"")</f>
        <v>Venture</v>
      </c>
      <c r="J2" s="110" t="str" cm="1">
        <f t="array" ref="J2:J15">IFERROR(_xlfn.VSTACK(_xlfn._xlws.FILTER(Detail!G2:G532,(Detail!B2:B532="IPAD")*((Detail!C2:C532="In Use")+(Detail!C2:C532="In Stock")+(Detail!C2:C532="Damaged")+(Detail!C2:C532="Sold")+(Detail!C2:C532="Lost")+(Detail!C2:C532="Warranty"))*((Detail!G2:G532="HCM")+(Detail!G2:G532="HN")),""),_xlfn._xlws.FILTER(Detail!G2:G532,(Detail!B2:B532="SMARTPHONE")*((Detail!C2:C532="In Use")+(Detail!C2:C532="In Stock")+(Detail!C2:C532="Damaged")+(Detail!C2:C532="Sold")+(Detail!C2:C532="Lost")+(Detail!C2:C532="Warranty"))*((Detail!G2:G532="HCM")+(Detail!G2:G532="HN")),""),_xlfn._xlws.FILTER(Detail!G2:G532,(Detail!B2:B532="PRINTER")*((Detail!C2:C532="In Use")+(Detail!C2:C532="In Stock")+(Detail!C2:C532="Damaged")+(Detail!C2:C532="Sold")+(Detail!C2:C532="Lost")+(Detail!C2:C532="Warranty"))*((Detail!G2:G532="HCM")+(Detail!G2:G532="HN")),""),_xlfn._xlws.FILTER(Detail!G2:G532,(Detail!B2:B532="ROUTER")*((Detail!C2:C532="In Use")+(Detail!C2:C532="In Stock")+(Detail!C2:C532="Damaged")+(Detail!C2:C532="Sold")+(Detail!C2:C532="Lost")+(Detail!C2:C532="Warranty"))*((Detail!G2:G532="HCM")+(Detail!G2:G532="HN")),""),_xlfn._xlws.FILTER(Detail!G2:G532,(Detail!B2:B532="CPU")*((Detail!C2:C532="In Use")+(Detail!C2:C532="In Stock")+(Detail!C2:C532="Damaged")+(Detail!C2:C532="Sold")+(Detail!C2:C532="Lost")+(Detail!C2:C532="Warranty"))*((Detail!G2:G532="HCM")+(Detail!G2:G532="HN")),"")),"")</f>
        <v>HCM</v>
      </c>
      <c r="K2" s="110" t="str" cm="1">
        <f t="array" ref="K2:K15">IFERROR(_xlfn.VSTACK(_xlfn._xlws.FILTER(Detail!C2:C532,(Detail!B2:B532="IPAD")*((Detail!C2:C532="In Use")+(Detail!C2:C532="In Stock")+(Detail!C2:C532="Damaged")+(Detail!C2:C532="Sold")+(Detail!C2:C532="Lost")+(Detail!C2:C532="Warranty"))*((Detail!G2:G532="HCM")+(Detail!G2:G532="HN")),""),_xlfn._xlws.FILTER(Detail!C2:C532,(Detail!B2:B532="SMARTPHONE")*((Detail!C2:C532="In Use")+(Detail!C2:C532="In Stock")+(Detail!C2:C532="Damaged")+(Detail!C2:C532="Sold")+(Detail!C2:C532="Lost")+(Detail!C2:C532="Warranty"))*((Detail!G2:G532="HCM")+(Detail!G2:G532="HN")),""),_xlfn._xlws.FILTER(Detail!C2:C532,(Detail!B2:B532="PRINTER")*((Detail!C2:C532="In Use")+(Detail!C2:C532="In Stock")+(Detail!C2:C532="Damaged")+(Detail!C2:C532="Sold")+(Detail!C2:C532="Lost")+(Detail!C2:C532="Warranty"))*((Detail!G2:G532="HCM")+(Detail!G2:G532="HN")),""),_xlfn._xlws.FILTER(Detail!C2:C532,(Detail!B2:B532="ROUTER")*((Detail!C2:C532="In Use")+(Detail!C2:C532="In Stock")+(Detail!C2:C532="Damaged")+(Detail!C2:C532="Sold")+(Detail!C2:C532="Lost")+(Detail!C2:C532="Warranty"))*((Detail!G2:G532="HCM")+(Detail!G2:G532="HN")),""),_xlfn._xlws.FILTER(Detail!C2:C532,(Detail!B2:B532="CPU")*((Detail!C2:C532="In Use")+(Detail!C2:C532="In Stock")+(Detail!C2:C532="Damaged")+(Detail!C2:C532="Sold")+(Detail!C2:C532="Lost")+(Detail!C2:C532="Warranty"))*((Detail!G2:G532="HCM")+(Detail!G2:G532="HN")),"")),"")</f>
        <v>In Use</v>
      </c>
    </row>
    <row r="3" spans="1:11" ht="15" customHeight="1">
      <c r="A3" s="110">
        <v>312</v>
      </c>
      <c r="B3" s="110" t="str">
        <v>IPAD0002</v>
      </c>
      <c r="C3" s="110" t="str">
        <v>iPad Mini 6 Cellular</v>
      </c>
      <c r="D3" s="110" t="str">
        <v>X6T76Y30TW</v>
      </c>
      <c r="E3" s="110" t="str">
        <v>Nguyễn Văn Bình</v>
      </c>
      <c r="F3" s="110" t="str">
        <v>binhnv5</v>
      </c>
      <c r="G3" s="110" t="str">
        <v>Project</v>
      </c>
      <c r="H3" s="110" t="str">
        <v>Tech</v>
      </c>
      <c r="I3" s="110" t="str">
        <v>Venture</v>
      </c>
      <c r="J3" s="110" t="str">
        <v>HCM</v>
      </c>
      <c r="K3" s="110" t="str">
        <v>In Use</v>
      </c>
    </row>
    <row r="4" spans="1:11" ht="15" customHeight="1">
      <c r="A4" s="110">
        <v>313</v>
      </c>
      <c r="B4" s="110" t="str">
        <v>IPAD0003</v>
      </c>
      <c r="C4" s="110" t="str">
        <v>iPad Mini 6 Wifi Only</v>
      </c>
      <c r="D4" s="110" t="str">
        <v>G7974YV4LD</v>
      </c>
      <c r="E4" s="110" t="str">
        <v>Trịnh Minh Toàn</v>
      </c>
      <c r="F4" s="110" t="str">
        <v>toantm3</v>
      </c>
      <c r="G4" s="110" t="str">
        <v>Project</v>
      </c>
      <c r="H4" s="110" t="str">
        <v>Tech</v>
      </c>
      <c r="I4" s="110" t="str">
        <v>Venture</v>
      </c>
      <c r="J4" s="110" t="str">
        <v>HCM</v>
      </c>
      <c r="K4" s="110" t="str">
        <v>In Use</v>
      </c>
    </row>
    <row r="5" spans="1:11" ht="15" customHeight="1">
      <c r="A5" s="110">
        <v>314</v>
      </c>
      <c r="B5" s="110" t="str">
        <v>IPAD0004</v>
      </c>
      <c r="C5" s="110" t="str">
        <v>iPad Mini 6 Wifi Only</v>
      </c>
      <c r="D5" s="110" t="str">
        <v>K7G23TFWHY</v>
      </c>
      <c r="E5" s="110" t="str">
        <v>Phùng Thanh Huy</v>
      </c>
      <c r="F5" s="110" t="str">
        <v>huypt3</v>
      </c>
      <c r="G5" s="110" t="str">
        <v>Project</v>
      </c>
      <c r="H5" s="110" t="str">
        <v>Tech</v>
      </c>
      <c r="I5" s="110" t="str">
        <v>Venture</v>
      </c>
      <c r="J5" s="110" t="str">
        <v>HCM</v>
      </c>
      <c r="K5" s="110" t="str">
        <v>In Use</v>
      </c>
    </row>
    <row r="6" spans="1:11" ht="15" customHeight="1">
      <c r="A6" s="110">
        <v>304</v>
      </c>
      <c r="B6" s="110" t="str">
        <v>SPH0001</v>
      </c>
      <c r="C6" s="110" t="str">
        <v>Iphone 8 Plus</v>
      </c>
      <c r="D6" s="110" t="str">
        <v>FD2XC05YJCM4</v>
      </c>
      <c r="E6" s="110" t="str">
        <v>Nguyễn Văn Bình</v>
      </c>
      <c r="F6" s="110" t="str">
        <v>binhnv5</v>
      </c>
      <c r="G6" s="110" t="str">
        <v>Project</v>
      </c>
      <c r="H6" s="110" t="str">
        <v>Tech</v>
      </c>
      <c r="I6" s="110" t="str">
        <v>Venture</v>
      </c>
      <c r="J6" s="110" t="str">
        <v>HCM</v>
      </c>
      <c r="K6" s="110" t="str">
        <v>In Use</v>
      </c>
    </row>
    <row r="7" spans="1:11" ht="15" customHeight="1">
      <c r="A7" s="110">
        <v>305</v>
      </c>
      <c r="B7" s="110" t="str">
        <v>SPH0002</v>
      </c>
      <c r="C7" s="110" t="str">
        <v>Iphone X</v>
      </c>
      <c r="D7" s="110" t="str">
        <v>3530.4509.2823.531</v>
      </c>
      <c r="E7" s="110" t="str">
        <v>Nguyễn Văn Bình</v>
      </c>
      <c r="F7" s="110" t="str">
        <v>binhnv5</v>
      </c>
      <c r="G7" s="110" t="str">
        <v>Project</v>
      </c>
      <c r="H7" s="110" t="str">
        <v>Tech</v>
      </c>
      <c r="I7" s="110" t="str">
        <v>Venture</v>
      </c>
      <c r="J7" s="110" t="str">
        <v>HCM</v>
      </c>
      <c r="K7" s="110" t="str">
        <v>In Use</v>
      </c>
    </row>
    <row r="8" spans="1:11" ht="15" customHeight="1">
      <c r="A8" s="110">
        <v>306</v>
      </c>
      <c r="B8" s="110" t="str">
        <v>SPH0003</v>
      </c>
      <c r="C8" s="110" t="str">
        <v>Oppo F11 Pro</v>
      </c>
      <c r="D8" s="110" t="str">
        <v>KZW8BYZPNR7TNK9S</v>
      </c>
      <c r="E8" s="110" t="str">
        <v/>
      </c>
      <c r="F8" s="110">
        <v>0</v>
      </c>
      <c r="G8" s="110" t="str">
        <v/>
      </c>
      <c r="H8" s="110" t="str">
        <v/>
      </c>
      <c r="I8" s="110" t="str">
        <v/>
      </c>
      <c r="J8" s="110" t="str">
        <v>HCM</v>
      </c>
      <c r="K8" s="110" t="str">
        <v>In Stock</v>
      </c>
    </row>
    <row r="9" spans="1:11" ht="15" customHeight="1">
      <c r="A9" s="110">
        <v>307</v>
      </c>
      <c r="B9" s="110" t="str">
        <v>SPH0004</v>
      </c>
      <c r="C9" s="110" t="str">
        <v>Iphone 8</v>
      </c>
      <c r="D9" s="110" t="str">
        <v>C6KVJHNHJC67</v>
      </c>
      <c r="E9" s="110" t="str">
        <v/>
      </c>
      <c r="F9" s="110">
        <v>0</v>
      </c>
      <c r="G9" s="110" t="str">
        <v/>
      </c>
      <c r="H9" s="110" t="str">
        <v/>
      </c>
      <c r="I9" s="110" t="str">
        <v/>
      </c>
      <c r="J9" s="110" t="str">
        <v>HCM</v>
      </c>
      <c r="K9" s="110" t="str">
        <v>In Stock</v>
      </c>
    </row>
    <row r="10" spans="1:11" ht="15" customHeight="1">
      <c r="A10" s="110">
        <v>308</v>
      </c>
      <c r="B10" s="110" t="str">
        <v>PRN0001</v>
      </c>
      <c r="C10" s="110" t="str">
        <v>Brother PT-D600</v>
      </c>
      <c r="D10" s="110">
        <v>0</v>
      </c>
      <c r="E10" s="110" t="str">
        <v>Nguyễn Viết Khải</v>
      </c>
      <c r="F10" s="110" t="str">
        <v>khainv</v>
      </c>
      <c r="G10" s="110" t="str">
        <v>Undirect IT Staff</v>
      </c>
      <c r="H10" s="110" t="str">
        <v>Tech</v>
      </c>
      <c r="I10" s="110" t="str">
        <v>Operation Team</v>
      </c>
      <c r="J10" s="110" t="str">
        <v>HCM</v>
      </c>
      <c r="K10" s="110" t="str">
        <v>In Use</v>
      </c>
    </row>
    <row r="11" spans="1:11" ht="15" customHeight="1">
      <c r="A11" s="110">
        <v>303</v>
      </c>
      <c r="B11" s="110" t="str">
        <v>RTR0001</v>
      </c>
      <c r="C11" s="110">
        <v>0</v>
      </c>
      <c r="D11" s="110" t="str">
        <v>215412.0004.276</v>
      </c>
      <c r="E11" s="110" t="str">
        <v/>
      </c>
      <c r="F11" s="110">
        <v>0</v>
      </c>
      <c r="G11" s="110" t="str">
        <v/>
      </c>
      <c r="H11" s="110" t="str">
        <v/>
      </c>
      <c r="I11" s="110" t="str">
        <v/>
      </c>
      <c r="J11" s="110" t="str">
        <v>HCM</v>
      </c>
      <c r="K11" s="110" t="str">
        <v>In Use</v>
      </c>
    </row>
    <row r="12" spans="1:11" ht="15" customHeight="1">
      <c r="A12" s="110">
        <v>309</v>
      </c>
      <c r="B12" s="110" t="str">
        <v>RTR0002</v>
      </c>
      <c r="C12" s="110" t="str">
        <v>TP-Link PCI WiFi card TL-WDN4800</v>
      </c>
      <c r="D12" s="110" t="str">
        <v>219AA59000020</v>
      </c>
      <c r="E12" s="110" t="str">
        <v/>
      </c>
      <c r="F12" s="110">
        <v>0</v>
      </c>
      <c r="G12" s="110" t="str">
        <v/>
      </c>
      <c r="H12" s="110" t="str">
        <v/>
      </c>
      <c r="I12" s="110" t="str">
        <v/>
      </c>
      <c r="J12" s="110" t="str">
        <v>HCM</v>
      </c>
      <c r="K12" s="110" t="str">
        <v>In Stock</v>
      </c>
    </row>
    <row r="13" spans="1:11" ht="15" customHeight="1">
      <c r="A13" s="110">
        <v>310</v>
      </c>
      <c r="B13" s="110" t="str">
        <v>RTR0003</v>
      </c>
      <c r="C13" s="110">
        <v>0</v>
      </c>
      <c r="D13" s="110" t="str">
        <v>2208.0340.0024.6</v>
      </c>
      <c r="E13" s="110" t="str">
        <v/>
      </c>
      <c r="F13" s="110">
        <v>0</v>
      </c>
      <c r="G13" s="110" t="str">
        <v/>
      </c>
      <c r="H13" s="110" t="str">
        <v/>
      </c>
      <c r="I13" s="110" t="str">
        <v/>
      </c>
      <c r="J13" s="110" t="str">
        <v>HCM</v>
      </c>
      <c r="K13" s="110" t="str">
        <v>In Use</v>
      </c>
    </row>
    <row r="14" spans="1:11" ht="15" customHeight="1">
      <c r="A14" s="110">
        <v>297</v>
      </c>
      <c r="B14" s="110" t="str">
        <v>CPU0001</v>
      </c>
      <c r="C14" s="110" t="str">
        <v>CPU: Intel Core i7 8700 | RAM: 32GB | SSD 250GB  |Card: Nvidia GTX 1060 6GB</v>
      </c>
      <c r="D14" s="110" t="str">
        <v>1802.2123.1003.240</v>
      </c>
      <c r="E14" s="110" t="str">
        <v>Trịnh Minh Toàn</v>
      </c>
      <c r="F14" s="110" t="str">
        <v>toantm3</v>
      </c>
      <c r="G14" s="110" t="str">
        <v>Project</v>
      </c>
      <c r="H14" s="110" t="str">
        <v>Tech</v>
      </c>
      <c r="I14" s="110" t="str">
        <v>Venture</v>
      </c>
      <c r="J14" s="110" t="str">
        <v>HCM</v>
      </c>
      <c r="K14" s="110" t="str">
        <v>In Use</v>
      </c>
    </row>
    <row r="15" spans="1:11" ht="15" customHeight="1">
      <c r="A15" s="110">
        <v>298</v>
      </c>
      <c r="B15" s="110" t="str">
        <v>CPU0002</v>
      </c>
      <c r="C15" s="110" t="str">
        <v>CPU: Intel Core i5 |RAM: 16GB | SSD 250GB |Graphic: Gigabyte Geforce N3060 Gaming OC-12GD 12GB</v>
      </c>
      <c r="D15" s="110" t="str">
        <v>D85ED3D7E6C8</v>
      </c>
      <c r="E15" s="110" t="str">
        <v>Trịnh Minh Toàn</v>
      </c>
      <c r="F15" s="110" t="str">
        <v>toantm3</v>
      </c>
      <c r="G15" s="110" t="str">
        <v>Project</v>
      </c>
      <c r="H15" s="110" t="str">
        <v>Tech</v>
      </c>
      <c r="I15" s="110" t="str">
        <v>Venture</v>
      </c>
      <c r="J15" s="110" t="str">
        <v>HCM</v>
      </c>
      <c r="K15" s="110" t="str">
        <v>In Use</v>
      </c>
    </row>
  </sheetData>
  <autoFilter ref="A1:K15" xr:uid="{2357E877-891A-475F-95B7-4E78A117CE64}"/>
  <conditionalFormatting sqref="A2:K15">
    <cfRule type="expression" dxfId="14" priority="3">
      <formula>$K2="Damaged"</formula>
    </cfRule>
  </conditionalFormatting>
  <conditionalFormatting sqref="A2:K15">
    <cfRule type="expression" dxfId="13" priority="4">
      <formula>$K2="Sold"</formula>
    </cfRule>
  </conditionalFormatting>
  <conditionalFormatting sqref="A2:K15">
    <cfRule type="expression" dxfId="12" priority="5">
      <formula>$K2="Lost"</formula>
    </cfRule>
  </conditionalFormatting>
  <conditionalFormatting sqref="A2:K532">
    <cfRule type="expression" dxfId="11" priority="6" stopIfTrue="1">
      <formula>$K2="Warranty"</formula>
    </cfRule>
  </conditionalFormatting>
  <conditionalFormatting sqref="A2:K532">
    <cfRule type="expression" dxfId="10" priority="7">
      <formula>$K2="In Stock"</formula>
    </cfRule>
  </conditionalFormatting>
  <conditionalFormatting sqref="A2:K532">
    <cfRule type="expression" dxfId="9" priority="8">
      <formula>$K2="In Use"</formula>
    </cfRule>
  </conditionalFormatting>
  <dataValidations count="1">
    <dataValidation type="list" allowBlank="1" showInputMessage="1" showErrorMessage="1" errorTitle="Invalid Condition" error="Please select a condition from the drop-down list." sqref="K2:K5" xr:uid="{B2C33288-04A7-49F6-9695-EDB780F62969}">
      <formula1>"In Use,In Stock,Lost,Low Perf,Damaged,Warranty"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8EE8D-82E3-4350-B1A3-0A19D7409AB8}">
  <sheetPr>
    <tabColor rgb="FFFFC000"/>
  </sheetPr>
  <dimension ref="A1:B2"/>
  <sheetViews>
    <sheetView workbookViewId="0">
      <selection activeCell="C11" sqref="C11"/>
    </sheetView>
  </sheetViews>
  <sheetFormatPr defaultRowHeight="15"/>
  <cols>
    <col min="2" max="2" width="34" bestFit="1" customWidth="1"/>
  </cols>
  <sheetData>
    <row r="1" spans="1:2">
      <c r="A1" t="s">
        <v>1581</v>
      </c>
      <c r="B1" t="s">
        <v>1582</v>
      </c>
    </row>
    <row r="2" spans="1:2">
      <c r="A2" t="s">
        <v>1583</v>
      </c>
      <c r="B2" t="s">
        <v>1584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453F2-8165-40F2-8CB3-487D68DB277F}">
  <sheetPr>
    <tabColor theme="6"/>
  </sheetPr>
  <dimension ref="A1:C1"/>
  <sheetViews>
    <sheetView workbookViewId="0">
      <selection activeCell="D6" sqref="D6"/>
    </sheetView>
  </sheetViews>
  <sheetFormatPr defaultRowHeight="15"/>
  <cols>
    <col min="2" max="2" width="34.28515625" bestFit="1" customWidth="1"/>
    <col min="3" max="3" width="9.85546875" bestFit="1" customWidth="1"/>
  </cols>
  <sheetData>
    <row r="1" spans="1:3">
      <c r="A1" t="s">
        <v>1585</v>
      </c>
      <c r="B1" t="s">
        <v>1586</v>
      </c>
      <c r="C1" t="s">
        <v>1587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5667F-2468-49BA-A070-34ADA484DB33}">
  <dimension ref="A1:D5"/>
  <sheetViews>
    <sheetView workbookViewId="0">
      <selection activeCell="C2" sqref="C2"/>
    </sheetView>
  </sheetViews>
  <sheetFormatPr defaultRowHeight="15"/>
  <cols>
    <col min="1" max="1" width="16.42578125" bestFit="1" customWidth="1"/>
    <col min="2" max="2" width="36.5703125" bestFit="1" customWidth="1"/>
    <col min="3" max="3" width="15.7109375" bestFit="1" customWidth="1"/>
    <col min="4" max="4" width="9.85546875" bestFit="1" customWidth="1"/>
  </cols>
  <sheetData>
    <row r="1" spans="1:4" ht="15.75">
      <c r="A1" s="18" t="s">
        <v>62</v>
      </c>
      <c r="B1" s="18" t="s">
        <v>45</v>
      </c>
      <c r="C1" s="18" t="s">
        <v>1588</v>
      </c>
      <c r="D1" s="18" t="s">
        <v>1589</v>
      </c>
    </row>
    <row r="2" spans="1:4">
      <c r="A2" s="4" t="s">
        <v>14</v>
      </c>
      <c r="B2" s="17" t="s">
        <v>974</v>
      </c>
      <c r="C2" s="4" t="s">
        <v>981</v>
      </c>
      <c r="D2" s="4" t="s">
        <v>1590</v>
      </c>
    </row>
    <row r="3" spans="1:4" hidden="1">
      <c r="A3" s="4" t="s">
        <v>18</v>
      </c>
      <c r="B3" s="17" t="s">
        <v>112</v>
      </c>
      <c r="C3" s="4" t="s">
        <v>654</v>
      </c>
      <c r="D3" s="4" t="s">
        <v>653</v>
      </c>
    </row>
    <row r="4" spans="1:4" hidden="1">
      <c r="A4" s="4" t="s">
        <v>22</v>
      </c>
      <c r="B4" s="4" t="s">
        <v>674</v>
      </c>
      <c r="C4" s="4"/>
      <c r="D4" s="4" t="s">
        <v>1591</v>
      </c>
    </row>
    <row r="5" spans="1:4" hidden="1">
      <c r="A5" s="4" t="s">
        <v>18</v>
      </c>
      <c r="B5" s="17" t="s">
        <v>112</v>
      </c>
      <c r="C5" s="4" t="s">
        <v>952</v>
      </c>
      <c r="D5" s="4" t="s">
        <v>951</v>
      </c>
    </row>
  </sheetData>
  <conditionalFormatting sqref="B4">
    <cfRule type="expression" dxfId="8" priority="1">
      <formula>$C4="Low Perf"</formula>
    </cfRule>
    <cfRule type="expression" dxfId="7" priority="2">
      <formula>$C4="Damaged"</formula>
    </cfRule>
    <cfRule type="expression" dxfId="6" priority="3">
      <formula>$C4="In Stock"</formula>
    </cfRule>
    <cfRule type="expression" dxfId="5" priority="4">
      <formula>$C4="In Use"</formula>
    </cfRule>
  </conditionalFormatting>
  <conditionalFormatting sqref="C2:C5">
    <cfRule type="duplicateValues" dxfId="4" priority="11"/>
  </conditionalFormatting>
  <conditionalFormatting sqref="C2:D5">
    <cfRule type="expression" dxfId="3" priority="5">
      <formula>$C2="In Stock"</formula>
    </cfRule>
    <cfRule type="expression" dxfId="2" priority="6">
      <formula>$C2="In Use"</formula>
    </cfRule>
  </conditionalFormatting>
  <conditionalFormatting sqref="D2:D5">
    <cfRule type="duplicateValues" dxfId="1" priority="7"/>
    <cfRule type="expression" dxfId="0" priority="687">
      <formula>COUNTIF($F$2:$F$277,D2)&gt;1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685dc86-5860-4347-9ec2-1acc3ad07e99" xsi:nil="true"/>
    <lcf76f155ced4ddcb4097134ff3c332f xmlns="1d344111-7f40-4929-829d-2e1ae3b39f29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5DC618ADBBB24A883E264EF176031F" ma:contentTypeVersion="11" ma:contentTypeDescription="Create a new document." ma:contentTypeScope="" ma:versionID="f0530903b4d0264ebbef506cd00d2c7b">
  <xsd:schema xmlns:xsd="http://www.w3.org/2001/XMLSchema" xmlns:xs="http://www.w3.org/2001/XMLSchema" xmlns:p="http://schemas.microsoft.com/office/2006/metadata/properties" xmlns:ns2="1d344111-7f40-4929-829d-2e1ae3b39f29" xmlns:ns3="2685dc86-5860-4347-9ec2-1acc3ad07e99" targetNamespace="http://schemas.microsoft.com/office/2006/metadata/properties" ma:root="true" ma:fieldsID="8b783d5768d63670ae814d4187833711" ns2:_="" ns3:_="">
    <xsd:import namespace="1d344111-7f40-4929-829d-2e1ae3b39f29"/>
    <xsd:import namespace="2685dc86-5860-4347-9ec2-1acc3ad07e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344111-7f40-4929-829d-2e1ae3b39f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a3bd545-205f-40aa-b2c9-54f2468b84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85dc86-5860-4347-9ec2-1acc3ad07e9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37c1a92-61e0-4c10-a369-f2cef71a7b86}" ma:internalName="TaxCatchAll" ma:showField="CatchAllData" ma:web="2685dc86-5860-4347-9ec2-1acc3ad07e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F71DA67-CD09-414B-856B-2DC41E089823}"/>
</file>

<file path=customXml/itemProps2.xml><?xml version="1.0" encoding="utf-8"?>
<ds:datastoreItem xmlns:ds="http://schemas.openxmlformats.org/officeDocument/2006/customXml" ds:itemID="{3C0A3239-B60E-4484-A43F-93B6B5BD72DB}"/>
</file>

<file path=customXml/itemProps3.xml><?xml version="1.0" encoding="utf-8"?>
<ds:datastoreItem xmlns:ds="http://schemas.openxmlformats.org/officeDocument/2006/customXml" ds:itemID="{B38F5DE4-9E11-4B10-AB82-8C23D0D0CD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Khải. Nguyễn Viết</dc:creator>
  <cp:keywords/>
  <dc:description/>
  <cp:lastModifiedBy>Khải. Nguyễn Viết</cp:lastModifiedBy>
  <cp:revision/>
  <dcterms:created xsi:type="dcterms:W3CDTF">2025-07-29T08:31:00Z</dcterms:created>
  <dcterms:modified xsi:type="dcterms:W3CDTF">2026-08-24T02:24:45Z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0x0101008E5DC618ADBBB24A883E264EF176031F</vt:lpwstr>
  </property>
  <property fmtid="{D5CDD505-2E9C-101B-9397-08002B2CF9AE}" pid="3" name="MediaServiceImageTags">
    <vt:lpwstr/>
  </property>
  <property fmtid="{D5CDD505-2E9C-101B-9397-08002B2CF9AE}" pid="4" name="MSIP_Label_f5bd8868-56ff-4ad6-98be-966809bec5be_Enabled">
    <vt:lpwstr>true</vt:lpwstr>
  </property>
  <property fmtid="{D5CDD505-2E9C-101B-9397-08002B2CF9AE}" pid="5" name="MSIP_Label_f5bd8868-56ff-4ad6-98be-966809bec5be_SetDate">
    <vt:lpwstr>2026-04-09T08:26:30Z</vt:lpwstr>
  </property>
  <property fmtid="{D5CDD505-2E9C-101B-9397-08002B2CF9AE}" pid="6" name="MSIP_Label_f5bd8868-56ff-4ad6-98be-966809bec5be_Method">
    <vt:lpwstr>Privileged</vt:lpwstr>
  </property>
  <property fmtid="{D5CDD505-2E9C-101B-9397-08002B2CF9AE}" pid="7" name="MSIP_Label_f5bd8868-56ff-4ad6-98be-966809bec5be_Name">
    <vt:lpwstr>Vsol Confidentail Data</vt:lpwstr>
  </property>
  <property fmtid="{D5CDD505-2E9C-101B-9397-08002B2CF9AE}" pid="8" name="MSIP_Label_f5bd8868-56ff-4ad6-98be-966809bec5be_SiteId">
    <vt:lpwstr>544eead6-0892-46f0-83b3-c92290fc9acc</vt:lpwstr>
  </property>
  <property fmtid="{D5CDD505-2E9C-101B-9397-08002B2CF9AE}" pid="9" name="MSIP_Label_f5bd8868-56ff-4ad6-98be-966809bec5be_ActionId">
    <vt:lpwstr>cd90b951-3d4e-44f0-a04e-ef20949bbd1d</vt:lpwstr>
  </property>
  <property fmtid="{D5CDD505-2E9C-101B-9397-08002B2CF9AE}" pid="10" name="MSIP_Label_f5bd8868-56ff-4ad6-98be-966809bec5be_ContentBits">
    <vt:lpwstr>0</vt:lpwstr>
  </property>
  <property fmtid="{D5CDD505-2E9C-101B-9397-08002B2CF9AE}" pid="11" name="MSIP_Label_f5bd8868-56ff-4ad6-98be-966809bec5be_Tag">
    <vt:lpwstr>10, 0, 1, 1</vt:lpwstr>
  </property>
</Properties>
</file>